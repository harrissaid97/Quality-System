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BS-QC-2026\System\"/>
    </mc:Choice>
  </mc:AlternateContent>
  <xr:revisionPtr revIDLastSave="0" documentId="13_ncr:1_{92F0F275-CD26-4E6A-9240-C56393282296}" xr6:coauthVersionLast="47" xr6:coauthVersionMax="47" xr10:uidLastSave="{00000000-0000-0000-0000-000000000000}"/>
  <bookViews>
    <workbookView xWindow="-110" yWindow="-110" windowWidth="19420" windowHeight="10300" firstSheet="2" activeTab="10" xr2:uid="{B9C653CC-6FEB-4F13-AC57-9F86DD1A0E1D}"/>
  </bookViews>
  <sheets>
    <sheet name="Std" sheetId="11" r:id="rId1"/>
    <sheet name="Sum" sheetId="5" r:id="rId2"/>
    <sheet name="RM" sheetId="1" r:id="rId3"/>
    <sheet name="Wet" sheetId="2" r:id="rId4"/>
    <sheet name="Ampaian" sheetId="3" r:id="rId5"/>
    <sheet name="Dry" sheetId="4" r:id="rId6"/>
    <sheet name="Ctt_No. Reject" sheetId="6" r:id="rId7"/>
    <sheet name="No. Reject" sheetId="7" r:id="rId8"/>
    <sheet name="Lab" sheetId="8" r:id="rId9"/>
    <sheet name="FG" sheetId="9" r:id="rId10"/>
    <sheet name="Export" sheetId="10" r:id="rId11"/>
  </sheets>
  <definedNames>
    <definedName name="_xlnm._FilterDatabase" localSheetId="6" hidden="1">'Ctt_No. Reject'!$A$2:$N$178</definedName>
    <definedName name="_xlnm._FilterDatabase" localSheetId="9" hidden="1">FG!$B$8:$BD$199</definedName>
    <definedName name="_xlnm._FilterDatabase" localSheetId="8" hidden="1">Lab!$A$4:$BN$419</definedName>
    <definedName name="_xlnm._FilterDatabase" localSheetId="7" hidden="1">'No. Reject'!$C$10:$W$48</definedName>
    <definedName name="_xlnm.Print_Area" localSheetId="5">Dry!$C$2:$AN$80</definedName>
    <definedName name="_xlnm.Print_Area" localSheetId="3">Wet!$A$1:$K$89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357" i="8" l="1"/>
  <c r="AU358" i="8"/>
  <c r="AW87" i="4"/>
  <c r="AV87" i="4"/>
  <c r="AU87" i="4"/>
  <c r="AW81" i="4"/>
  <c r="AV81" i="4"/>
  <c r="AU81" i="4"/>
  <c r="AW88" i="4"/>
  <c r="AV88" i="4"/>
  <c r="AU88" i="4"/>
  <c r="AT88" i="4"/>
  <c r="AS88" i="4"/>
  <c r="AS87" i="4"/>
  <c r="AT87" i="4" s="1"/>
  <c r="AP87" i="4"/>
  <c r="AQ87" i="4" s="1"/>
  <c r="AP88" i="4"/>
  <c r="AQ88" i="4" s="1"/>
  <c r="S88" i="4"/>
  <c r="J88" i="4"/>
  <c r="D398" i="8"/>
  <c r="D397" i="8"/>
  <c r="D396" i="8"/>
  <c r="D395" i="8"/>
  <c r="D394" i="8"/>
  <c r="D393" i="8"/>
  <c r="D392" i="8"/>
  <c r="D391" i="8"/>
  <c r="D390" i="8"/>
  <c r="D389" i="8"/>
  <c r="O389" i="8"/>
  <c r="O390" i="8"/>
  <c r="O391" i="8"/>
  <c r="O392" i="8"/>
  <c r="O393" i="8"/>
  <c r="O394" i="8"/>
  <c r="O395" i="8"/>
  <c r="O396" i="8"/>
  <c r="O397" i="8"/>
  <c r="O398" i="8"/>
  <c r="Y97" i="2" l="1"/>
  <c r="X97" i="2"/>
  <c r="W97" i="2"/>
  <c r="V97" i="2"/>
  <c r="T97" i="2"/>
  <c r="R97" i="2"/>
  <c r="P97" i="2"/>
  <c r="Y95" i="2"/>
  <c r="X95" i="2"/>
  <c r="W95" i="2"/>
  <c r="V95" i="2"/>
  <c r="T95" i="2"/>
  <c r="R95" i="2"/>
  <c r="P95" i="2"/>
  <c r="Y93" i="2"/>
  <c r="X93" i="2"/>
  <c r="W93" i="2"/>
  <c r="V93" i="2"/>
  <c r="T93" i="2"/>
  <c r="R93" i="2"/>
  <c r="P93" i="2"/>
  <c r="AS81" i="4" l="1"/>
  <c r="AT81" i="4" s="1"/>
  <c r="AP81" i="4"/>
  <c r="AQ81" i="4"/>
  <c r="J81" i="4"/>
  <c r="AS80" i="4"/>
  <c r="AT80" i="4" s="1"/>
  <c r="AW80" i="4" s="1"/>
  <c r="AU80" i="4"/>
  <c r="AP80" i="4"/>
  <c r="AQ80" i="4" s="1"/>
  <c r="AT79" i="4"/>
  <c r="S86" i="4"/>
  <c r="S85" i="4"/>
  <c r="S84" i="4"/>
  <c r="S83" i="4"/>
  <c r="S82" i="4"/>
  <c r="S81" i="4"/>
  <c r="S80" i="4"/>
  <c r="J86" i="4"/>
  <c r="J85" i="4"/>
  <c r="J84" i="4"/>
  <c r="J83" i="4"/>
  <c r="J80" i="4"/>
  <c r="AV80" i="4" l="1"/>
  <c r="D388" i="8" l="1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206" i="8"/>
  <c r="D285" i="8"/>
  <c r="O388" i="8"/>
  <c r="O387" i="8"/>
  <c r="O386" i="8"/>
  <c r="O385" i="8"/>
  <c r="O384" i="8"/>
  <c r="O383" i="8"/>
  <c r="O382" i="8"/>
  <c r="O381" i="8"/>
  <c r="O380" i="8"/>
  <c r="O379" i="8"/>
  <c r="O378" i="8"/>
  <c r="O377" i="8"/>
  <c r="O376" i="8"/>
  <c r="O375" i="8"/>
  <c r="O374" i="8"/>
  <c r="O373" i="8"/>
  <c r="O372" i="8"/>
  <c r="O371" i="8"/>
  <c r="O370" i="8"/>
  <c r="O369" i="8"/>
  <c r="O368" i="8"/>
  <c r="O367" i="8"/>
  <c r="O366" i="8"/>
  <c r="O365" i="8"/>
  <c r="O364" i="8"/>
  <c r="O363" i="8"/>
  <c r="O362" i="8"/>
  <c r="O361" i="8"/>
  <c r="O360" i="8"/>
  <c r="O359" i="8"/>
  <c r="O358" i="8"/>
  <c r="O357" i="8"/>
  <c r="O356" i="8"/>
  <c r="O355" i="8"/>
  <c r="O354" i="8"/>
  <c r="O353" i="8"/>
  <c r="O352" i="8"/>
  <c r="O351" i="8"/>
  <c r="O350" i="8"/>
  <c r="O349" i="8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G54" i="3"/>
  <c r="M63" i="3"/>
  <c r="AS20" i="4" l="1"/>
  <c r="AT20" i="4" s="1"/>
  <c r="AW20" i="4" s="1"/>
  <c r="AV20" i="4"/>
  <c r="AU20" i="4"/>
  <c r="AP20" i="4"/>
  <c r="AQ20" i="4" s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5" i="5"/>
  <c r="E6" i="5"/>
  <c r="G6" i="5" s="1"/>
  <c r="E7" i="5"/>
  <c r="E8" i="5"/>
  <c r="E9" i="5"/>
  <c r="E10" i="5"/>
  <c r="E11" i="5"/>
  <c r="E12" i="5"/>
  <c r="E13" i="5"/>
  <c r="E14" i="5"/>
  <c r="G14" i="5" s="1"/>
  <c r="E15" i="5"/>
  <c r="E16" i="5"/>
  <c r="E17" i="5"/>
  <c r="E18" i="5"/>
  <c r="E19" i="5"/>
  <c r="E20" i="5"/>
  <c r="E21" i="5"/>
  <c r="E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5" i="5"/>
  <c r="C16" i="5"/>
  <c r="C17" i="5"/>
  <c r="C18" i="5"/>
  <c r="C19" i="5"/>
  <c r="C20" i="5"/>
  <c r="C21" i="5"/>
  <c r="C6" i="5"/>
  <c r="C7" i="5"/>
  <c r="C8" i="5"/>
  <c r="C9" i="5"/>
  <c r="C10" i="5"/>
  <c r="C11" i="5"/>
  <c r="C12" i="5"/>
  <c r="C13" i="5"/>
  <c r="C14" i="5"/>
  <c r="C15" i="5"/>
  <c r="C5" i="5"/>
  <c r="B5" i="5"/>
  <c r="B19" i="5"/>
  <c r="B20" i="5"/>
  <c r="B21" i="5"/>
  <c r="B7" i="5"/>
  <c r="B8" i="5"/>
  <c r="B9" i="5"/>
  <c r="B10" i="5"/>
  <c r="B11" i="5"/>
  <c r="B12" i="5"/>
  <c r="B13" i="5"/>
  <c r="B14" i="5"/>
  <c r="B15" i="5"/>
  <c r="B16" i="5"/>
  <c r="B17" i="5"/>
  <c r="B18" i="5"/>
  <c r="B6" i="5"/>
  <c r="K27" i="10"/>
  <c r="K26" i="10"/>
  <c r="G17" i="5" l="1"/>
  <c r="G5" i="5"/>
  <c r="G11" i="5"/>
  <c r="G9" i="5"/>
  <c r="G19" i="5"/>
  <c r="G10" i="5"/>
  <c r="G18" i="5"/>
  <c r="G7" i="5"/>
  <c r="G20" i="5"/>
  <c r="G16" i="5"/>
  <c r="G8" i="5"/>
  <c r="G15" i="5"/>
  <c r="G21" i="5"/>
  <c r="G13" i="5"/>
  <c r="G12" i="5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5" i="8"/>
  <c r="L5" i="5" l="1"/>
  <c r="N5" i="5"/>
  <c r="K5" i="5"/>
  <c r="M5" i="5"/>
  <c r="J5" i="5"/>
  <c r="E4" i="1"/>
  <c r="E3" i="1"/>
  <c r="E2" i="1"/>
  <c r="K25" i="10"/>
  <c r="K24" i="10"/>
  <c r="K23" i="10"/>
  <c r="K22" i="10"/>
  <c r="K20" i="10"/>
  <c r="K19" i="10"/>
  <c r="K18" i="10"/>
  <c r="K17" i="10"/>
  <c r="K16" i="10"/>
  <c r="T14" i="10"/>
  <c r="K14" i="10"/>
  <c r="T13" i="10"/>
  <c r="K13" i="10"/>
  <c r="T12" i="10"/>
  <c r="K12" i="10"/>
  <c r="T9" i="10"/>
  <c r="K9" i="10"/>
  <c r="T8" i="10"/>
  <c r="K8" i="10"/>
  <c r="T7" i="10"/>
  <c r="K7" i="10"/>
  <c r="T6" i="10"/>
  <c r="K6" i="10"/>
  <c r="BA363" i="9"/>
  <c r="AZ363" i="9"/>
  <c r="BA362" i="9"/>
  <c r="AZ362" i="9"/>
  <c r="BA361" i="9"/>
  <c r="AZ361" i="9"/>
  <c r="BA360" i="9"/>
  <c r="AZ360" i="9"/>
  <c r="BA295" i="9"/>
  <c r="AZ295" i="9"/>
  <c r="AS295" i="9"/>
  <c r="AR295" i="9"/>
  <c r="AQ295" i="9"/>
  <c r="AP295" i="9"/>
  <c r="AO295" i="9"/>
  <c r="AN295" i="9"/>
  <c r="AM295" i="9"/>
  <c r="AL295" i="9"/>
  <c r="BA294" i="9"/>
  <c r="AZ294" i="9"/>
  <c r="AS294" i="9"/>
  <c r="AR294" i="9"/>
  <c r="AQ294" i="9"/>
  <c r="AP294" i="9"/>
  <c r="AO294" i="9"/>
  <c r="AN294" i="9"/>
  <c r="AM294" i="9"/>
  <c r="AL294" i="9"/>
  <c r="BA293" i="9"/>
  <c r="AZ293" i="9"/>
  <c r="AS293" i="9"/>
  <c r="AR293" i="9"/>
  <c r="AQ293" i="9"/>
  <c r="AP293" i="9"/>
  <c r="AO293" i="9"/>
  <c r="AN293" i="9"/>
  <c r="AM293" i="9"/>
  <c r="AL293" i="9"/>
  <c r="BA292" i="9"/>
  <c r="AZ292" i="9"/>
  <c r="AS292" i="9"/>
  <c r="AR292" i="9"/>
  <c r="AQ292" i="9"/>
  <c r="AP292" i="9"/>
  <c r="AO292" i="9"/>
  <c r="AN292" i="9"/>
  <c r="AM292" i="9"/>
  <c r="AL292" i="9"/>
  <c r="BA291" i="9"/>
  <c r="AZ291" i="9"/>
  <c r="AS291" i="9"/>
  <c r="AR291" i="9"/>
  <c r="AQ291" i="9"/>
  <c r="AP291" i="9"/>
  <c r="AO291" i="9"/>
  <c r="AN291" i="9"/>
  <c r="AM291" i="9"/>
  <c r="AL291" i="9"/>
  <c r="BA290" i="9"/>
  <c r="AZ290" i="9"/>
  <c r="AS290" i="9"/>
  <c r="AR290" i="9"/>
  <c r="AQ290" i="9"/>
  <c r="AP290" i="9"/>
  <c r="AO290" i="9"/>
  <c r="AN290" i="9"/>
  <c r="AM290" i="9"/>
  <c r="AL290" i="9"/>
  <c r="BA289" i="9"/>
  <c r="AZ289" i="9"/>
  <c r="AS289" i="9"/>
  <c r="AR289" i="9"/>
  <c r="AQ289" i="9"/>
  <c r="AP289" i="9"/>
  <c r="AO289" i="9"/>
  <c r="AN289" i="9"/>
  <c r="AM289" i="9"/>
  <c r="AL289" i="9"/>
  <c r="BA288" i="9"/>
  <c r="AZ288" i="9"/>
  <c r="AS288" i="9"/>
  <c r="AR288" i="9"/>
  <c r="AQ288" i="9"/>
  <c r="AP288" i="9"/>
  <c r="AO288" i="9"/>
  <c r="AN288" i="9"/>
  <c r="AM288" i="9"/>
  <c r="AL288" i="9"/>
  <c r="BA287" i="9"/>
  <c r="AZ287" i="9"/>
  <c r="AS287" i="9"/>
  <c r="AR287" i="9"/>
  <c r="AQ287" i="9"/>
  <c r="AP287" i="9"/>
  <c r="AO287" i="9"/>
  <c r="AN287" i="9"/>
  <c r="AM287" i="9"/>
  <c r="AL287" i="9"/>
  <c r="BA286" i="9"/>
  <c r="AZ286" i="9"/>
  <c r="AS286" i="9"/>
  <c r="AR286" i="9"/>
  <c r="AQ286" i="9"/>
  <c r="AP286" i="9"/>
  <c r="AO286" i="9"/>
  <c r="AN286" i="9"/>
  <c r="AM286" i="9"/>
  <c r="AL286" i="9"/>
  <c r="BA285" i="9"/>
  <c r="AZ285" i="9"/>
  <c r="AS285" i="9"/>
  <c r="AR285" i="9"/>
  <c r="AQ285" i="9"/>
  <c r="AP285" i="9"/>
  <c r="AO285" i="9"/>
  <c r="AN285" i="9"/>
  <c r="AM285" i="9"/>
  <c r="AL285" i="9"/>
  <c r="BA284" i="9"/>
  <c r="AZ284" i="9"/>
  <c r="AS284" i="9"/>
  <c r="AR284" i="9"/>
  <c r="AQ284" i="9"/>
  <c r="AP284" i="9"/>
  <c r="AO284" i="9"/>
  <c r="AN284" i="9"/>
  <c r="AM284" i="9"/>
  <c r="AL284" i="9"/>
  <c r="BA283" i="9"/>
  <c r="AZ283" i="9"/>
  <c r="AS283" i="9"/>
  <c r="AR283" i="9"/>
  <c r="AQ283" i="9"/>
  <c r="AP283" i="9"/>
  <c r="AO283" i="9"/>
  <c r="AN283" i="9"/>
  <c r="AM283" i="9"/>
  <c r="AL283" i="9"/>
  <c r="BA282" i="9"/>
  <c r="AZ282" i="9"/>
  <c r="AS282" i="9"/>
  <c r="AR282" i="9"/>
  <c r="AQ282" i="9"/>
  <c r="AP282" i="9"/>
  <c r="AO282" i="9"/>
  <c r="AN282" i="9"/>
  <c r="AM282" i="9"/>
  <c r="AL282" i="9"/>
  <c r="BA281" i="9"/>
  <c r="AZ281" i="9"/>
  <c r="AS281" i="9"/>
  <c r="AR281" i="9"/>
  <c r="AQ281" i="9"/>
  <c r="AP281" i="9"/>
  <c r="AO281" i="9"/>
  <c r="AN281" i="9"/>
  <c r="AM281" i="9"/>
  <c r="AL281" i="9"/>
  <c r="BA280" i="9"/>
  <c r="AZ280" i="9"/>
  <c r="AS280" i="9"/>
  <c r="AR280" i="9"/>
  <c r="AQ280" i="9"/>
  <c r="AP280" i="9"/>
  <c r="AO280" i="9"/>
  <c r="AN280" i="9"/>
  <c r="AM280" i="9"/>
  <c r="AL280" i="9"/>
  <c r="BA279" i="9"/>
  <c r="AZ279" i="9"/>
  <c r="AS279" i="9"/>
  <c r="AR279" i="9"/>
  <c r="AQ279" i="9"/>
  <c r="AP279" i="9"/>
  <c r="AO279" i="9"/>
  <c r="AN279" i="9"/>
  <c r="AM279" i="9"/>
  <c r="AL279" i="9"/>
  <c r="BA278" i="9"/>
  <c r="AZ278" i="9"/>
  <c r="AS278" i="9"/>
  <c r="AR278" i="9"/>
  <c r="AQ278" i="9"/>
  <c r="AP278" i="9"/>
  <c r="AO278" i="9"/>
  <c r="AN278" i="9"/>
  <c r="AM278" i="9"/>
  <c r="AL278" i="9"/>
  <c r="BA277" i="9"/>
  <c r="AZ277" i="9"/>
  <c r="AS277" i="9"/>
  <c r="AR277" i="9"/>
  <c r="AQ277" i="9"/>
  <c r="AP277" i="9"/>
  <c r="AO277" i="9"/>
  <c r="AN277" i="9"/>
  <c r="AM277" i="9"/>
  <c r="AL277" i="9"/>
  <c r="BA276" i="9"/>
  <c r="AZ276" i="9"/>
  <c r="AS276" i="9"/>
  <c r="AR276" i="9"/>
  <c r="AQ276" i="9"/>
  <c r="AP276" i="9"/>
  <c r="AO276" i="9"/>
  <c r="AN276" i="9"/>
  <c r="AM276" i="9"/>
  <c r="AL276" i="9"/>
  <c r="BA275" i="9"/>
  <c r="AZ275" i="9"/>
  <c r="AS275" i="9"/>
  <c r="AR275" i="9"/>
  <c r="AQ275" i="9"/>
  <c r="AP275" i="9"/>
  <c r="AO275" i="9"/>
  <c r="AN275" i="9"/>
  <c r="AM275" i="9"/>
  <c r="AL275" i="9"/>
  <c r="BA274" i="9"/>
  <c r="AZ274" i="9"/>
  <c r="AS274" i="9"/>
  <c r="AR274" i="9"/>
  <c r="AQ274" i="9"/>
  <c r="AP274" i="9"/>
  <c r="AO274" i="9"/>
  <c r="AN274" i="9"/>
  <c r="AM274" i="9"/>
  <c r="AL274" i="9"/>
  <c r="BA273" i="9"/>
  <c r="AZ273" i="9"/>
  <c r="AS273" i="9"/>
  <c r="AR273" i="9"/>
  <c r="AQ273" i="9"/>
  <c r="AP273" i="9"/>
  <c r="AO273" i="9"/>
  <c r="AN273" i="9"/>
  <c r="AM273" i="9"/>
  <c r="AL273" i="9"/>
  <c r="BA272" i="9"/>
  <c r="AZ272" i="9"/>
  <c r="AS272" i="9"/>
  <c r="AR272" i="9"/>
  <c r="AQ272" i="9"/>
  <c r="AP272" i="9"/>
  <c r="AO272" i="9"/>
  <c r="AN272" i="9"/>
  <c r="AM272" i="9"/>
  <c r="AL272" i="9"/>
  <c r="BA271" i="9"/>
  <c r="AZ271" i="9"/>
  <c r="AS271" i="9"/>
  <c r="AR271" i="9"/>
  <c r="AQ271" i="9"/>
  <c r="AP271" i="9"/>
  <c r="AO271" i="9"/>
  <c r="AN271" i="9"/>
  <c r="AM271" i="9"/>
  <c r="AL271" i="9"/>
  <c r="BA270" i="9"/>
  <c r="AZ270" i="9"/>
  <c r="AS270" i="9"/>
  <c r="AR270" i="9"/>
  <c r="AQ270" i="9"/>
  <c r="AP270" i="9"/>
  <c r="AO270" i="9"/>
  <c r="AN270" i="9"/>
  <c r="AM270" i="9"/>
  <c r="AL270" i="9"/>
  <c r="BA269" i="9"/>
  <c r="AZ269" i="9"/>
  <c r="AS269" i="9"/>
  <c r="AR269" i="9"/>
  <c r="AQ269" i="9"/>
  <c r="AP269" i="9"/>
  <c r="AO269" i="9"/>
  <c r="AN269" i="9"/>
  <c r="AM269" i="9"/>
  <c r="AL269" i="9"/>
  <c r="BA268" i="9"/>
  <c r="AZ268" i="9"/>
  <c r="AS268" i="9"/>
  <c r="AR268" i="9"/>
  <c r="AQ268" i="9"/>
  <c r="AP268" i="9"/>
  <c r="AO268" i="9"/>
  <c r="AN268" i="9"/>
  <c r="AM268" i="9"/>
  <c r="AL268" i="9"/>
  <c r="BA267" i="9"/>
  <c r="AZ267" i="9"/>
  <c r="AS267" i="9"/>
  <c r="AR267" i="9"/>
  <c r="AQ267" i="9"/>
  <c r="AP267" i="9"/>
  <c r="AO267" i="9"/>
  <c r="AN267" i="9"/>
  <c r="AM267" i="9"/>
  <c r="AL267" i="9"/>
  <c r="BA266" i="9"/>
  <c r="AZ266" i="9"/>
  <c r="AS266" i="9"/>
  <c r="AR266" i="9"/>
  <c r="AQ266" i="9"/>
  <c r="AP266" i="9"/>
  <c r="AO266" i="9"/>
  <c r="AN266" i="9"/>
  <c r="AM266" i="9"/>
  <c r="AL266" i="9"/>
  <c r="BA265" i="9"/>
  <c r="AZ265" i="9"/>
  <c r="AS265" i="9"/>
  <c r="AR265" i="9"/>
  <c r="AQ265" i="9"/>
  <c r="AP265" i="9"/>
  <c r="AO265" i="9"/>
  <c r="AN265" i="9"/>
  <c r="AM265" i="9"/>
  <c r="AL265" i="9"/>
  <c r="BA264" i="9"/>
  <c r="AZ264" i="9"/>
  <c r="AS264" i="9"/>
  <c r="AR264" i="9"/>
  <c r="AQ264" i="9"/>
  <c r="AP264" i="9"/>
  <c r="AO264" i="9"/>
  <c r="AN264" i="9"/>
  <c r="AM264" i="9"/>
  <c r="AL264" i="9"/>
  <c r="BA263" i="9"/>
  <c r="AZ263" i="9"/>
  <c r="AS263" i="9"/>
  <c r="AR263" i="9"/>
  <c r="AQ263" i="9"/>
  <c r="AP263" i="9"/>
  <c r="AO263" i="9"/>
  <c r="AN263" i="9"/>
  <c r="AM263" i="9"/>
  <c r="AL263" i="9"/>
  <c r="BA262" i="9"/>
  <c r="AZ262" i="9"/>
  <c r="AS262" i="9"/>
  <c r="AR262" i="9"/>
  <c r="AQ262" i="9"/>
  <c r="AP262" i="9"/>
  <c r="AO262" i="9"/>
  <c r="AN262" i="9"/>
  <c r="AM262" i="9"/>
  <c r="AL262" i="9"/>
  <c r="BA261" i="9"/>
  <c r="AZ261" i="9"/>
  <c r="AS261" i="9"/>
  <c r="AR261" i="9"/>
  <c r="AQ261" i="9"/>
  <c r="AP261" i="9"/>
  <c r="AO261" i="9"/>
  <c r="AN261" i="9"/>
  <c r="AM261" i="9"/>
  <c r="AL261" i="9"/>
  <c r="BA260" i="9"/>
  <c r="AZ260" i="9"/>
  <c r="AS260" i="9"/>
  <c r="AR260" i="9"/>
  <c r="AQ260" i="9"/>
  <c r="AP260" i="9"/>
  <c r="AO260" i="9"/>
  <c r="AN260" i="9"/>
  <c r="AM260" i="9"/>
  <c r="AL260" i="9"/>
  <c r="BA259" i="9"/>
  <c r="AZ259" i="9"/>
  <c r="AS259" i="9"/>
  <c r="AR259" i="9"/>
  <c r="AQ259" i="9"/>
  <c r="AP259" i="9"/>
  <c r="AO259" i="9"/>
  <c r="AN259" i="9"/>
  <c r="AM259" i="9"/>
  <c r="AL259" i="9"/>
  <c r="BA258" i="9"/>
  <c r="AZ258" i="9"/>
  <c r="AS258" i="9"/>
  <c r="AR258" i="9"/>
  <c r="AQ258" i="9"/>
  <c r="AP258" i="9"/>
  <c r="AO258" i="9"/>
  <c r="AN258" i="9"/>
  <c r="AM258" i="9"/>
  <c r="AL258" i="9"/>
  <c r="BA257" i="9"/>
  <c r="AZ257" i="9"/>
  <c r="AS257" i="9"/>
  <c r="AR257" i="9"/>
  <c r="AQ257" i="9"/>
  <c r="AP257" i="9"/>
  <c r="AO257" i="9"/>
  <c r="AN257" i="9"/>
  <c r="AM257" i="9"/>
  <c r="AL257" i="9"/>
  <c r="BA256" i="9"/>
  <c r="AZ256" i="9"/>
  <c r="AS256" i="9"/>
  <c r="AR256" i="9"/>
  <c r="AQ256" i="9"/>
  <c r="AP256" i="9"/>
  <c r="AO256" i="9"/>
  <c r="AN256" i="9"/>
  <c r="AM256" i="9"/>
  <c r="AL256" i="9"/>
  <c r="BA255" i="9"/>
  <c r="AZ255" i="9"/>
  <c r="AS255" i="9"/>
  <c r="AR255" i="9"/>
  <c r="AQ255" i="9"/>
  <c r="AP255" i="9"/>
  <c r="AO255" i="9"/>
  <c r="AN255" i="9"/>
  <c r="AM255" i="9"/>
  <c r="AL255" i="9"/>
  <c r="BA254" i="9"/>
  <c r="AZ254" i="9"/>
  <c r="AS254" i="9"/>
  <c r="AR254" i="9"/>
  <c r="AQ254" i="9"/>
  <c r="AP254" i="9"/>
  <c r="AO254" i="9"/>
  <c r="AN254" i="9"/>
  <c r="AM254" i="9"/>
  <c r="AL254" i="9"/>
  <c r="BA253" i="9"/>
  <c r="AZ253" i="9"/>
  <c r="AS253" i="9"/>
  <c r="AR253" i="9"/>
  <c r="AQ253" i="9"/>
  <c r="AP253" i="9"/>
  <c r="AO253" i="9"/>
  <c r="AN253" i="9"/>
  <c r="AM253" i="9"/>
  <c r="AL253" i="9"/>
  <c r="BA252" i="9"/>
  <c r="AZ252" i="9"/>
  <c r="AS252" i="9"/>
  <c r="AR252" i="9"/>
  <c r="AQ252" i="9"/>
  <c r="AP252" i="9"/>
  <c r="AO252" i="9"/>
  <c r="AN252" i="9"/>
  <c r="AM252" i="9"/>
  <c r="AL252" i="9"/>
  <c r="BA251" i="9"/>
  <c r="AZ251" i="9"/>
  <c r="AS251" i="9"/>
  <c r="AR251" i="9"/>
  <c r="AQ251" i="9"/>
  <c r="AP251" i="9"/>
  <c r="AO251" i="9"/>
  <c r="AN251" i="9"/>
  <c r="AM251" i="9"/>
  <c r="AL251" i="9"/>
  <c r="BA250" i="9"/>
  <c r="AZ250" i="9"/>
  <c r="AS250" i="9"/>
  <c r="AR250" i="9"/>
  <c r="AQ250" i="9"/>
  <c r="AP250" i="9"/>
  <c r="AO250" i="9"/>
  <c r="AN250" i="9"/>
  <c r="AM250" i="9"/>
  <c r="AL250" i="9"/>
  <c r="BA249" i="9"/>
  <c r="AZ249" i="9"/>
  <c r="AS249" i="9"/>
  <c r="AR249" i="9"/>
  <c r="AQ249" i="9"/>
  <c r="AP249" i="9"/>
  <c r="AO249" i="9"/>
  <c r="AN249" i="9"/>
  <c r="AM249" i="9"/>
  <c r="AL249" i="9"/>
  <c r="BA248" i="9"/>
  <c r="AZ248" i="9"/>
  <c r="AS248" i="9"/>
  <c r="AR248" i="9"/>
  <c r="AQ248" i="9"/>
  <c r="AP248" i="9"/>
  <c r="AO248" i="9"/>
  <c r="AN248" i="9"/>
  <c r="AM248" i="9"/>
  <c r="AL248" i="9"/>
  <c r="BA247" i="9"/>
  <c r="AZ247" i="9"/>
  <c r="AS247" i="9"/>
  <c r="AR247" i="9"/>
  <c r="AQ247" i="9"/>
  <c r="AP247" i="9"/>
  <c r="AO247" i="9"/>
  <c r="AN247" i="9"/>
  <c r="AM247" i="9"/>
  <c r="AL247" i="9"/>
  <c r="BA246" i="9"/>
  <c r="AZ246" i="9"/>
  <c r="AS246" i="9"/>
  <c r="AR246" i="9"/>
  <c r="AQ246" i="9"/>
  <c r="AP246" i="9"/>
  <c r="AO246" i="9"/>
  <c r="AN246" i="9"/>
  <c r="AM246" i="9"/>
  <c r="AL246" i="9"/>
  <c r="BA245" i="9"/>
  <c r="AZ245" i="9"/>
  <c r="AS245" i="9"/>
  <c r="AR245" i="9"/>
  <c r="AQ245" i="9"/>
  <c r="AP245" i="9"/>
  <c r="AO245" i="9"/>
  <c r="AN245" i="9"/>
  <c r="AM245" i="9"/>
  <c r="AL245" i="9"/>
  <c r="BA244" i="9"/>
  <c r="AZ244" i="9"/>
  <c r="AS244" i="9"/>
  <c r="AR244" i="9"/>
  <c r="AQ244" i="9"/>
  <c r="AP244" i="9"/>
  <c r="AO244" i="9"/>
  <c r="AN244" i="9"/>
  <c r="AM244" i="9"/>
  <c r="AL244" i="9"/>
  <c r="BA243" i="9"/>
  <c r="AZ243" i="9"/>
  <c r="AS243" i="9"/>
  <c r="AR243" i="9"/>
  <c r="AQ243" i="9"/>
  <c r="AP243" i="9"/>
  <c r="AO243" i="9"/>
  <c r="AN243" i="9"/>
  <c r="AM243" i="9"/>
  <c r="AL243" i="9"/>
  <c r="BA242" i="9"/>
  <c r="AZ242" i="9"/>
  <c r="AS242" i="9"/>
  <c r="AR242" i="9"/>
  <c r="AQ242" i="9"/>
  <c r="AP242" i="9"/>
  <c r="AO242" i="9"/>
  <c r="AN242" i="9"/>
  <c r="AM242" i="9"/>
  <c r="AL242" i="9"/>
  <c r="BA241" i="9"/>
  <c r="AZ241" i="9"/>
  <c r="AS241" i="9"/>
  <c r="AR241" i="9"/>
  <c r="AQ241" i="9"/>
  <c r="AP241" i="9"/>
  <c r="AO241" i="9"/>
  <c r="AN241" i="9"/>
  <c r="AM241" i="9"/>
  <c r="AL241" i="9"/>
  <c r="BA240" i="9"/>
  <c r="AZ240" i="9"/>
  <c r="AS240" i="9"/>
  <c r="AR240" i="9"/>
  <c r="AQ240" i="9"/>
  <c r="AP240" i="9"/>
  <c r="AO240" i="9"/>
  <c r="AN240" i="9"/>
  <c r="AM240" i="9"/>
  <c r="AL240" i="9"/>
  <c r="BA239" i="9"/>
  <c r="AZ239" i="9"/>
  <c r="AS239" i="9"/>
  <c r="AR239" i="9"/>
  <c r="AQ239" i="9"/>
  <c r="AP239" i="9"/>
  <c r="AO239" i="9"/>
  <c r="AN239" i="9"/>
  <c r="AM239" i="9"/>
  <c r="AL239" i="9"/>
  <c r="BA238" i="9"/>
  <c r="AZ238" i="9"/>
  <c r="AS238" i="9"/>
  <c r="AR238" i="9"/>
  <c r="AQ238" i="9"/>
  <c r="AP238" i="9"/>
  <c r="AO238" i="9"/>
  <c r="AN238" i="9"/>
  <c r="AM238" i="9"/>
  <c r="AL238" i="9"/>
  <c r="BA237" i="9"/>
  <c r="AZ237" i="9"/>
  <c r="AS237" i="9"/>
  <c r="AR237" i="9"/>
  <c r="AQ237" i="9"/>
  <c r="AP237" i="9"/>
  <c r="AO237" i="9"/>
  <c r="AN237" i="9"/>
  <c r="AM237" i="9"/>
  <c r="AL237" i="9"/>
  <c r="BA236" i="9"/>
  <c r="AZ236" i="9"/>
  <c r="AS236" i="9"/>
  <c r="AR236" i="9"/>
  <c r="AQ236" i="9"/>
  <c r="AP236" i="9"/>
  <c r="AO236" i="9"/>
  <c r="AN236" i="9"/>
  <c r="AM236" i="9"/>
  <c r="AL236" i="9"/>
  <c r="BA235" i="9"/>
  <c r="AZ235" i="9"/>
  <c r="AS235" i="9"/>
  <c r="AR235" i="9"/>
  <c r="AQ235" i="9"/>
  <c r="AP235" i="9"/>
  <c r="AO235" i="9"/>
  <c r="AN235" i="9"/>
  <c r="AM235" i="9"/>
  <c r="AL235" i="9"/>
  <c r="BA234" i="9"/>
  <c r="AZ234" i="9"/>
  <c r="AS234" i="9"/>
  <c r="AR234" i="9"/>
  <c r="AQ234" i="9"/>
  <c r="AP234" i="9"/>
  <c r="AO234" i="9"/>
  <c r="AN234" i="9"/>
  <c r="AM234" i="9"/>
  <c r="AL234" i="9"/>
  <c r="BA233" i="9"/>
  <c r="AZ233" i="9"/>
  <c r="AS233" i="9"/>
  <c r="AR233" i="9"/>
  <c r="AQ233" i="9"/>
  <c r="AP233" i="9"/>
  <c r="AO233" i="9"/>
  <c r="AN233" i="9"/>
  <c r="AM233" i="9"/>
  <c r="AL233" i="9"/>
  <c r="BA232" i="9"/>
  <c r="AZ232" i="9"/>
  <c r="AS232" i="9"/>
  <c r="AR232" i="9"/>
  <c r="AQ232" i="9"/>
  <c r="AP232" i="9"/>
  <c r="AO232" i="9"/>
  <c r="AN232" i="9"/>
  <c r="AM232" i="9"/>
  <c r="AL232" i="9"/>
  <c r="BA231" i="9"/>
  <c r="AZ231" i="9"/>
  <c r="AS231" i="9"/>
  <c r="AR231" i="9"/>
  <c r="AQ231" i="9"/>
  <c r="AP231" i="9"/>
  <c r="AO231" i="9"/>
  <c r="AN231" i="9"/>
  <c r="AM231" i="9"/>
  <c r="AL231" i="9"/>
  <c r="BA230" i="9"/>
  <c r="AZ230" i="9"/>
  <c r="AS230" i="9"/>
  <c r="AR230" i="9"/>
  <c r="AQ230" i="9"/>
  <c r="AP230" i="9"/>
  <c r="AO230" i="9"/>
  <c r="AN230" i="9"/>
  <c r="AM230" i="9"/>
  <c r="AL230" i="9"/>
  <c r="BA229" i="9"/>
  <c r="AZ229" i="9"/>
  <c r="AS229" i="9"/>
  <c r="AR229" i="9"/>
  <c r="AQ229" i="9"/>
  <c r="AP229" i="9"/>
  <c r="AO229" i="9"/>
  <c r="AN229" i="9"/>
  <c r="AM229" i="9"/>
  <c r="AL229" i="9"/>
  <c r="BA228" i="9"/>
  <c r="AZ228" i="9"/>
  <c r="AS228" i="9"/>
  <c r="AR228" i="9"/>
  <c r="AQ228" i="9"/>
  <c r="AP228" i="9"/>
  <c r="AO228" i="9"/>
  <c r="AN228" i="9"/>
  <c r="AM228" i="9"/>
  <c r="AL228" i="9"/>
  <c r="BA227" i="9"/>
  <c r="AZ227" i="9"/>
  <c r="AS227" i="9"/>
  <c r="AR227" i="9"/>
  <c r="AQ227" i="9"/>
  <c r="AP227" i="9"/>
  <c r="AO227" i="9"/>
  <c r="AN227" i="9"/>
  <c r="AM227" i="9"/>
  <c r="AL227" i="9"/>
  <c r="BA226" i="9"/>
  <c r="AZ226" i="9"/>
  <c r="AS226" i="9"/>
  <c r="AR226" i="9"/>
  <c r="AQ226" i="9"/>
  <c r="AP226" i="9"/>
  <c r="AO226" i="9"/>
  <c r="AN226" i="9"/>
  <c r="AM226" i="9"/>
  <c r="AL226" i="9"/>
  <c r="BA225" i="9"/>
  <c r="AZ225" i="9"/>
  <c r="AS225" i="9"/>
  <c r="AR225" i="9"/>
  <c r="AQ225" i="9"/>
  <c r="AP225" i="9"/>
  <c r="AO225" i="9"/>
  <c r="AN225" i="9"/>
  <c r="AM225" i="9"/>
  <c r="AL225" i="9"/>
  <c r="BA224" i="9"/>
  <c r="AZ224" i="9"/>
  <c r="AS224" i="9"/>
  <c r="AR224" i="9"/>
  <c r="AQ224" i="9"/>
  <c r="AP224" i="9"/>
  <c r="AO224" i="9"/>
  <c r="AN224" i="9"/>
  <c r="AM224" i="9"/>
  <c r="AL224" i="9"/>
  <c r="BA223" i="9"/>
  <c r="AZ223" i="9"/>
  <c r="AS223" i="9"/>
  <c r="AR223" i="9"/>
  <c r="AQ223" i="9"/>
  <c r="AP223" i="9"/>
  <c r="AO223" i="9"/>
  <c r="AN223" i="9"/>
  <c r="AM223" i="9"/>
  <c r="AL223" i="9"/>
  <c r="BA222" i="9"/>
  <c r="AZ222" i="9"/>
  <c r="AS222" i="9"/>
  <c r="AR222" i="9"/>
  <c r="AQ222" i="9"/>
  <c r="AP222" i="9"/>
  <c r="AO222" i="9"/>
  <c r="AN222" i="9"/>
  <c r="AM222" i="9"/>
  <c r="AL222" i="9"/>
  <c r="BA221" i="9"/>
  <c r="AZ221" i="9"/>
  <c r="AS221" i="9"/>
  <c r="AR221" i="9"/>
  <c r="AQ221" i="9"/>
  <c r="AP221" i="9"/>
  <c r="AO221" i="9"/>
  <c r="AN221" i="9"/>
  <c r="AM221" i="9"/>
  <c r="AL221" i="9"/>
  <c r="BA220" i="9"/>
  <c r="AZ220" i="9"/>
  <c r="AS220" i="9"/>
  <c r="AR220" i="9"/>
  <c r="AQ220" i="9"/>
  <c r="AP220" i="9"/>
  <c r="AO220" i="9"/>
  <c r="AN220" i="9"/>
  <c r="AM220" i="9"/>
  <c r="AL220" i="9"/>
  <c r="BA219" i="9"/>
  <c r="AZ219" i="9"/>
  <c r="AS219" i="9"/>
  <c r="AR219" i="9"/>
  <c r="AQ219" i="9"/>
  <c r="AP219" i="9"/>
  <c r="AO219" i="9"/>
  <c r="AN219" i="9"/>
  <c r="AM219" i="9"/>
  <c r="AL219" i="9"/>
  <c r="BA218" i="9"/>
  <c r="AZ218" i="9"/>
  <c r="AS218" i="9"/>
  <c r="AR218" i="9"/>
  <c r="AQ218" i="9"/>
  <c r="AP218" i="9"/>
  <c r="AO218" i="9"/>
  <c r="AN218" i="9"/>
  <c r="AM218" i="9"/>
  <c r="AL218" i="9"/>
  <c r="BA217" i="9"/>
  <c r="AZ217" i="9"/>
  <c r="AS217" i="9"/>
  <c r="AR217" i="9"/>
  <c r="AQ217" i="9"/>
  <c r="AP217" i="9"/>
  <c r="AO217" i="9"/>
  <c r="AN217" i="9"/>
  <c r="AM217" i="9"/>
  <c r="AL217" i="9"/>
  <c r="BA216" i="9"/>
  <c r="AZ216" i="9"/>
  <c r="AS216" i="9"/>
  <c r="AR216" i="9"/>
  <c r="AQ216" i="9"/>
  <c r="AP216" i="9"/>
  <c r="AO216" i="9"/>
  <c r="AN216" i="9"/>
  <c r="AM216" i="9"/>
  <c r="AL216" i="9"/>
  <c r="BA215" i="9"/>
  <c r="AZ215" i="9"/>
  <c r="AS215" i="9"/>
  <c r="AR215" i="9"/>
  <c r="AQ215" i="9"/>
  <c r="AP215" i="9"/>
  <c r="AO215" i="9"/>
  <c r="AN215" i="9"/>
  <c r="AM215" i="9"/>
  <c r="AL215" i="9"/>
  <c r="BA214" i="9"/>
  <c r="AZ214" i="9"/>
  <c r="AS214" i="9"/>
  <c r="AR214" i="9"/>
  <c r="AQ214" i="9"/>
  <c r="AP214" i="9"/>
  <c r="AO214" i="9"/>
  <c r="AN214" i="9"/>
  <c r="AM214" i="9"/>
  <c r="AL214" i="9"/>
  <c r="BA213" i="9"/>
  <c r="AZ213" i="9"/>
  <c r="AS213" i="9"/>
  <c r="AR213" i="9"/>
  <c r="AQ213" i="9"/>
  <c r="AP213" i="9"/>
  <c r="AO213" i="9"/>
  <c r="AN213" i="9"/>
  <c r="AM213" i="9"/>
  <c r="AL213" i="9"/>
  <c r="BA212" i="9"/>
  <c r="AZ212" i="9"/>
  <c r="AS212" i="9"/>
  <c r="AR212" i="9"/>
  <c r="AQ212" i="9"/>
  <c r="AP212" i="9"/>
  <c r="AO212" i="9"/>
  <c r="AN212" i="9"/>
  <c r="AM212" i="9"/>
  <c r="AL212" i="9"/>
  <c r="BA211" i="9"/>
  <c r="AZ211" i="9"/>
  <c r="AS211" i="9"/>
  <c r="AR211" i="9"/>
  <c r="AQ211" i="9"/>
  <c r="AP211" i="9"/>
  <c r="AO211" i="9"/>
  <c r="AN211" i="9"/>
  <c r="AM211" i="9"/>
  <c r="AL211" i="9"/>
  <c r="BA210" i="9"/>
  <c r="AZ210" i="9"/>
  <c r="AS210" i="9"/>
  <c r="AR210" i="9"/>
  <c r="AQ210" i="9"/>
  <c r="AP210" i="9"/>
  <c r="AO210" i="9"/>
  <c r="AN210" i="9"/>
  <c r="AM210" i="9"/>
  <c r="AL210" i="9"/>
  <c r="BA209" i="9"/>
  <c r="AZ209" i="9"/>
  <c r="AS209" i="9"/>
  <c r="AR209" i="9"/>
  <c r="AQ209" i="9"/>
  <c r="AP209" i="9"/>
  <c r="AO209" i="9"/>
  <c r="AN209" i="9"/>
  <c r="AM209" i="9"/>
  <c r="AL209" i="9"/>
  <c r="BA208" i="9"/>
  <c r="AZ208" i="9"/>
  <c r="AS208" i="9"/>
  <c r="AR208" i="9"/>
  <c r="AQ208" i="9"/>
  <c r="AP208" i="9"/>
  <c r="AO208" i="9"/>
  <c r="AN208" i="9"/>
  <c r="AM208" i="9"/>
  <c r="AL208" i="9"/>
  <c r="BA207" i="9"/>
  <c r="AZ207" i="9"/>
  <c r="AS207" i="9"/>
  <c r="AR207" i="9"/>
  <c r="AQ207" i="9"/>
  <c r="AP207" i="9"/>
  <c r="AO207" i="9"/>
  <c r="AN207" i="9"/>
  <c r="AM207" i="9"/>
  <c r="AL207" i="9"/>
  <c r="BA206" i="9"/>
  <c r="AZ206" i="9"/>
  <c r="AS206" i="9"/>
  <c r="AR206" i="9"/>
  <c r="AQ206" i="9"/>
  <c r="AP206" i="9"/>
  <c r="AO206" i="9"/>
  <c r="AN206" i="9"/>
  <c r="AM206" i="9"/>
  <c r="AL206" i="9"/>
  <c r="BA205" i="9"/>
  <c r="AZ205" i="9"/>
  <c r="AS205" i="9"/>
  <c r="AR205" i="9"/>
  <c r="AQ205" i="9"/>
  <c r="AP205" i="9"/>
  <c r="AO205" i="9"/>
  <c r="AN205" i="9"/>
  <c r="AM205" i="9"/>
  <c r="AL205" i="9"/>
  <c r="BA204" i="9"/>
  <c r="AZ204" i="9"/>
  <c r="AS204" i="9"/>
  <c r="AR204" i="9"/>
  <c r="AQ204" i="9"/>
  <c r="AP204" i="9"/>
  <c r="AO204" i="9"/>
  <c r="AN204" i="9"/>
  <c r="AM204" i="9"/>
  <c r="AL204" i="9"/>
  <c r="BA203" i="9"/>
  <c r="AZ203" i="9"/>
  <c r="AS203" i="9"/>
  <c r="AR203" i="9"/>
  <c r="AQ203" i="9"/>
  <c r="AP203" i="9"/>
  <c r="AO203" i="9"/>
  <c r="AN203" i="9"/>
  <c r="AM203" i="9"/>
  <c r="AL203" i="9"/>
  <c r="BA202" i="9"/>
  <c r="AZ202" i="9"/>
  <c r="AS202" i="9"/>
  <c r="AR202" i="9"/>
  <c r="AQ202" i="9"/>
  <c r="AP202" i="9"/>
  <c r="AO202" i="9"/>
  <c r="AN202" i="9"/>
  <c r="AM202" i="9"/>
  <c r="AL202" i="9"/>
  <c r="BA201" i="9"/>
  <c r="AZ201" i="9"/>
  <c r="AS201" i="9"/>
  <c r="AR201" i="9"/>
  <c r="AQ201" i="9"/>
  <c r="AP201" i="9"/>
  <c r="AO201" i="9"/>
  <c r="AN201" i="9"/>
  <c r="AM201" i="9"/>
  <c r="AL201" i="9"/>
  <c r="BA200" i="9"/>
  <c r="AZ200" i="9"/>
  <c r="AS200" i="9"/>
  <c r="AR200" i="9"/>
  <c r="AQ200" i="9"/>
  <c r="AP200" i="9"/>
  <c r="AO200" i="9"/>
  <c r="AN200" i="9"/>
  <c r="AM200" i="9"/>
  <c r="AL200" i="9"/>
  <c r="BA199" i="9"/>
  <c r="AZ199" i="9"/>
  <c r="AS199" i="9"/>
  <c r="AR199" i="9"/>
  <c r="AQ199" i="9"/>
  <c r="AO199" i="9"/>
  <c r="AN199" i="9"/>
  <c r="AM199" i="9"/>
  <c r="AL199" i="9"/>
  <c r="AF199" i="9"/>
  <c r="AP199" i="9" s="1"/>
  <c r="BA198" i="9"/>
  <c r="AZ198" i="9"/>
  <c r="AS198" i="9"/>
  <c r="AR198" i="9"/>
  <c r="AQ198" i="9"/>
  <c r="AO198" i="9"/>
  <c r="AN198" i="9"/>
  <c r="AM198" i="9"/>
  <c r="AL198" i="9"/>
  <c r="AF198" i="9"/>
  <c r="AP198" i="9" s="1"/>
  <c r="BA197" i="9"/>
  <c r="AZ197" i="9"/>
  <c r="AS197" i="9"/>
  <c r="AR197" i="9"/>
  <c r="AQ197" i="9"/>
  <c r="AO197" i="9"/>
  <c r="AN197" i="9"/>
  <c r="AM197" i="9"/>
  <c r="AL197" i="9"/>
  <c r="AF197" i="9"/>
  <c r="AP197" i="9" s="1"/>
  <c r="BA196" i="9"/>
  <c r="AZ196" i="9"/>
  <c r="AS196" i="9"/>
  <c r="AR196" i="9"/>
  <c r="AQ196" i="9"/>
  <c r="AO196" i="9"/>
  <c r="AN196" i="9"/>
  <c r="AM196" i="9"/>
  <c r="AL196" i="9"/>
  <c r="AF196" i="9"/>
  <c r="AP196" i="9" s="1"/>
  <c r="BA195" i="9"/>
  <c r="AZ195" i="9"/>
  <c r="AS195" i="9"/>
  <c r="AR195" i="9"/>
  <c r="AQ195" i="9"/>
  <c r="AO195" i="9"/>
  <c r="AN195" i="9"/>
  <c r="AM195" i="9"/>
  <c r="AL195" i="9"/>
  <c r="AF195" i="9"/>
  <c r="AP195" i="9" s="1"/>
  <c r="BA194" i="9"/>
  <c r="AZ194" i="9"/>
  <c r="AS194" i="9"/>
  <c r="AR194" i="9"/>
  <c r="AQ194" i="9"/>
  <c r="AO194" i="9"/>
  <c r="AN194" i="9"/>
  <c r="AM194" i="9"/>
  <c r="AL194" i="9"/>
  <c r="AF194" i="9"/>
  <c r="AP194" i="9" s="1"/>
  <c r="BA193" i="9"/>
  <c r="AZ193" i="9"/>
  <c r="AS193" i="9"/>
  <c r="AR193" i="9"/>
  <c r="AQ193" i="9"/>
  <c r="AO193" i="9"/>
  <c r="AN193" i="9"/>
  <c r="AM193" i="9"/>
  <c r="AL193" i="9"/>
  <c r="AF193" i="9"/>
  <c r="AP193" i="9" s="1"/>
  <c r="BA192" i="9"/>
  <c r="AZ192" i="9"/>
  <c r="AS192" i="9"/>
  <c r="AR192" i="9"/>
  <c r="AQ192" i="9"/>
  <c r="AO192" i="9"/>
  <c r="AN192" i="9"/>
  <c r="AM192" i="9"/>
  <c r="AL192" i="9"/>
  <c r="AF192" i="9"/>
  <c r="AP192" i="9" s="1"/>
  <c r="BA191" i="9"/>
  <c r="AZ191" i="9"/>
  <c r="AS191" i="9"/>
  <c r="AR191" i="9"/>
  <c r="AQ191" i="9"/>
  <c r="AO191" i="9"/>
  <c r="AN191" i="9"/>
  <c r="AM191" i="9"/>
  <c r="AL191" i="9"/>
  <c r="AF191" i="9"/>
  <c r="AP191" i="9" s="1"/>
  <c r="BA190" i="9"/>
  <c r="AZ190" i="9"/>
  <c r="AS190" i="9"/>
  <c r="AR190" i="9"/>
  <c r="AQ190" i="9"/>
  <c r="AO190" i="9"/>
  <c r="AN190" i="9"/>
  <c r="AM190" i="9"/>
  <c r="AL190" i="9"/>
  <c r="AF190" i="9"/>
  <c r="AP190" i="9" s="1"/>
  <c r="BA189" i="9"/>
  <c r="AZ189" i="9"/>
  <c r="AS189" i="9"/>
  <c r="AR189" i="9"/>
  <c r="AQ189" i="9"/>
  <c r="AO189" i="9"/>
  <c r="AN189" i="9"/>
  <c r="AM189" i="9"/>
  <c r="AL189" i="9"/>
  <c r="AF189" i="9"/>
  <c r="AP189" i="9" s="1"/>
  <c r="BA188" i="9"/>
  <c r="AZ188" i="9"/>
  <c r="AS188" i="9"/>
  <c r="AR188" i="9"/>
  <c r="AQ188" i="9"/>
  <c r="AO188" i="9"/>
  <c r="AN188" i="9"/>
  <c r="AM188" i="9"/>
  <c r="AL188" i="9"/>
  <c r="AF188" i="9"/>
  <c r="AP188" i="9" s="1"/>
  <c r="BA187" i="9"/>
  <c r="AZ187" i="9"/>
  <c r="AS187" i="9"/>
  <c r="AR187" i="9"/>
  <c r="AQ187" i="9"/>
  <c r="AO187" i="9"/>
  <c r="AN187" i="9"/>
  <c r="AM187" i="9"/>
  <c r="AL187" i="9"/>
  <c r="AF187" i="9"/>
  <c r="AP187" i="9" s="1"/>
  <c r="BA186" i="9"/>
  <c r="AZ186" i="9"/>
  <c r="AS186" i="9"/>
  <c r="AR186" i="9"/>
  <c r="AQ186" i="9"/>
  <c r="AO186" i="9"/>
  <c r="AN186" i="9"/>
  <c r="AM186" i="9"/>
  <c r="AL186" i="9"/>
  <c r="AF186" i="9"/>
  <c r="AP186" i="9" s="1"/>
  <c r="BA185" i="9"/>
  <c r="AZ185" i="9"/>
  <c r="AS185" i="9"/>
  <c r="AR185" i="9"/>
  <c r="AQ185" i="9"/>
  <c r="AO185" i="9"/>
  <c r="AN185" i="9"/>
  <c r="AM185" i="9"/>
  <c r="AL185" i="9"/>
  <c r="AF185" i="9"/>
  <c r="AP185" i="9" s="1"/>
  <c r="BA184" i="9"/>
  <c r="AZ184" i="9"/>
  <c r="AS184" i="9"/>
  <c r="AR184" i="9"/>
  <c r="AQ184" i="9"/>
  <c r="AO184" i="9"/>
  <c r="AN184" i="9"/>
  <c r="AM184" i="9"/>
  <c r="AL184" i="9"/>
  <c r="AF184" i="9"/>
  <c r="AP184" i="9" s="1"/>
  <c r="BA183" i="9"/>
  <c r="AZ183" i="9"/>
  <c r="AS183" i="9"/>
  <c r="AR183" i="9"/>
  <c r="AQ183" i="9"/>
  <c r="AO183" i="9"/>
  <c r="AN183" i="9"/>
  <c r="AM183" i="9"/>
  <c r="AL183" i="9"/>
  <c r="AF183" i="9"/>
  <c r="AP183" i="9" s="1"/>
  <c r="BA182" i="9"/>
  <c r="AZ182" i="9"/>
  <c r="AS182" i="9"/>
  <c r="AR182" i="9"/>
  <c r="AQ182" i="9"/>
  <c r="AO182" i="9"/>
  <c r="AN182" i="9"/>
  <c r="AM182" i="9"/>
  <c r="AL182" i="9"/>
  <c r="AF182" i="9"/>
  <c r="AP182" i="9" s="1"/>
  <c r="BA181" i="9"/>
  <c r="AZ181" i="9"/>
  <c r="AS181" i="9"/>
  <c r="AR181" i="9"/>
  <c r="AQ181" i="9"/>
  <c r="AO181" i="9"/>
  <c r="AN181" i="9"/>
  <c r="AM181" i="9"/>
  <c r="AL181" i="9"/>
  <c r="AF181" i="9"/>
  <c r="AP181" i="9" s="1"/>
  <c r="BA180" i="9"/>
  <c r="AZ180" i="9"/>
  <c r="AS180" i="9"/>
  <c r="AR180" i="9"/>
  <c r="AQ180" i="9"/>
  <c r="AO180" i="9"/>
  <c r="AN180" i="9"/>
  <c r="AM180" i="9"/>
  <c r="AL180" i="9"/>
  <c r="AF180" i="9"/>
  <c r="AP180" i="9" s="1"/>
  <c r="BA179" i="9"/>
  <c r="AZ179" i="9"/>
  <c r="AS179" i="9"/>
  <c r="AR179" i="9"/>
  <c r="AQ179" i="9"/>
  <c r="AO179" i="9"/>
  <c r="AN179" i="9"/>
  <c r="AM179" i="9"/>
  <c r="AL179" i="9"/>
  <c r="AF179" i="9"/>
  <c r="AP179" i="9" s="1"/>
  <c r="BA178" i="9"/>
  <c r="AZ178" i="9"/>
  <c r="AS178" i="9"/>
  <c r="AR178" i="9"/>
  <c r="AQ178" i="9"/>
  <c r="AO178" i="9"/>
  <c r="AN178" i="9"/>
  <c r="AM178" i="9"/>
  <c r="AL178" i="9"/>
  <c r="AF178" i="9"/>
  <c r="AP178" i="9" s="1"/>
  <c r="BA177" i="9"/>
  <c r="AZ177" i="9"/>
  <c r="AS177" i="9"/>
  <c r="AR177" i="9"/>
  <c r="AQ177" i="9"/>
  <c r="AO177" i="9"/>
  <c r="AN177" i="9"/>
  <c r="AM177" i="9"/>
  <c r="AL177" i="9"/>
  <c r="AF177" i="9"/>
  <c r="AP177" i="9" s="1"/>
  <c r="BA176" i="9"/>
  <c r="AZ176" i="9"/>
  <c r="AS176" i="9"/>
  <c r="AR176" i="9"/>
  <c r="AQ176" i="9"/>
  <c r="AO176" i="9"/>
  <c r="AN176" i="9"/>
  <c r="AM176" i="9"/>
  <c r="AL176" i="9"/>
  <c r="AF176" i="9"/>
  <c r="AP176" i="9" s="1"/>
  <c r="BA175" i="9"/>
  <c r="AZ175" i="9"/>
  <c r="AS175" i="9"/>
  <c r="AR175" i="9"/>
  <c r="AQ175" i="9"/>
  <c r="AO175" i="9"/>
  <c r="AN175" i="9"/>
  <c r="AM175" i="9"/>
  <c r="AL175" i="9"/>
  <c r="AF175" i="9"/>
  <c r="AP175" i="9" s="1"/>
  <c r="BA174" i="9"/>
  <c r="AZ174" i="9"/>
  <c r="AS174" i="9"/>
  <c r="AR174" i="9"/>
  <c r="AQ174" i="9"/>
  <c r="AO174" i="9"/>
  <c r="AN174" i="9"/>
  <c r="AM174" i="9"/>
  <c r="AL174" i="9"/>
  <c r="AF174" i="9"/>
  <c r="AP174" i="9" s="1"/>
  <c r="BA173" i="9"/>
  <c r="AZ173" i="9"/>
  <c r="AS173" i="9"/>
  <c r="AR173" i="9"/>
  <c r="AQ173" i="9"/>
  <c r="AO173" i="9"/>
  <c r="AN173" i="9"/>
  <c r="AM173" i="9"/>
  <c r="AL173" i="9"/>
  <c r="AF173" i="9"/>
  <c r="AP173" i="9" s="1"/>
  <c r="BA172" i="9"/>
  <c r="AZ172" i="9"/>
  <c r="AS172" i="9"/>
  <c r="AR172" i="9"/>
  <c r="AQ172" i="9"/>
  <c r="AO172" i="9"/>
  <c r="AN172" i="9"/>
  <c r="AM172" i="9"/>
  <c r="AL172" i="9"/>
  <c r="AF172" i="9"/>
  <c r="AP172" i="9" s="1"/>
  <c r="BA171" i="9"/>
  <c r="AZ171" i="9"/>
  <c r="AS171" i="9"/>
  <c r="AR171" i="9"/>
  <c r="AQ171" i="9"/>
  <c r="AO171" i="9"/>
  <c r="AN171" i="9"/>
  <c r="AM171" i="9"/>
  <c r="AL171" i="9"/>
  <c r="AF171" i="9"/>
  <c r="AP171" i="9" s="1"/>
  <c r="BA170" i="9"/>
  <c r="AZ170" i="9"/>
  <c r="AS170" i="9"/>
  <c r="AR170" i="9"/>
  <c r="AQ170" i="9"/>
  <c r="AO170" i="9"/>
  <c r="AN170" i="9"/>
  <c r="AM170" i="9"/>
  <c r="AL170" i="9"/>
  <c r="AF170" i="9"/>
  <c r="AP170" i="9" s="1"/>
  <c r="BA169" i="9"/>
  <c r="AZ169" i="9"/>
  <c r="AS169" i="9"/>
  <c r="AR169" i="9"/>
  <c r="AQ169" i="9"/>
  <c r="AO169" i="9"/>
  <c r="AN169" i="9"/>
  <c r="AM169" i="9"/>
  <c r="AL169" i="9"/>
  <c r="AF169" i="9"/>
  <c r="AP169" i="9" s="1"/>
  <c r="BA168" i="9"/>
  <c r="AZ168" i="9"/>
  <c r="AS168" i="9"/>
  <c r="AR168" i="9"/>
  <c r="AQ168" i="9"/>
  <c r="AO168" i="9"/>
  <c r="AN168" i="9"/>
  <c r="AM168" i="9"/>
  <c r="AL168" i="9"/>
  <c r="AF168" i="9"/>
  <c r="AP168" i="9" s="1"/>
  <c r="BA167" i="9"/>
  <c r="AZ167" i="9"/>
  <c r="AS167" i="9"/>
  <c r="AR167" i="9"/>
  <c r="AQ167" i="9"/>
  <c r="AO167" i="9"/>
  <c r="AN167" i="9"/>
  <c r="AM167" i="9"/>
  <c r="AL167" i="9"/>
  <c r="AF167" i="9"/>
  <c r="AP167" i="9" s="1"/>
  <c r="BA166" i="9"/>
  <c r="AZ166" i="9"/>
  <c r="AS166" i="9"/>
  <c r="AR166" i="9"/>
  <c r="AQ166" i="9"/>
  <c r="AO166" i="9"/>
  <c r="AN166" i="9"/>
  <c r="AM166" i="9"/>
  <c r="AL166" i="9"/>
  <c r="AF166" i="9"/>
  <c r="AP166" i="9" s="1"/>
  <c r="BA165" i="9"/>
  <c r="AZ165" i="9"/>
  <c r="AS165" i="9"/>
  <c r="AR165" i="9"/>
  <c r="AQ165" i="9"/>
  <c r="AO165" i="9"/>
  <c r="AN165" i="9"/>
  <c r="AM165" i="9"/>
  <c r="AL165" i="9"/>
  <c r="AF165" i="9"/>
  <c r="AP165" i="9" s="1"/>
  <c r="BA164" i="9"/>
  <c r="AZ164" i="9"/>
  <c r="AS164" i="9"/>
  <c r="AR164" i="9"/>
  <c r="AQ164" i="9"/>
  <c r="AO164" i="9"/>
  <c r="AN164" i="9"/>
  <c r="AM164" i="9"/>
  <c r="AL164" i="9"/>
  <c r="AF164" i="9"/>
  <c r="AP164" i="9" s="1"/>
  <c r="BA163" i="9"/>
  <c r="AZ163" i="9"/>
  <c r="AS163" i="9"/>
  <c r="AR163" i="9"/>
  <c r="AQ163" i="9"/>
  <c r="AO163" i="9"/>
  <c r="AN163" i="9"/>
  <c r="AM163" i="9"/>
  <c r="AL163" i="9"/>
  <c r="AF163" i="9"/>
  <c r="AP163" i="9" s="1"/>
  <c r="BA162" i="9"/>
  <c r="AZ162" i="9"/>
  <c r="AS162" i="9"/>
  <c r="AR162" i="9"/>
  <c r="AQ162" i="9"/>
  <c r="AO162" i="9"/>
  <c r="AN162" i="9"/>
  <c r="AM162" i="9"/>
  <c r="AL162" i="9"/>
  <c r="AF162" i="9"/>
  <c r="AP162" i="9" s="1"/>
  <c r="BA161" i="9"/>
  <c r="AZ161" i="9"/>
  <c r="AS161" i="9"/>
  <c r="AR161" i="9"/>
  <c r="AQ161" i="9"/>
  <c r="AO161" i="9"/>
  <c r="AN161" i="9"/>
  <c r="AM161" i="9"/>
  <c r="AL161" i="9"/>
  <c r="AF161" i="9"/>
  <c r="AP161" i="9" s="1"/>
  <c r="BA160" i="9"/>
  <c r="AZ160" i="9"/>
  <c r="AS160" i="9"/>
  <c r="AR160" i="9"/>
  <c r="AQ160" i="9"/>
  <c r="AO160" i="9"/>
  <c r="AN160" i="9"/>
  <c r="AM160" i="9"/>
  <c r="AL160" i="9"/>
  <c r="AF160" i="9"/>
  <c r="AP160" i="9" s="1"/>
  <c r="BA159" i="9"/>
  <c r="AZ159" i="9"/>
  <c r="AS159" i="9"/>
  <c r="AR159" i="9"/>
  <c r="AQ159" i="9"/>
  <c r="AO159" i="9"/>
  <c r="AN159" i="9"/>
  <c r="AM159" i="9"/>
  <c r="AL159" i="9"/>
  <c r="AF159" i="9"/>
  <c r="AP159" i="9" s="1"/>
  <c r="BA158" i="9"/>
  <c r="AZ158" i="9"/>
  <c r="AS158" i="9"/>
  <c r="AR158" i="9"/>
  <c r="AQ158" i="9"/>
  <c r="AO158" i="9"/>
  <c r="AN158" i="9"/>
  <c r="AM158" i="9"/>
  <c r="AL158" i="9"/>
  <c r="AF158" i="9"/>
  <c r="AP158" i="9" s="1"/>
  <c r="BA157" i="9"/>
  <c r="AZ157" i="9"/>
  <c r="AS157" i="9"/>
  <c r="AR157" i="9"/>
  <c r="AQ157" i="9"/>
  <c r="AO157" i="9"/>
  <c r="AN157" i="9"/>
  <c r="AM157" i="9"/>
  <c r="AL157" i="9"/>
  <c r="AF157" i="9"/>
  <c r="AP157" i="9" s="1"/>
  <c r="BA156" i="9"/>
  <c r="AZ156" i="9"/>
  <c r="AS156" i="9"/>
  <c r="AR156" i="9"/>
  <c r="AQ156" i="9"/>
  <c r="AO156" i="9"/>
  <c r="AN156" i="9"/>
  <c r="AM156" i="9"/>
  <c r="AL156" i="9"/>
  <c r="AF156" i="9"/>
  <c r="AP156" i="9" s="1"/>
  <c r="BA155" i="9"/>
  <c r="AZ155" i="9"/>
  <c r="AS155" i="9"/>
  <c r="AR155" i="9"/>
  <c r="AQ155" i="9"/>
  <c r="AO155" i="9"/>
  <c r="AN155" i="9"/>
  <c r="AM155" i="9"/>
  <c r="AL155" i="9"/>
  <c r="AF155" i="9"/>
  <c r="AP155" i="9" s="1"/>
  <c r="BA154" i="9"/>
  <c r="AZ154" i="9"/>
  <c r="AS154" i="9"/>
  <c r="AR154" i="9"/>
  <c r="AQ154" i="9"/>
  <c r="AO154" i="9"/>
  <c r="AN154" i="9"/>
  <c r="AM154" i="9"/>
  <c r="AL154" i="9"/>
  <c r="AF154" i="9"/>
  <c r="AP154" i="9" s="1"/>
  <c r="BA153" i="9"/>
  <c r="AZ153" i="9"/>
  <c r="AS153" i="9"/>
  <c r="AR153" i="9"/>
  <c r="AQ153" i="9"/>
  <c r="AO153" i="9"/>
  <c r="AN153" i="9"/>
  <c r="AM153" i="9"/>
  <c r="AL153" i="9"/>
  <c r="AF153" i="9"/>
  <c r="AP153" i="9" s="1"/>
  <c r="BA152" i="9"/>
  <c r="AZ152" i="9"/>
  <c r="AS152" i="9"/>
  <c r="AR152" i="9"/>
  <c r="AQ152" i="9"/>
  <c r="AO152" i="9"/>
  <c r="AN152" i="9"/>
  <c r="AM152" i="9"/>
  <c r="AL152" i="9"/>
  <c r="AF152" i="9"/>
  <c r="AP152" i="9" s="1"/>
  <c r="BA151" i="9"/>
  <c r="AZ151" i="9"/>
  <c r="AS151" i="9"/>
  <c r="AR151" i="9"/>
  <c r="AQ151" i="9"/>
  <c r="AO151" i="9"/>
  <c r="AN151" i="9"/>
  <c r="AM151" i="9"/>
  <c r="AL151" i="9"/>
  <c r="AF151" i="9"/>
  <c r="AP151" i="9" s="1"/>
  <c r="BA150" i="9"/>
  <c r="AZ150" i="9"/>
  <c r="AS150" i="9"/>
  <c r="AR150" i="9"/>
  <c r="AQ150" i="9"/>
  <c r="AO150" i="9"/>
  <c r="AN150" i="9"/>
  <c r="AM150" i="9"/>
  <c r="AL150" i="9"/>
  <c r="AF150" i="9"/>
  <c r="AP150" i="9" s="1"/>
  <c r="BA149" i="9"/>
  <c r="AZ149" i="9"/>
  <c r="AS149" i="9"/>
  <c r="AR149" i="9"/>
  <c r="AQ149" i="9"/>
  <c r="AP149" i="9"/>
  <c r="AO149" i="9"/>
  <c r="AN149" i="9"/>
  <c r="AM149" i="9"/>
  <c r="AL149" i="9"/>
  <c r="AF149" i="9"/>
  <c r="BA148" i="9"/>
  <c r="AZ148" i="9"/>
  <c r="AS148" i="9"/>
  <c r="AR148" i="9"/>
  <c r="AQ148" i="9"/>
  <c r="AO148" i="9"/>
  <c r="AN148" i="9"/>
  <c r="AM148" i="9"/>
  <c r="AL148" i="9"/>
  <c r="AF148" i="9"/>
  <c r="AP148" i="9" s="1"/>
  <c r="BA147" i="9"/>
  <c r="AZ147" i="9"/>
  <c r="AS147" i="9"/>
  <c r="AR147" i="9"/>
  <c r="AQ147" i="9"/>
  <c r="AO147" i="9"/>
  <c r="AN147" i="9"/>
  <c r="AM147" i="9"/>
  <c r="AL147" i="9"/>
  <c r="AF147" i="9"/>
  <c r="AP147" i="9" s="1"/>
  <c r="BA146" i="9"/>
  <c r="AZ146" i="9"/>
  <c r="AS146" i="9"/>
  <c r="AR146" i="9"/>
  <c r="AQ146" i="9"/>
  <c r="AO146" i="9"/>
  <c r="AN146" i="9"/>
  <c r="AM146" i="9"/>
  <c r="AL146" i="9"/>
  <c r="AF146" i="9"/>
  <c r="AP146" i="9" s="1"/>
  <c r="BA145" i="9"/>
  <c r="AZ145" i="9"/>
  <c r="AS145" i="9"/>
  <c r="AR145" i="9"/>
  <c r="AQ145" i="9"/>
  <c r="AO145" i="9"/>
  <c r="AN145" i="9"/>
  <c r="AM145" i="9"/>
  <c r="AL145" i="9"/>
  <c r="AF145" i="9"/>
  <c r="AP145" i="9" s="1"/>
  <c r="BA144" i="9"/>
  <c r="AZ144" i="9"/>
  <c r="AS144" i="9"/>
  <c r="AR144" i="9"/>
  <c r="AQ144" i="9"/>
  <c r="AO144" i="9"/>
  <c r="AN144" i="9"/>
  <c r="AM144" i="9"/>
  <c r="AL144" i="9"/>
  <c r="AF144" i="9"/>
  <c r="AP144" i="9" s="1"/>
  <c r="BA143" i="9"/>
  <c r="AZ143" i="9"/>
  <c r="AS143" i="9"/>
  <c r="AR143" i="9"/>
  <c r="AQ143" i="9"/>
  <c r="AO143" i="9"/>
  <c r="AN143" i="9"/>
  <c r="AM143" i="9"/>
  <c r="AL143" i="9"/>
  <c r="AF143" i="9"/>
  <c r="AP143" i="9" s="1"/>
  <c r="BA142" i="9"/>
  <c r="AZ142" i="9"/>
  <c r="AS142" i="9"/>
  <c r="AR142" i="9"/>
  <c r="AQ142" i="9"/>
  <c r="AO142" i="9"/>
  <c r="AN142" i="9"/>
  <c r="AM142" i="9"/>
  <c r="AL142" i="9"/>
  <c r="AF142" i="9"/>
  <c r="AP142" i="9" s="1"/>
  <c r="BA141" i="9"/>
  <c r="AZ141" i="9"/>
  <c r="AS141" i="9"/>
  <c r="AR141" i="9"/>
  <c r="AQ141" i="9"/>
  <c r="AO141" i="9"/>
  <c r="AN141" i="9"/>
  <c r="AM141" i="9"/>
  <c r="AL141" i="9"/>
  <c r="AF141" i="9"/>
  <c r="AP141" i="9" s="1"/>
  <c r="BA140" i="9"/>
  <c r="AZ140" i="9"/>
  <c r="AS140" i="9"/>
  <c r="AR140" i="9"/>
  <c r="AQ140" i="9"/>
  <c r="AO140" i="9"/>
  <c r="AN140" i="9"/>
  <c r="AM140" i="9"/>
  <c r="AL140" i="9"/>
  <c r="AF140" i="9"/>
  <c r="AP140" i="9" s="1"/>
  <c r="BA139" i="9"/>
  <c r="AZ139" i="9"/>
  <c r="AS139" i="9"/>
  <c r="AR139" i="9"/>
  <c r="AQ139" i="9"/>
  <c r="AO139" i="9"/>
  <c r="AN139" i="9"/>
  <c r="AM139" i="9"/>
  <c r="AL139" i="9"/>
  <c r="AF139" i="9"/>
  <c r="AP139" i="9" s="1"/>
  <c r="BA138" i="9"/>
  <c r="AZ138" i="9"/>
  <c r="AS138" i="9"/>
  <c r="AR138" i="9"/>
  <c r="AQ138" i="9"/>
  <c r="AO138" i="9"/>
  <c r="AN138" i="9"/>
  <c r="AM138" i="9"/>
  <c r="AL138" i="9"/>
  <c r="AF138" i="9"/>
  <c r="AP138" i="9" s="1"/>
  <c r="BA137" i="9"/>
  <c r="AZ137" i="9"/>
  <c r="AS137" i="9"/>
  <c r="AR137" i="9"/>
  <c r="AQ137" i="9"/>
  <c r="AO137" i="9"/>
  <c r="AN137" i="9"/>
  <c r="AM137" i="9"/>
  <c r="AL137" i="9"/>
  <c r="AF137" i="9"/>
  <c r="AP137" i="9" s="1"/>
  <c r="BA136" i="9"/>
  <c r="AZ136" i="9"/>
  <c r="AS136" i="9"/>
  <c r="AR136" i="9"/>
  <c r="AQ136" i="9"/>
  <c r="AO136" i="9"/>
  <c r="AN136" i="9"/>
  <c r="AM136" i="9"/>
  <c r="AL136" i="9"/>
  <c r="AF136" i="9"/>
  <c r="AP136" i="9" s="1"/>
  <c r="BA135" i="9"/>
  <c r="AZ135" i="9"/>
  <c r="AS135" i="9"/>
  <c r="AR135" i="9"/>
  <c r="AQ135" i="9"/>
  <c r="AO135" i="9"/>
  <c r="AN135" i="9"/>
  <c r="AM135" i="9"/>
  <c r="AL135" i="9"/>
  <c r="AF135" i="9"/>
  <c r="AP135" i="9" s="1"/>
  <c r="BA134" i="9"/>
  <c r="AZ134" i="9"/>
  <c r="AS134" i="9"/>
  <c r="AR134" i="9"/>
  <c r="AQ134" i="9"/>
  <c r="AO134" i="9"/>
  <c r="AN134" i="9"/>
  <c r="AM134" i="9"/>
  <c r="AL134" i="9"/>
  <c r="AF134" i="9"/>
  <c r="AP134" i="9" s="1"/>
  <c r="BA133" i="9"/>
  <c r="AZ133" i="9"/>
  <c r="AS133" i="9"/>
  <c r="AR133" i="9"/>
  <c r="AQ133" i="9"/>
  <c r="AP133" i="9"/>
  <c r="AO133" i="9"/>
  <c r="AN133" i="9"/>
  <c r="AM133" i="9"/>
  <c r="AL133" i="9"/>
  <c r="AF133" i="9"/>
  <c r="BA132" i="9"/>
  <c r="AZ132" i="9"/>
  <c r="AS132" i="9"/>
  <c r="AR132" i="9"/>
  <c r="AQ132" i="9"/>
  <c r="AO132" i="9"/>
  <c r="AN132" i="9"/>
  <c r="AM132" i="9"/>
  <c r="AL132" i="9"/>
  <c r="AF132" i="9"/>
  <c r="AP132" i="9" s="1"/>
  <c r="BA131" i="9"/>
  <c r="AZ131" i="9"/>
  <c r="AS131" i="9"/>
  <c r="AR131" i="9"/>
  <c r="AQ131" i="9"/>
  <c r="AO131" i="9"/>
  <c r="AN131" i="9"/>
  <c r="AM131" i="9"/>
  <c r="AL131" i="9"/>
  <c r="AF131" i="9"/>
  <c r="AP131" i="9" s="1"/>
  <c r="BA130" i="9"/>
  <c r="AZ130" i="9"/>
  <c r="AS130" i="9"/>
  <c r="AR130" i="9"/>
  <c r="AQ130" i="9"/>
  <c r="AO130" i="9"/>
  <c r="AN130" i="9"/>
  <c r="AM130" i="9"/>
  <c r="AL130" i="9"/>
  <c r="AF130" i="9"/>
  <c r="AP130" i="9" s="1"/>
  <c r="BA129" i="9"/>
  <c r="AZ129" i="9"/>
  <c r="AS129" i="9"/>
  <c r="AR129" i="9"/>
  <c r="AQ129" i="9"/>
  <c r="AO129" i="9"/>
  <c r="AN129" i="9"/>
  <c r="AM129" i="9"/>
  <c r="AL129" i="9"/>
  <c r="AF129" i="9"/>
  <c r="AP129" i="9" s="1"/>
  <c r="BA128" i="9"/>
  <c r="AZ128" i="9"/>
  <c r="AS128" i="9"/>
  <c r="AR128" i="9"/>
  <c r="AQ128" i="9"/>
  <c r="AO128" i="9"/>
  <c r="AN128" i="9"/>
  <c r="AM128" i="9"/>
  <c r="AL128" i="9"/>
  <c r="AF128" i="9"/>
  <c r="AP128" i="9" s="1"/>
  <c r="BA127" i="9"/>
  <c r="AZ127" i="9"/>
  <c r="AS127" i="9"/>
  <c r="AR127" i="9"/>
  <c r="AQ127" i="9"/>
  <c r="AO127" i="9"/>
  <c r="AN127" i="9"/>
  <c r="AM127" i="9"/>
  <c r="AL127" i="9"/>
  <c r="AF127" i="9"/>
  <c r="AP127" i="9" s="1"/>
  <c r="BA126" i="9"/>
  <c r="AZ126" i="9"/>
  <c r="AS126" i="9"/>
  <c r="AR126" i="9"/>
  <c r="AQ126" i="9"/>
  <c r="AO126" i="9"/>
  <c r="AN126" i="9"/>
  <c r="AM126" i="9"/>
  <c r="AL126" i="9"/>
  <c r="AF126" i="9"/>
  <c r="AP126" i="9" s="1"/>
  <c r="BA125" i="9"/>
  <c r="AZ125" i="9"/>
  <c r="AS125" i="9"/>
  <c r="AR125" i="9"/>
  <c r="AQ125" i="9"/>
  <c r="AO125" i="9"/>
  <c r="AN125" i="9"/>
  <c r="AM125" i="9"/>
  <c r="AL125" i="9"/>
  <c r="AF125" i="9"/>
  <c r="AP125" i="9" s="1"/>
  <c r="BA124" i="9"/>
  <c r="AZ124" i="9"/>
  <c r="AS124" i="9"/>
  <c r="AR124" i="9"/>
  <c r="AQ124" i="9"/>
  <c r="AO124" i="9"/>
  <c r="AN124" i="9"/>
  <c r="AM124" i="9"/>
  <c r="AL124" i="9"/>
  <c r="AF124" i="9"/>
  <c r="AP124" i="9" s="1"/>
  <c r="BA123" i="9"/>
  <c r="AZ123" i="9"/>
  <c r="AS123" i="9"/>
  <c r="AR123" i="9"/>
  <c r="AQ123" i="9"/>
  <c r="AO123" i="9"/>
  <c r="AN123" i="9"/>
  <c r="AM123" i="9"/>
  <c r="AL123" i="9"/>
  <c r="AF123" i="9"/>
  <c r="AP123" i="9" s="1"/>
  <c r="BA122" i="9"/>
  <c r="AZ122" i="9"/>
  <c r="AS122" i="9"/>
  <c r="AR122" i="9"/>
  <c r="AQ122" i="9"/>
  <c r="AO122" i="9"/>
  <c r="AN122" i="9"/>
  <c r="AM122" i="9"/>
  <c r="AL122" i="9"/>
  <c r="AF122" i="9"/>
  <c r="AP122" i="9" s="1"/>
  <c r="BA121" i="9"/>
  <c r="AZ121" i="9"/>
  <c r="AS121" i="9"/>
  <c r="AR121" i="9"/>
  <c r="AQ121" i="9"/>
  <c r="AO121" i="9"/>
  <c r="AN121" i="9"/>
  <c r="AM121" i="9"/>
  <c r="AL121" i="9"/>
  <c r="AF121" i="9"/>
  <c r="AP121" i="9" s="1"/>
  <c r="BA120" i="9"/>
  <c r="AZ120" i="9"/>
  <c r="AS120" i="9"/>
  <c r="AR120" i="9"/>
  <c r="AQ120" i="9"/>
  <c r="AO120" i="9"/>
  <c r="AN120" i="9"/>
  <c r="AM120" i="9"/>
  <c r="AL120" i="9"/>
  <c r="AF120" i="9"/>
  <c r="AP120" i="9" s="1"/>
  <c r="BA119" i="9"/>
  <c r="AZ119" i="9"/>
  <c r="AS119" i="9"/>
  <c r="AR119" i="9"/>
  <c r="AQ119" i="9"/>
  <c r="AO119" i="9"/>
  <c r="AN119" i="9"/>
  <c r="AM119" i="9"/>
  <c r="AL119" i="9"/>
  <c r="AF119" i="9"/>
  <c r="AP119" i="9" s="1"/>
  <c r="BA118" i="9"/>
  <c r="AZ118" i="9"/>
  <c r="AS118" i="9"/>
  <c r="AR118" i="9"/>
  <c r="AQ118" i="9"/>
  <c r="AO118" i="9"/>
  <c r="AN118" i="9"/>
  <c r="AM118" i="9"/>
  <c r="AL118" i="9"/>
  <c r="AF118" i="9"/>
  <c r="AP118" i="9" s="1"/>
  <c r="BA117" i="9"/>
  <c r="AZ117" i="9"/>
  <c r="AS117" i="9"/>
  <c r="AR117" i="9"/>
  <c r="AQ117" i="9"/>
  <c r="AO117" i="9"/>
  <c r="AN117" i="9"/>
  <c r="AM117" i="9"/>
  <c r="AL117" i="9"/>
  <c r="AF117" i="9"/>
  <c r="AP117" i="9" s="1"/>
  <c r="BA116" i="9"/>
  <c r="AZ116" i="9"/>
  <c r="AS116" i="9"/>
  <c r="AR116" i="9"/>
  <c r="AQ116" i="9"/>
  <c r="AO116" i="9"/>
  <c r="AN116" i="9"/>
  <c r="AM116" i="9"/>
  <c r="AL116" i="9"/>
  <c r="AF116" i="9"/>
  <c r="AP116" i="9" s="1"/>
  <c r="BA115" i="9"/>
  <c r="AZ115" i="9"/>
  <c r="AS115" i="9"/>
  <c r="AR115" i="9"/>
  <c r="AQ115" i="9"/>
  <c r="AO115" i="9"/>
  <c r="AN115" i="9"/>
  <c r="AM115" i="9"/>
  <c r="AL115" i="9"/>
  <c r="AF115" i="9"/>
  <c r="AP115" i="9" s="1"/>
  <c r="BA114" i="9"/>
  <c r="AZ114" i="9"/>
  <c r="AS114" i="9"/>
  <c r="AR114" i="9"/>
  <c r="AQ114" i="9"/>
  <c r="AO114" i="9"/>
  <c r="AN114" i="9"/>
  <c r="AM114" i="9"/>
  <c r="AL114" i="9"/>
  <c r="AF114" i="9"/>
  <c r="AP114" i="9" s="1"/>
  <c r="BA113" i="9"/>
  <c r="AZ113" i="9"/>
  <c r="AS113" i="9"/>
  <c r="AR113" i="9"/>
  <c r="AQ113" i="9"/>
  <c r="AO113" i="9"/>
  <c r="AN113" i="9"/>
  <c r="AM113" i="9"/>
  <c r="AL113" i="9"/>
  <c r="AF113" i="9"/>
  <c r="K113" i="9"/>
  <c r="BA112" i="9"/>
  <c r="AZ112" i="9"/>
  <c r="AS112" i="9"/>
  <c r="AR112" i="9"/>
  <c r="AQ112" i="9"/>
  <c r="AO112" i="9"/>
  <c r="AN112" i="9"/>
  <c r="AM112" i="9"/>
  <c r="AL112" i="9"/>
  <c r="AF112" i="9"/>
  <c r="AP112" i="9" s="1"/>
  <c r="BA111" i="9"/>
  <c r="AZ111" i="9"/>
  <c r="AS111" i="9"/>
  <c r="AR111" i="9"/>
  <c r="AQ111" i="9"/>
  <c r="AO111" i="9"/>
  <c r="AN111" i="9"/>
  <c r="AM111" i="9"/>
  <c r="AL111" i="9"/>
  <c r="AF111" i="9"/>
  <c r="AP111" i="9" s="1"/>
  <c r="BA110" i="9"/>
  <c r="AZ110" i="9"/>
  <c r="AS110" i="9"/>
  <c r="AR110" i="9"/>
  <c r="AQ110" i="9"/>
  <c r="AO110" i="9"/>
  <c r="AN110" i="9"/>
  <c r="AM110" i="9"/>
  <c r="AL110" i="9"/>
  <c r="AF110" i="9"/>
  <c r="AP110" i="9" s="1"/>
  <c r="BA109" i="9"/>
  <c r="AZ109" i="9"/>
  <c r="AS109" i="9"/>
  <c r="AR109" i="9"/>
  <c r="AQ109" i="9"/>
  <c r="AO109" i="9"/>
  <c r="AN109" i="9"/>
  <c r="AM109" i="9"/>
  <c r="AL109" i="9"/>
  <c r="AF109" i="9"/>
  <c r="AP109" i="9" s="1"/>
  <c r="BA108" i="9"/>
  <c r="AZ108" i="9"/>
  <c r="AS108" i="9"/>
  <c r="AR108" i="9"/>
  <c r="AQ108" i="9"/>
  <c r="AO108" i="9"/>
  <c r="AN108" i="9"/>
  <c r="AM108" i="9"/>
  <c r="AL108" i="9"/>
  <c r="AF108" i="9"/>
  <c r="AP108" i="9" s="1"/>
  <c r="BA107" i="9"/>
  <c r="AZ107" i="9"/>
  <c r="AS107" i="9"/>
  <c r="AR107" i="9"/>
  <c r="AQ107" i="9"/>
  <c r="AP107" i="9"/>
  <c r="AO107" i="9"/>
  <c r="AN107" i="9"/>
  <c r="AM107" i="9"/>
  <c r="AL107" i="9"/>
  <c r="AF107" i="9"/>
  <c r="BA106" i="9"/>
  <c r="AZ106" i="9"/>
  <c r="AS106" i="9"/>
  <c r="AR106" i="9"/>
  <c r="AQ106" i="9"/>
  <c r="AO106" i="9"/>
  <c r="AN106" i="9"/>
  <c r="AM106" i="9"/>
  <c r="AL106" i="9"/>
  <c r="AF106" i="9"/>
  <c r="AP106" i="9" s="1"/>
  <c r="BA105" i="9"/>
  <c r="AZ105" i="9"/>
  <c r="AS105" i="9"/>
  <c r="AR105" i="9"/>
  <c r="AQ105" i="9"/>
  <c r="AO105" i="9"/>
  <c r="AN105" i="9"/>
  <c r="AM105" i="9"/>
  <c r="AL105" i="9"/>
  <c r="AF105" i="9"/>
  <c r="AP105" i="9" s="1"/>
  <c r="BA104" i="9"/>
  <c r="AZ104" i="9"/>
  <c r="AS104" i="9"/>
  <c r="AR104" i="9"/>
  <c r="AQ104" i="9"/>
  <c r="AO104" i="9"/>
  <c r="AN104" i="9"/>
  <c r="AM104" i="9"/>
  <c r="AL104" i="9"/>
  <c r="AF104" i="9"/>
  <c r="AP104" i="9" s="1"/>
  <c r="BA103" i="9"/>
  <c r="AZ103" i="9"/>
  <c r="AS103" i="9"/>
  <c r="AR103" i="9"/>
  <c r="AQ103" i="9"/>
  <c r="AO103" i="9"/>
  <c r="AN103" i="9"/>
  <c r="AM103" i="9"/>
  <c r="AL103" i="9"/>
  <c r="AF103" i="9"/>
  <c r="AP103" i="9" s="1"/>
  <c r="BA102" i="9"/>
  <c r="AZ102" i="9"/>
  <c r="AS102" i="9"/>
  <c r="AR102" i="9"/>
  <c r="AQ102" i="9"/>
  <c r="AO102" i="9"/>
  <c r="AN102" i="9"/>
  <c r="AM102" i="9"/>
  <c r="AL102" i="9"/>
  <c r="AF102" i="9"/>
  <c r="AP102" i="9" s="1"/>
  <c r="BA101" i="9"/>
  <c r="AZ101" i="9"/>
  <c r="AS101" i="9"/>
  <c r="AR101" i="9"/>
  <c r="AQ101" i="9"/>
  <c r="AO101" i="9"/>
  <c r="AN101" i="9"/>
  <c r="AM101" i="9"/>
  <c r="AL101" i="9"/>
  <c r="AF101" i="9"/>
  <c r="AP101" i="9" s="1"/>
  <c r="BA100" i="9"/>
  <c r="AZ100" i="9"/>
  <c r="AS100" i="9"/>
  <c r="AR100" i="9"/>
  <c r="AQ100" i="9"/>
  <c r="AO100" i="9"/>
  <c r="AN100" i="9"/>
  <c r="AM100" i="9"/>
  <c r="AL100" i="9"/>
  <c r="AF100" i="9"/>
  <c r="AP100" i="9" s="1"/>
  <c r="BA99" i="9"/>
  <c r="AZ99" i="9"/>
  <c r="AS99" i="9"/>
  <c r="AR99" i="9"/>
  <c r="AQ99" i="9"/>
  <c r="AO99" i="9"/>
  <c r="AN99" i="9"/>
  <c r="AM99" i="9"/>
  <c r="AL99" i="9"/>
  <c r="AF99" i="9"/>
  <c r="AP99" i="9" s="1"/>
  <c r="BA98" i="9"/>
  <c r="AZ98" i="9"/>
  <c r="AS98" i="9"/>
  <c r="AR98" i="9"/>
  <c r="AQ98" i="9"/>
  <c r="AO98" i="9"/>
  <c r="AN98" i="9"/>
  <c r="AM98" i="9"/>
  <c r="AL98" i="9"/>
  <c r="AF98" i="9"/>
  <c r="AP98" i="9" s="1"/>
  <c r="BA97" i="9"/>
  <c r="AZ97" i="9"/>
  <c r="AS97" i="9"/>
  <c r="AR97" i="9"/>
  <c r="AQ97" i="9"/>
  <c r="AO97" i="9"/>
  <c r="AN97" i="9"/>
  <c r="AM97" i="9"/>
  <c r="AL97" i="9"/>
  <c r="AF97" i="9"/>
  <c r="AP97" i="9" s="1"/>
  <c r="BA96" i="9"/>
  <c r="AZ96" i="9"/>
  <c r="AS96" i="9"/>
  <c r="AR96" i="9"/>
  <c r="AQ96" i="9"/>
  <c r="AO96" i="9"/>
  <c r="AN96" i="9"/>
  <c r="AM96" i="9"/>
  <c r="AL96" i="9"/>
  <c r="AF96" i="9"/>
  <c r="AP96" i="9" s="1"/>
  <c r="BA95" i="9"/>
  <c r="AZ95" i="9"/>
  <c r="AS95" i="9"/>
  <c r="AR95" i="9"/>
  <c r="AQ95" i="9"/>
  <c r="AO95" i="9"/>
  <c r="AN95" i="9"/>
  <c r="AM95" i="9"/>
  <c r="AL95" i="9"/>
  <c r="AF95" i="9"/>
  <c r="AP95" i="9" s="1"/>
  <c r="BA94" i="9"/>
  <c r="AZ94" i="9"/>
  <c r="AS94" i="9"/>
  <c r="AR94" i="9"/>
  <c r="AQ94" i="9"/>
  <c r="AO94" i="9"/>
  <c r="AN94" i="9"/>
  <c r="AM94" i="9"/>
  <c r="AL94" i="9"/>
  <c r="AF94" i="9"/>
  <c r="AP94" i="9" s="1"/>
  <c r="BA93" i="9"/>
  <c r="AZ93" i="9"/>
  <c r="AS93" i="9"/>
  <c r="AR93" i="9"/>
  <c r="AQ93" i="9"/>
  <c r="AO93" i="9"/>
  <c r="AN93" i="9"/>
  <c r="AM93" i="9"/>
  <c r="AL93" i="9"/>
  <c r="AF93" i="9"/>
  <c r="AP93" i="9" s="1"/>
  <c r="BA92" i="9"/>
  <c r="AZ92" i="9"/>
  <c r="AS92" i="9"/>
  <c r="AR92" i="9"/>
  <c r="AQ92" i="9"/>
  <c r="AO92" i="9"/>
  <c r="AN92" i="9"/>
  <c r="AM92" i="9"/>
  <c r="AL92" i="9"/>
  <c r="AF92" i="9"/>
  <c r="AP92" i="9" s="1"/>
  <c r="BA91" i="9"/>
  <c r="AZ91" i="9"/>
  <c r="AS91" i="9"/>
  <c r="AR91" i="9"/>
  <c r="AQ91" i="9"/>
  <c r="AO91" i="9"/>
  <c r="AN91" i="9"/>
  <c r="AM91" i="9"/>
  <c r="AL91" i="9"/>
  <c r="AF91" i="9"/>
  <c r="AP91" i="9" s="1"/>
  <c r="BA90" i="9"/>
  <c r="AZ90" i="9"/>
  <c r="AS90" i="9"/>
  <c r="AR90" i="9"/>
  <c r="AQ90" i="9"/>
  <c r="AO90" i="9"/>
  <c r="AN90" i="9"/>
  <c r="AM90" i="9"/>
  <c r="AL90" i="9"/>
  <c r="AF90" i="9"/>
  <c r="AP90" i="9" s="1"/>
  <c r="BA89" i="9"/>
  <c r="AZ89" i="9"/>
  <c r="AS89" i="9"/>
  <c r="AR89" i="9"/>
  <c r="AQ89" i="9"/>
  <c r="AO89" i="9"/>
  <c r="AN89" i="9"/>
  <c r="AM89" i="9"/>
  <c r="AL89" i="9"/>
  <c r="AF89" i="9"/>
  <c r="AP89" i="9" s="1"/>
  <c r="BA88" i="9"/>
  <c r="AZ88" i="9"/>
  <c r="AS88" i="9"/>
  <c r="AR88" i="9"/>
  <c r="AQ88" i="9"/>
  <c r="AO88" i="9"/>
  <c r="AN88" i="9"/>
  <c r="AM88" i="9"/>
  <c r="AL88" i="9"/>
  <c r="AF88" i="9"/>
  <c r="AP88" i="9" s="1"/>
  <c r="BA87" i="9"/>
  <c r="AZ87" i="9"/>
  <c r="AS87" i="9"/>
  <c r="AR87" i="9"/>
  <c r="AQ87" i="9"/>
  <c r="AO87" i="9"/>
  <c r="AN87" i="9"/>
  <c r="AM87" i="9"/>
  <c r="AL87" i="9"/>
  <c r="AF87" i="9"/>
  <c r="AP87" i="9" s="1"/>
  <c r="BA86" i="9"/>
  <c r="AZ86" i="9"/>
  <c r="AS86" i="9"/>
  <c r="AR86" i="9"/>
  <c r="AQ86" i="9"/>
  <c r="AO86" i="9"/>
  <c r="AN86" i="9"/>
  <c r="AM86" i="9"/>
  <c r="AL86" i="9"/>
  <c r="AF86" i="9"/>
  <c r="AP86" i="9" s="1"/>
  <c r="BA85" i="9"/>
  <c r="AZ85" i="9"/>
  <c r="AS85" i="9"/>
  <c r="AR85" i="9"/>
  <c r="AQ85" i="9"/>
  <c r="AO85" i="9"/>
  <c r="AN85" i="9"/>
  <c r="AM85" i="9"/>
  <c r="AL85" i="9"/>
  <c r="AF85" i="9"/>
  <c r="AP85" i="9" s="1"/>
  <c r="BA84" i="9"/>
  <c r="AZ84" i="9"/>
  <c r="AS84" i="9"/>
  <c r="AR84" i="9"/>
  <c r="AQ84" i="9"/>
  <c r="AO84" i="9"/>
  <c r="AN84" i="9"/>
  <c r="AM84" i="9"/>
  <c r="AL84" i="9"/>
  <c r="AF84" i="9"/>
  <c r="AP84" i="9" s="1"/>
  <c r="BA83" i="9"/>
  <c r="AZ83" i="9"/>
  <c r="AS83" i="9"/>
  <c r="AR83" i="9"/>
  <c r="AQ83" i="9"/>
  <c r="AO83" i="9"/>
  <c r="AN83" i="9"/>
  <c r="AM83" i="9"/>
  <c r="AL83" i="9"/>
  <c r="AF83" i="9"/>
  <c r="AP83" i="9" s="1"/>
  <c r="BA82" i="9"/>
  <c r="AZ82" i="9"/>
  <c r="AS82" i="9"/>
  <c r="AR82" i="9"/>
  <c r="AQ82" i="9"/>
  <c r="AO82" i="9"/>
  <c r="AN82" i="9"/>
  <c r="AM82" i="9"/>
  <c r="AL82" i="9"/>
  <c r="AF82" i="9"/>
  <c r="AP82" i="9" s="1"/>
  <c r="BA81" i="9"/>
  <c r="AZ81" i="9"/>
  <c r="AS81" i="9"/>
  <c r="AR81" i="9"/>
  <c r="AQ81" i="9"/>
  <c r="AO81" i="9"/>
  <c r="AN81" i="9"/>
  <c r="AM81" i="9"/>
  <c r="AL81" i="9"/>
  <c r="AF81" i="9"/>
  <c r="AP81" i="9" s="1"/>
  <c r="BA80" i="9"/>
  <c r="AZ80" i="9"/>
  <c r="AS80" i="9"/>
  <c r="AR80" i="9"/>
  <c r="AQ80" i="9"/>
  <c r="AP80" i="9"/>
  <c r="AO80" i="9"/>
  <c r="AN80" i="9"/>
  <c r="AM80" i="9"/>
  <c r="AL80" i="9"/>
  <c r="AF80" i="9"/>
  <c r="BA79" i="9"/>
  <c r="AZ79" i="9"/>
  <c r="AS79" i="9"/>
  <c r="AR79" i="9"/>
  <c r="AQ79" i="9"/>
  <c r="AO79" i="9"/>
  <c r="AN79" i="9"/>
  <c r="AM79" i="9"/>
  <c r="AL79" i="9"/>
  <c r="AF79" i="9"/>
  <c r="AP79" i="9" s="1"/>
  <c r="BA78" i="9"/>
  <c r="AZ78" i="9"/>
  <c r="AS78" i="9"/>
  <c r="AR78" i="9"/>
  <c r="AQ78" i="9"/>
  <c r="AO78" i="9"/>
  <c r="AN78" i="9"/>
  <c r="AM78" i="9"/>
  <c r="AL78" i="9"/>
  <c r="AF78" i="9"/>
  <c r="AP78" i="9" s="1"/>
  <c r="BA77" i="9"/>
  <c r="AZ77" i="9"/>
  <c r="AS77" i="9"/>
  <c r="AR77" i="9"/>
  <c r="AQ77" i="9"/>
  <c r="AO77" i="9"/>
  <c r="AN77" i="9"/>
  <c r="AM77" i="9"/>
  <c r="AL77" i="9"/>
  <c r="AF77" i="9"/>
  <c r="AP77" i="9" s="1"/>
  <c r="BA76" i="9"/>
  <c r="AZ76" i="9"/>
  <c r="AS76" i="9"/>
  <c r="AR76" i="9"/>
  <c r="AQ76" i="9"/>
  <c r="AO76" i="9"/>
  <c r="AN76" i="9"/>
  <c r="AM76" i="9"/>
  <c r="AL76" i="9"/>
  <c r="AF76" i="9"/>
  <c r="AP76" i="9" s="1"/>
  <c r="BA75" i="9"/>
  <c r="AZ75" i="9"/>
  <c r="AS75" i="9"/>
  <c r="AR75" i="9"/>
  <c r="AQ75" i="9"/>
  <c r="AO75" i="9"/>
  <c r="AN75" i="9"/>
  <c r="AM75" i="9"/>
  <c r="AL75" i="9"/>
  <c r="AF75" i="9"/>
  <c r="AP75" i="9" s="1"/>
  <c r="BA74" i="9"/>
  <c r="AZ74" i="9"/>
  <c r="AS74" i="9"/>
  <c r="AR74" i="9"/>
  <c r="AQ74" i="9"/>
  <c r="AO74" i="9"/>
  <c r="AN74" i="9"/>
  <c r="AM74" i="9"/>
  <c r="AL74" i="9"/>
  <c r="AF74" i="9"/>
  <c r="AP74" i="9" s="1"/>
  <c r="BA73" i="9"/>
  <c r="AZ73" i="9"/>
  <c r="AS73" i="9"/>
  <c r="AR73" i="9"/>
  <c r="AQ73" i="9"/>
  <c r="AO73" i="9"/>
  <c r="AN73" i="9"/>
  <c r="AM73" i="9"/>
  <c r="AL73" i="9"/>
  <c r="AF73" i="9"/>
  <c r="AP73" i="9" s="1"/>
  <c r="BA72" i="9"/>
  <c r="AZ72" i="9"/>
  <c r="AS72" i="9"/>
  <c r="AR72" i="9"/>
  <c r="AQ72" i="9"/>
  <c r="AO72" i="9"/>
  <c r="AN72" i="9"/>
  <c r="AM72" i="9"/>
  <c r="AL72" i="9"/>
  <c r="AF72" i="9"/>
  <c r="AP72" i="9" s="1"/>
  <c r="BA71" i="9"/>
  <c r="AZ71" i="9"/>
  <c r="AS71" i="9"/>
  <c r="AR71" i="9"/>
  <c r="AQ71" i="9"/>
  <c r="AO71" i="9"/>
  <c r="AN71" i="9"/>
  <c r="AM71" i="9"/>
  <c r="AL71" i="9"/>
  <c r="AF71" i="9"/>
  <c r="AP71" i="9" s="1"/>
  <c r="BA70" i="9"/>
  <c r="AZ70" i="9"/>
  <c r="AS70" i="9"/>
  <c r="AR70" i="9"/>
  <c r="AQ70" i="9"/>
  <c r="AO70" i="9"/>
  <c r="AN70" i="9"/>
  <c r="AM70" i="9"/>
  <c r="AL70" i="9"/>
  <c r="AF70" i="9"/>
  <c r="AP70" i="9" s="1"/>
  <c r="BA69" i="9"/>
  <c r="AZ69" i="9"/>
  <c r="AS69" i="9"/>
  <c r="AR69" i="9"/>
  <c r="AQ69" i="9"/>
  <c r="AO69" i="9"/>
  <c r="AN69" i="9"/>
  <c r="AM69" i="9"/>
  <c r="AL69" i="9"/>
  <c r="AF69" i="9"/>
  <c r="AP69" i="9" s="1"/>
  <c r="BA68" i="9"/>
  <c r="AZ68" i="9"/>
  <c r="AS68" i="9"/>
  <c r="AR68" i="9"/>
  <c r="AQ68" i="9"/>
  <c r="AO68" i="9"/>
  <c r="AN68" i="9"/>
  <c r="AM68" i="9"/>
  <c r="AL68" i="9"/>
  <c r="AF68" i="9"/>
  <c r="AP68" i="9" s="1"/>
  <c r="BA67" i="9"/>
  <c r="AZ67" i="9"/>
  <c r="AS67" i="9"/>
  <c r="AR67" i="9"/>
  <c r="AQ67" i="9"/>
  <c r="AO67" i="9"/>
  <c r="AN67" i="9"/>
  <c r="AM67" i="9"/>
  <c r="AL67" i="9"/>
  <c r="AF67" i="9"/>
  <c r="AP67" i="9" s="1"/>
  <c r="BA66" i="9"/>
  <c r="AZ66" i="9"/>
  <c r="AS66" i="9"/>
  <c r="AR66" i="9"/>
  <c r="AQ66" i="9"/>
  <c r="AO66" i="9"/>
  <c r="AN66" i="9"/>
  <c r="AM66" i="9"/>
  <c r="AL66" i="9"/>
  <c r="AF66" i="9"/>
  <c r="AP66" i="9" s="1"/>
  <c r="BA65" i="9"/>
  <c r="AZ65" i="9"/>
  <c r="AS65" i="9"/>
  <c r="AR65" i="9"/>
  <c r="AQ65" i="9"/>
  <c r="AO65" i="9"/>
  <c r="AN65" i="9"/>
  <c r="AM65" i="9"/>
  <c r="AL65" i="9"/>
  <c r="AF65" i="9"/>
  <c r="AP65" i="9" s="1"/>
  <c r="BA64" i="9"/>
  <c r="AZ64" i="9"/>
  <c r="AS64" i="9"/>
  <c r="AR64" i="9"/>
  <c r="AQ64" i="9"/>
  <c r="AO64" i="9"/>
  <c r="AN64" i="9"/>
  <c r="AM64" i="9"/>
  <c r="AL64" i="9"/>
  <c r="AF64" i="9"/>
  <c r="AP64" i="9" s="1"/>
  <c r="BA63" i="9"/>
  <c r="AZ63" i="9"/>
  <c r="AS63" i="9"/>
  <c r="AR63" i="9"/>
  <c r="AQ63" i="9"/>
  <c r="AO63" i="9"/>
  <c r="AN63" i="9"/>
  <c r="AM63" i="9"/>
  <c r="AL63" i="9"/>
  <c r="AF63" i="9"/>
  <c r="AP63" i="9" s="1"/>
  <c r="BA62" i="9"/>
  <c r="AZ62" i="9"/>
  <c r="AS62" i="9"/>
  <c r="AR62" i="9"/>
  <c r="AQ62" i="9"/>
  <c r="AO62" i="9"/>
  <c r="AN62" i="9"/>
  <c r="AM62" i="9"/>
  <c r="AL62" i="9"/>
  <c r="AF62" i="9"/>
  <c r="AP62" i="9" s="1"/>
  <c r="BA61" i="9"/>
  <c r="AZ61" i="9"/>
  <c r="AS61" i="9"/>
  <c r="AR61" i="9"/>
  <c r="AQ61" i="9"/>
  <c r="AO61" i="9"/>
  <c r="AN61" i="9"/>
  <c r="AM61" i="9"/>
  <c r="AL61" i="9"/>
  <c r="AF61" i="9"/>
  <c r="AP61" i="9" s="1"/>
  <c r="BA60" i="9"/>
  <c r="AZ60" i="9"/>
  <c r="AS60" i="9"/>
  <c r="AR60" i="9"/>
  <c r="AQ60" i="9"/>
  <c r="AO60" i="9"/>
  <c r="AN60" i="9"/>
  <c r="AM60" i="9"/>
  <c r="AL60" i="9"/>
  <c r="AF60" i="9"/>
  <c r="AP60" i="9" s="1"/>
  <c r="BA59" i="9"/>
  <c r="AZ59" i="9"/>
  <c r="AS59" i="9"/>
  <c r="AR59" i="9"/>
  <c r="AQ59" i="9"/>
  <c r="AO59" i="9"/>
  <c r="AN59" i="9"/>
  <c r="AM59" i="9"/>
  <c r="AL59" i="9"/>
  <c r="AF59" i="9"/>
  <c r="AP59" i="9" s="1"/>
  <c r="BA58" i="9"/>
  <c r="AZ58" i="9"/>
  <c r="AS58" i="9"/>
  <c r="AR58" i="9"/>
  <c r="AQ58" i="9"/>
  <c r="AO58" i="9"/>
  <c r="AN58" i="9"/>
  <c r="AM58" i="9"/>
  <c r="AL58" i="9"/>
  <c r="AF58" i="9"/>
  <c r="AP58" i="9" s="1"/>
  <c r="BA57" i="9"/>
  <c r="AZ57" i="9"/>
  <c r="AS57" i="9"/>
  <c r="AR57" i="9"/>
  <c r="AQ57" i="9"/>
  <c r="AO57" i="9"/>
  <c r="AN57" i="9"/>
  <c r="AM57" i="9"/>
  <c r="AL57" i="9"/>
  <c r="AF57" i="9"/>
  <c r="AP57" i="9" s="1"/>
  <c r="BA56" i="9"/>
  <c r="AZ56" i="9"/>
  <c r="AS56" i="9"/>
  <c r="AR56" i="9"/>
  <c r="AQ56" i="9"/>
  <c r="AO56" i="9"/>
  <c r="AN56" i="9"/>
  <c r="AM56" i="9"/>
  <c r="AL56" i="9"/>
  <c r="AF56" i="9"/>
  <c r="AP56" i="9" s="1"/>
  <c r="BA55" i="9"/>
  <c r="AZ55" i="9"/>
  <c r="AS55" i="9"/>
  <c r="AR55" i="9"/>
  <c r="AQ55" i="9"/>
  <c r="AO55" i="9"/>
  <c r="AN55" i="9"/>
  <c r="AM55" i="9"/>
  <c r="AL55" i="9"/>
  <c r="AF55" i="9"/>
  <c r="AP55" i="9" s="1"/>
  <c r="BA54" i="9"/>
  <c r="AZ54" i="9"/>
  <c r="AS54" i="9"/>
  <c r="AR54" i="9"/>
  <c r="AQ54" i="9"/>
  <c r="AO54" i="9"/>
  <c r="AN54" i="9"/>
  <c r="AM54" i="9"/>
  <c r="AL54" i="9"/>
  <c r="AF54" i="9"/>
  <c r="AP54" i="9" s="1"/>
  <c r="BA53" i="9"/>
  <c r="AZ53" i="9"/>
  <c r="AS53" i="9"/>
  <c r="AR53" i="9"/>
  <c r="AQ53" i="9"/>
  <c r="AP53" i="9"/>
  <c r="AO53" i="9"/>
  <c r="AN53" i="9"/>
  <c r="AM53" i="9"/>
  <c r="AL53" i="9"/>
  <c r="AF53" i="9"/>
  <c r="BA52" i="9"/>
  <c r="AZ52" i="9"/>
  <c r="AS52" i="9"/>
  <c r="AR52" i="9"/>
  <c r="AQ52" i="9"/>
  <c r="AO52" i="9"/>
  <c r="AN52" i="9"/>
  <c r="AM52" i="9"/>
  <c r="AL52" i="9"/>
  <c r="AF52" i="9"/>
  <c r="AP52" i="9" s="1"/>
  <c r="BA51" i="9"/>
  <c r="AZ51" i="9"/>
  <c r="AS51" i="9"/>
  <c r="AR51" i="9"/>
  <c r="AQ51" i="9"/>
  <c r="AO51" i="9"/>
  <c r="AN51" i="9"/>
  <c r="AM51" i="9"/>
  <c r="AL51" i="9"/>
  <c r="AF51" i="9"/>
  <c r="AP51" i="9" s="1"/>
  <c r="BA50" i="9"/>
  <c r="AZ50" i="9"/>
  <c r="AS50" i="9"/>
  <c r="AR50" i="9"/>
  <c r="AQ50" i="9"/>
  <c r="AO50" i="9"/>
  <c r="AN50" i="9"/>
  <c r="AM50" i="9"/>
  <c r="AL50" i="9"/>
  <c r="AF50" i="9"/>
  <c r="AP50" i="9" s="1"/>
  <c r="BA49" i="9"/>
  <c r="AZ49" i="9"/>
  <c r="AS49" i="9"/>
  <c r="AR49" i="9"/>
  <c r="AQ49" i="9"/>
  <c r="AO49" i="9"/>
  <c r="AN49" i="9"/>
  <c r="AM49" i="9"/>
  <c r="AL49" i="9"/>
  <c r="AF49" i="9"/>
  <c r="AP49" i="9" s="1"/>
  <c r="BA48" i="9"/>
  <c r="AZ48" i="9"/>
  <c r="AS48" i="9"/>
  <c r="AR48" i="9"/>
  <c r="AQ48" i="9"/>
  <c r="AO48" i="9"/>
  <c r="AN48" i="9"/>
  <c r="AM48" i="9"/>
  <c r="AL48" i="9"/>
  <c r="AF48" i="9"/>
  <c r="AP48" i="9" s="1"/>
  <c r="BA47" i="9"/>
  <c r="AZ47" i="9"/>
  <c r="AS47" i="9"/>
  <c r="AR47" i="9"/>
  <c r="AQ47" i="9"/>
  <c r="AO47" i="9"/>
  <c r="AN47" i="9"/>
  <c r="AM47" i="9"/>
  <c r="AL47" i="9"/>
  <c r="AF47" i="9"/>
  <c r="AP47" i="9" s="1"/>
  <c r="BA46" i="9"/>
  <c r="AZ46" i="9"/>
  <c r="AS46" i="9"/>
  <c r="AR46" i="9"/>
  <c r="AQ46" i="9"/>
  <c r="AO46" i="9"/>
  <c r="AN46" i="9"/>
  <c r="AM46" i="9"/>
  <c r="AL46" i="9"/>
  <c r="AF46" i="9"/>
  <c r="AP46" i="9" s="1"/>
  <c r="BA45" i="9"/>
  <c r="AZ45" i="9"/>
  <c r="AS45" i="9"/>
  <c r="AR45" i="9"/>
  <c r="AQ45" i="9"/>
  <c r="AO45" i="9"/>
  <c r="AN45" i="9"/>
  <c r="AM45" i="9"/>
  <c r="AL45" i="9"/>
  <c r="AF45" i="9"/>
  <c r="AP45" i="9" s="1"/>
  <c r="BA44" i="9"/>
  <c r="AZ44" i="9"/>
  <c r="AS44" i="9"/>
  <c r="AR44" i="9"/>
  <c r="AQ44" i="9"/>
  <c r="AO44" i="9"/>
  <c r="AN44" i="9"/>
  <c r="AM44" i="9"/>
  <c r="AL44" i="9"/>
  <c r="AF44" i="9"/>
  <c r="AP44" i="9" s="1"/>
  <c r="BA43" i="9"/>
  <c r="AZ43" i="9"/>
  <c r="AS43" i="9"/>
  <c r="AR43" i="9"/>
  <c r="AQ43" i="9"/>
  <c r="AP43" i="9"/>
  <c r="AO43" i="9"/>
  <c r="AN43" i="9"/>
  <c r="AM43" i="9"/>
  <c r="AL43" i="9"/>
  <c r="AF43" i="9"/>
  <c r="BA42" i="9"/>
  <c r="AZ42" i="9"/>
  <c r="AS42" i="9"/>
  <c r="AR42" i="9"/>
  <c r="AQ42" i="9"/>
  <c r="AO42" i="9"/>
  <c r="AN42" i="9"/>
  <c r="AM42" i="9"/>
  <c r="AL42" i="9"/>
  <c r="AF42" i="9"/>
  <c r="AP42" i="9" s="1"/>
  <c r="BA41" i="9"/>
  <c r="AZ41" i="9"/>
  <c r="AS41" i="9"/>
  <c r="AR41" i="9"/>
  <c r="AQ41" i="9"/>
  <c r="AO41" i="9"/>
  <c r="AN41" i="9"/>
  <c r="AM41" i="9"/>
  <c r="AL41" i="9"/>
  <c r="AF41" i="9"/>
  <c r="AP41" i="9" s="1"/>
  <c r="BA40" i="9"/>
  <c r="AZ40" i="9"/>
  <c r="AS40" i="9"/>
  <c r="AR40" i="9"/>
  <c r="AQ40" i="9"/>
  <c r="AO40" i="9"/>
  <c r="AN40" i="9"/>
  <c r="AM40" i="9"/>
  <c r="AL40" i="9"/>
  <c r="AF40" i="9"/>
  <c r="AP40" i="9" s="1"/>
  <c r="BA39" i="9"/>
  <c r="AZ39" i="9"/>
  <c r="AS39" i="9"/>
  <c r="AR39" i="9"/>
  <c r="AQ39" i="9"/>
  <c r="AO39" i="9"/>
  <c r="AN39" i="9"/>
  <c r="AM39" i="9"/>
  <c r="AL39" i="9"/>
  <c r="AF39" i="9"/>
  <c r="AP39" i="9" s="1"/>
  <c r="BA38" i="9"/>
  <c r="AZ38" i="9"/>
  <c r="AS38" i="9"/>
  <c r="AR38" i="9"/>
  <c r="AQ38" i="9"/>
  <c r="AO38" i="9"/>
  <c r="AN38" i="9"/>
  <c r="AM38" i="9"/>
  <c r="AL38" i="9"/>
  <c r="AF38" i="9"/>
  <c r="AP38" i="9" s="1"/>
  <c r="BA37" i="9"/>
  <c r="AZ37" i="9"/>
  <c r="AS37" i="9"/>
  <c r="AR37" i="9"/>
  <c r="AQ37" i="9"/>
  <c r="AO37" i="9"/>
  <c r="AN37" i="9"/>
  <c r="AM37" i="9"/>
  <c r="AL37" i="9"/>
  <c r="AF37" i="9"/>
  <c r="AP37" i="9" s="1"/>
  <c r="BA36" i="9"/>
  <c r="AZ36" i="9"/>
  <c r="AS36" i="9"/>
  <c r="AR36" i="9"/>
  <c r="AQ36" i="9"/>
  <c r="AO36" i="9"/>
  <c r="AN36" i="9"/>
  <c r="AM36" i="9"/>
  <c r="AL36" i="9"/>
  <c r="AF36" i="9"/>
  <c r="AP36" i="9" s="1"/>
  <c r="BA35" i="9"/>
  <c r="AZ35" i="9"/>
  <c r="AS35" i="9"/>
  <c r="AR35" i="9"/>
  <c r="AQ35" i="9"/>
  <c r="AO35" i="9"/>
  <c r="AN35" i="9"/>
  <c r="AM35" i="9"/>
  <c r="AL35" i="9"/>
  <c r="AF35" i="9"/>
  <c r="AP35" i="9" s="1"/>
  <c r="BA34" i="9"/>
  <c r="AZ34" i="9"/>
  <c r="AS34" i="9"/>
  <c r="AR34" i="9"/>
  <c r="AQ34" i="9"/>
  <c r="AO34" i="9"/>
  <c r="AN34" i="9"/>
  <c r="AM34" i="9"/>
  <c r="AL34" i="9"/>
  <c r="AF34" i="9"/>
  <c r="AP34" i="9" s="1"/>
  <c r="BA33" i="9"/>
  <c r="AZ33" i="9"/>
  <c r="AS33" i="9"/>
  <c r="AR33" i="9"/>
  <c r="AQ33" i="9"/>
  <c r="AO33" i="9"/>
  <c r="AN33" i="9"/>
  <c r="AM33" i="9"/>
  <c r="AL33" i="9"/>
  <c r="AF33" i="9"/>
  <c r="AP33" i="9" s="1"/>
  <c r="BA32" i="9"/>
  <c r="AZ32" i="9"/>
  <c r="AS32" i="9"/>
  <c r="AR32" i="9"/>
  <c r="AQ32" i="9"/>
  <c r="AO32" i="9"/>
  <c r="AN32" i="9"/>
  <c r="AM32" i="9"/>
  <c r="AL32" i="9"/>
  <c r="AF32" i="9"/>
  <c r="AP32" i="9" s="1"/>
  <c r="BA31" i="9"/>
  <c r="AZ31" i="9"/>
  <c r="AS31" i="9"/>
  <c r="AR31" i="9"/>
  <c r="AQ31" i="9"/>
  <c r="AO31" i="9"/>
  <c r="AN31" i="9"/>
  <c r="AM31" i="9"/>
  <c r="AL31" i="9"/>
  <c r="AF31" i="9"/>
  <c r="AP31" i="9" s="1"/>
  <c r="BA30" i="9"/>
  <c r="AZ30" i="9"/>
  <c r="AS30" i="9"/>
  <c r="AR30" i="9"/>
  <c r="AQ30" i="9"/>
  <c r="AO30" i="9"/>
  <c r="AN30" i="9"/>
  <c r="AM30" i="9"/>
  <c r="AL30" i="9"/>
  <c r="AF30" i="9"/>
  <c r="AP30" i="9" s="1"/>
  <c r="BA29" i="9"/>
  <c r="AZ29" i="9"/>
  <c r="AS29" i="9"/>
  <c r="AR29" i="9"/>
  <c r="AQ29" i="9"/>
  <c r="AO29" i="9"/>
  <c r="AN29" i="9"/>
  <c r="AM29" i="9"/>
  <c r="AL29" i="9"/>
  <c r="AF29" i="9"/>
  <c r="AP29" i="9" s="1"/>
  <c r="BA28" i="9"/>
  <c r="AZ28" i="9"/>
  <c r="AS28" i="9"/>
  <c r="AR28" i="9"/>
  <c r="AQ28" i="9"/>
  <c r="AO28" i="9"/>
  <c r="AN28" i="9"/>
  <c r="AM28" i="9"/>
  <c r="AL28" i="9"/>
  <c r="AF28" i="9"/>
  <c r="AP28" i="9" s="1"/>
  <c r="BA27" i="9"/>
  <c r="AZ27" i="9"/>
  <c r="AS27" i="9"/>
  <c r="AR27" i="9"/>
  <c r="AQ27" i="9"/>
  <c r="AO27" i="9"/>
  <c r="AN27" i="9"/>
  <c r="AM27" i="9"/>
  <c r="AL27" i="9"/>
  <c r="AF27" i="9"/>
  <c r="AP27" i="9" s="1"/>
  <c r="BA26" i="9"/>
  <c r="AZ26" i="9"/>
  <c r="AS26" i="9"/>
  <c r="AR26" i="9"/>
  <c r="AQ26" i="9"/>
  <c r="AO26" i="9"/>
  <c r="AN26" i="9"/>
  <c r="AM26" i="9"/>
  <c r="AL26" i="9"/>
  <c r="AF26" i="9"/>
  <c r="AP26" i="9" s="1"/>
  <c r="BA25" i="9"/>
  <c r="AZ25" i="9"/>
  <c r="AS25" i="9"/>
  <c r="AR25" i="9"/>
  <c r="AQ25" i="9"/>
  <c r="AO25" i="9"/>
  <c r="AN25" i="9"/>
  <c r="AM25" i="9"/>
  <c r="AL25" i="9"/>
  <c r="AF25" i="9"/>
  <c r="AP25" i="9" s="1"/>
  <c r="BA24" i="9"/>
  <c r="AZ24" i="9"/>
  <c r="AS24" i="9"/>
  <c r="AR24" i="9"/>
  <c r="AQ24" i="9"/>
  <c r="AO24" i="9"/>
  <c r="AN24" i="9"/>
  <c r="AM24" i="9"/>
  <c r="AL24" i="9"/>
  <c r="AF24" i="9"/>
  <c r="AP24" i="9" s="1"/>
  <c r="BA23" i="9"/>
  <c r="AZ23" i="9"/>
  <c r="AS23" i="9"/>
  <c r="AR23" i="9"/>
  <c r="AQ23" i="9"/>
  <c r="AO23" i="9"/>
  <c r="AN23" i="9"/>
  <c r="AM23" i="9"/>
  <c r="AL23" i="9"/>
  <c r="AF23" i="9"/>
  <c r="AP23" i="9" s="1"/>
  <c r="BA22" i="9"/>
  <c r="AZ22" i="9"/>
  <c r="AS22" i="9"/>
  <c r="AR22" i="9"/>
  <c r="AQ22" i="9"/>
  <c r="AO22" i="9"/>
  <c r="AN22" i="9"/>
  <c r="AM22" i="9"/>
  <c r="AL22" i="9"/>
  <c r="AF22" i="9"/>
  <c r="AP22" i="9" s="1"/>
  <c r="BA21" i="9"/>
  <c r="AZ21" i="9"/>
  <c r="AS21" i="9"/>
  <c r="AR21" i="9"/>
  <c r="AQ21" i="9"/>
  <c r="AO21" i="9"/>
  <c r="AN21" i="9"/>
  <c r="AM21" i="9"/>
  <c r="AL21" i="9"/>
  <c r="AF21" i="9"/>
  <c r="AP21" i="9" s="1"/>
  <c r="BA20" i="9"/>
  <c r="AZ20" i="9"/>
  <c r="AS20" i="9"/>
  <c r="AR20" i="9"/>
  <c r="AQ20" i="9"/>
  <c r="AO20" i="9"/>
  <c r="AN20" i="9"/>
  <c r="AM20" i="9"/>
  <c r="AL20" i="9"/>
  <c r="AF20" i="9"/>
  <c r="AP20" i="9" s="1"/>
  <c r="BA19" i="9"/>
  <c r="AZ19" i="9"/>
  <c r="AS19" i="9"/>
  <c r="AR19" i="9"/>
  <c r="AQ19" i="9"/>
  <c r="AO19" i="9"/>
  <c r="AN19" i="9"/>
  <c r="AM19" i="9"/>
  <c r="AL19" i="9"/>
  <c r="AF19" i="9"/>
  <c r="AP19" i="9" s="1"/>
  <c r="BA18" i="9"/>
  <c r="AZ18" i="9"/>
  <c r="AS18" i="9"/>
  <c r="AR18" i="9"/>
  <c r="AQ18" i="9"/>
  <c r="AO18" i="9"/>
  <c r="AN18" i="9"/>
  <c r="AM18" i="9"/>
  <c r="AL18" i="9"/>
  <c r="AF18" i="9"/>
  <c r="AP18" i="9" s="1"/>
  <c r="BA17" i="9"/>
  <c r="AZ17" i="9"/>
  <c r="AS17" i="9"/>
  <c r="AR17" i="9"/>
  <c r="AQ17" i="9"/>
  <c r="AO17" i="9"/>
  <c r="AN17" i="9"/>
  <c r="AM17" i="9"/>
  <c r="AL17" i="9"/>
  <c r="AF17" i="9"/>
  <c r="AP17" i="9" s="1"/>
  <c r="BA16" i="9"/>
  <c r="AZ16" i="9"/>
  <c r="AS16" i="9"/>
  <c r="AR16" i="9"/>
  <c r="AQ16" i="9"/>
  <c r="AO16" i="9"/>
  <c r="AN16" i="9"/>
  <c r="AM16" i="9"/>
  <c r="AL16" i="9"/>
  <c r="AF16" i="9"/>
  <c r="AP16" i="9" s="1"/>
  <c r="BA15" i="9"/>
  <c r="AZ15" i="9"/>
  <c r="AS15" i="9"/>
  <c r="AR15" i="9"/>
  <c r="AQ15" i="9"/>
  <c r="AO15" i="9"/>
  <c r="AN15" i="9"/>
  <c r="AM15" i="9"/>
  <c r="AL15" i="9"/>
  <c r="AF15" i="9"/>
  <c r="AP15" i="9" s="1"/>
  <c r="BA14" i="9"/>
  <c r="AZ14" i="9"/>
  <c r="AS14" i="9"/>
  <c r="AR14" i="9"/>
  <c r="AQ14" i="9"/>
  <c r="AO14" i="9"/>
  <c r="AN14" i="9"/>
  <c r="AM14" i="9"/>
  <c r="AL14" i="9"/>
  <c r="AF14" i="9"/>
  <c r="AP14" i="9" s="1"/>
  <c r="BA13" i="9"/>
  <c r="AZ13" i="9"/>
  <c r="AS13" i="9"/>
  <c r="AR13" i="9"/>
  <c r="AQ13" i="9"/>
  <c r="AO13" i="9"/>
  <c r="AN13" i="9"/>
  <c r="AM13" i="9"/>
  <c r="AL13" i="9"/>
  <c r="AF13" i="9"/>
  <c r="AP13" i="9" s="1"/>
  <c r="BA12" i="9"/>
  <c r="AZ12" i="9"/>
  <c r="AS12" i="9"/>
  <c r="AR12" i="9"/>
  <c r="AQ12" i="9"/>
  <c r="AO12" i="9"/>
  <c r="AN12" i="9"/>
  <c r="AM12" i="9"/>
  <c r="AL12" i="9"/>
  <c r="AF12" i="9"/>
  <c r="AP12" i="9" s="1"/>
  <c r="BA11" i="9"/>
  <c r="AZ11" i="9"/>
  <c r="AS11" i="9"/>
  <c r="AR11" i="9"/>
  <c r="AQ11" i="9"/>
  <c r="AO11" i="9"/>
  <c r="AN11" i="9"/>
  <c r="AM11" i="9"/>
  <c r="AL11" i="9"/>
  <c r="AF11" i="9"/>
  <c r="AP11" i="9" s="1"/>
  <c r="BA10" i="9"/>
  <c r="AZ10" i="9"/>
  <c r="AS10" i="9"/>
  <c r="AR10" i="9"/>
  <c r="AQ10" i="9"/>
  <c r="AO10" i="9"/>
  <c r="AN10" i="9"/>
  <c r="AM10" i="9"/>
  <c r="AL10" i="9"/>
  <c r="AF10" i="9"/>
  <c r="AP10" i="9" s="1"/>
  <c r="BA9" i="9"/>
  <c r="AZ9" i="9"/>
  <c r="AS9" i="9"/>
  <c r="AR9" i="9"/>
  <c r="AQ9" i="9"/>
  <c r="AO9" i="9"/>
  <c r="AN9" i="9"/>
  <c r="AM9" i="9"/>
  <c r="AL9" i="9"/>
  <c r="AF9" i="9"/>
  <c r="AP9" i="9" s="1"/>
  <c r="AU356" i="8"/>
  <c r="AU355" i="8"/>
  <c r="AU354" i="8"/>
  <c r="AU353" i="8"/>
  <c r="AU352" i="8"/>
  <c r="AU351" i="8"/>
  <c r="AU350" i="8"/>
  <c r="AU349" i="8"/>
  <c r="AU348" i="8"/>
  <c r="AU347" i="8"/>
  <c r="AU346" i="8"/>
  <c r="AU345" i="8"/>
  <c r="AU344" i="8"/>
  <c r="AU343" i="8"/>
  <c r="AU342" i="8"/>
  <c r="AU341" i="8"/>
  <c r="AU340" i="8"/>
  <c r="AU339" i="8"/>
  <c r="AU338" i="8"/>
  <c r="AU337" i="8"/>
  <c r="AU336" i="8"/>
  <c r="AU335" i="8"/>
  <c r="AU334" i="8"/>
  <c r="AU333" i="8"/>
  <c r="AU332" i="8"/>
  <c r="AU331" i="8"/>
  <c r="AU330" i="8"/>
  <c r="AU329" i="8"/>
  <c r="AU328" i="8"/>
  <c r="AU327" i="8"/>
  <c r="AU326" i="8"/>
  <c r="AU325" i="8"/>
  <c r="AU324" i="8"/>
  <c r="AU323" i="8"/>
  <c r="AU322" i="8"/>
  <c r="AU321" i="8"/>
  <c r="AU320" i="8"/>
  <c r="AU319" i="8"/>
  <c r="AU318" i="8"/>
  <c r="AU317" i="8"/>
  <c r="AU316" i="8"/>
  <c r="AU315" i="8"/>
  <c r="AU314" i="8"/>
  <c r="AU313" i="8"/>
  <c r="AU312" i="8"/>
  <c r="AU311" i="8"/>
  <c r="AU310" i="8"/>
  <c r="AU309" i="8"/>
  <c r="AU308" i="8"/>
  <c r="AU307" i="8"/>
  <c r="AU306" i="8"/>
  <c r="AU305" i="8"/>
  <c r="AU304" i="8"/>
  <c r="AU303" i="8"/>
  <c r="AU302" i="8"/>
  <c r="AU301" i="8"/>
  <c r="AU300" i="8"/>
  <c r="AU299" i="8"/>
  <c r="AU298" i="8"/>
  <c r="AU297" i="8"/>
  <c r="AU296" i="8"/>
  <c r="AU295" i="8"/>
  <c r="AU294" i="8"/>
  <c r="AU293" i="8"/>
  <c r="AU292" i="8"/>
  <c r="AU291" i="8"/>
  <c r="AU290" i="8"/>
  <c r="AU289" i="8"/>
  <c r="AU288" i="8"/>
  <c r="AU287" i="8"/>
  <c r="AU286" i="8"/>
  <c r="AU285" i="8"/>
  <c r="AU284" i="8"/>
  <c r="AU283" i="8"/>
  <c r="AU282" i="8"/>
  <c r="AU281" i="8"/>
  <c r="AU280" i="8"/>
  <c r="AU279" i="8"/>
  <c r="AU278" i="8"/>
  <c r="AU277" i="8"/>
  <c r="AU276" i="8"/>
  <c r="AU275" i="8"/>
  <c r="AU274" i="8"/>
  <c r="AU273" i="8"/>
  <c r="AU272" i="8"/>
  <c r="AU271" i="8"/>
  <c r="AU270" i="8"/>
  <c r="AU269" i="8"/>
  <c r="AU268" i="8"/>
  <c r="AU267" i="8"/>
  <c r="AU266" i="8"/>
  <c r="AU265" i="8"/>
  <c r="AU264" i="8"/>
  <c r="AU263" i="8"/>
  <c r="AU262" i="8"/>
  <c r="AU261" i="8"/>
  <c r="AU260" i="8"/>
  <c r="AU259" i="8"/>
  <c r="AU258" i="8"/>
  <c r="AU257" i="8"/>
  <c r="AU256" i="8"/>
  <c r="AU255" i="8"/>
  <c r="AU254" i="8"/>
  <c r="AU253" i="8"/>
  <c r="AU252" i="8"/>
  <c r="AU251" i="8"/>
  <c r="AU250" i="8"/>
  <c r="AU249" i="8"/>
  <c r="AU248" i="8"/>
  <c r="AU247" i="8"/>
  <c r="AU246" i="8"/>
  <c r="AU245" i="8"/>
  <c r="AU244" i="8"/>
  <c r="AU243" i="8"/>
  <c r="AU242" i="8"/>
  <c r="AU241" i="8"/>
  <c r="AU240" i="8"/>
  <c r="AU239" i="8"/>
  <c r="AU238" i="8"/>
  <c r="AU237" i="8"/>
  <c r="AU236" i="8"/>
  <c r="AU235" i="8"/>
  <c r="AU234" i="8"/>
  <c r="AU233" i="8"/>
  <c r="AU232" i="8"/>
  <c r="AU231" i="8"/>
  <c r="AU230" i="8"/>
  <c r="AU229" i="8"/>
  <c r="AU228" i="8"/>
  <c r="AU227" i="8"/>
  <c r="AU226" i="8"/>
  <c r="AU225" i="8"/>
  <c r="AU224" i="8"/>
  <c r="AU223" i="8"/>
  <c r="AU222" i="8"/>
  <c r="AU221" i="8"/>
  <c r="AU220" i="8"/>
  <c r="AU219" i="8"/>
  <c r="AU218" i="8"/>
  <c r="AU217" i="8"/>
  <c r="AU216" i="8"/>
  <c r="AU215" i="8"/>
  <c r="AU214" i="8"/>
  <c r="AU213" i="8"/>
  <c r="AU212" i="8"/>
  <c r="AU211" i="8"/>
  <c r="AU210" i="8"/>
  <c r="AU209" i="8"/>
  <c r="AU208" i="8"/>
  <c r="AU207" i="8"/>
  <c r="AU206" i="8"/>
  <c r="AU205" i="8"/>
  <c r="AU204" i="8"/>
  <c r="AU203" i="8"/>
  <c r="AU202" i="8"/>
  <c r="AU201" i="8"/>
  <c r="AU200" i="8"/>
  <c r="AU199" i="8"/>
  <c r="AU198" i="8"/>
  <c r="AU197" i="8"/>
  <c r="AU196" i="8"/>
  <c r="AU195" i="8"/>
  <c r="AU194" i="8"/>
  <c r="AU193" i="8"/>
  <c r="AU192" i="8"/>
  <c r="AU191" i="8"/>
  <c r="AU190" i="8"/>
  <c r="AU189" i="8"/>
  <c r="AU188" i="8"/>
  <c r="AU187" i="8"/>
  <c r="AU186" i="8"/>
  <c r="AU185" i="8"/>
  <c r="AU184" i="8"/>
  <c r="AU183" i="8"/>
  <c r="AU182" i="8"/>
  <c r="AU181" i="8"/>
  <c r="AU180" i="8"/>
  <c r="AU179" i="8"/>
  <c r="AU178" i="8"/>
  <c r="AU177" i="8"/>
  <c r="AU176" i="8"/>
  <c r="AU175" i="8"/>
  <c r="AU174" i="8"/>
  <c r="AU173" i="8"/>
  <c r="AU172" i="8"/>
  <c r="AU171" i="8"/>
  <c r="AU170" i="8"/>
  <c r="AU169" i="8"/>
  <c r="AU168" i="8"/>
  <c r="AU167" i="8"/>
  <c r="AU166" i="8"/>
  <c r="AU165" i="8"/>
  <c r="AU164" i="8"/>
  <c r="AU163" i="8"/>
  <c r="AU162" i="8"/>
  <c r="AU161" i="8"/>
  <c r="AU160" i="8"/>
  <c r="AU159" i="8"/>
  <c r="AU158" i="8"/>
  <c r="AU157" i="8"/>
  <c r="AU156" i="8"/>
  <c r="AU155" i="8"/>
  <c r="AU154" i="8"/>
  <c r="AU153" i="8"/>
  <c r="AU152" i="8"/>
  <c r="AU151" i="8"/>
  <c r="AU150" i="8"/>
  <c r="AU149" i="8"/>
  <c r="AU148" i="8"/>
  <c r="AU147" i="8"/>
  <c r="AU146" i="8"/>
  <c r="AU145" i="8"/>
  <c r="AU144" i="8"/>
  <c r="AU143" i="8"/>
  <c r="AU142" i="8"/>
  <c r="AU141" i="8"/>
  <c r="AU140" i="8"/>
  <c r="AU139" i="8"/>
  <c r="AU138" i="8"/>
  <c r="AU137" i="8"/>
  <c r="AU136" i="8"/>
  <c r="AU135" i="8"/>
  <c r="AU134" i="8"/>
  <c r="AU133" i="8"/>
  <c r="AU132" i="8"/>
  <c r="AU131" i="8"/>
  <c r="AU130" i="8"/>
  <c r="AU129" i="8"/>
  <c r="AU128" i="8"/>
  <c r="AU127" i="8"/>
  <c r="AU126" i="8"/>
  <c r="AU125" i="8"/>
  <c r="AU124" i="8"/>
  <c r="AU123" i="8"/>
  <c r="AU122" i="8"/>
  <c r="AU121" i="8"/>
  <c r="AU120" i="8"/>
  <c r="AU119" i="8"/>
  <c r="AU118" i="8"/>
  <c r="AU117" i="8"/>
  <c r="AU116" i="8"/>
  <c r="AU115" i="8"/>
  <c r="AU114" i="8"/>
  <c r="AU113" i="8"/>
  <c r="AU112" i="8"/>
  <c r="AU111" i="8"/>
  <c r="AU110" i="8"/>
  <c r="AU109" i="8"/>
  <c r="AU108" i="8"/>
  <c r="AU107" i="8"/>
  <c r="AU106" i="8"/>
  <c r="AU105" i="8"/>
  <c r="AU104" i="8"/>
  <c r="AU103" i="8"/>
  <c r="AU102" i="8"/>
  <c r="AU101" i="8"/>
  <c r="AU100" i="8"/>
  <c r="AU99" i="8"/>
  <c r="AU98" i="8"/>
  <c r="AU97" i="8"/>
  <c r="AU96" i="8"/>
  <c r="AU95" i="8"/>
  <c r="AU94" i="8"/>
  <c r="AU93" i="8"/>
  <c r="AU92" i="8"/>
  <c r="AU91" i="8"/>
  <c r="AU90" i="8"/>
  <c r="AU89" i="8"/>
  <c r="AU88" i="8"/>
  <c r="AU87" i="8"/>
  <c r="AU86" i="8"/>
  <c r="AU85" i="8"/>
  <c r="AU84" i="8"/>
  <c r="AU83" i="8"/>
  <c r="AU82" i="8"/>
  <c r="AU81" i="8"/>
  <c r="AU80" i="8"/>
  <c r="AU79" i="8"/>
  <c r="AU78" i="8"/>
  <c r="AU77" i="8"/>
  <c r="AU76" i="8"/>
  <c r="AU75" i="8"/>
  <c r="AU74" i="8"/>
  <c r="AU73" i="8"/>
  <c r="AU72" i="8"/>
  <c r="AU71" i="8"/>
  <c r="AU70" i="8"/>
  <c r="AU69" i="8"/>
  <c r="AU68" i="8"/>
  <c r="AU67" i="8"/>
  <c r="AU66" i="8"/>
  <c r="AU65" i="8"/>
  <c r="AU64" i="8"/>
  <c r="AU63" i="8"/>
  <c r="AU62" i="8"/>
  <c r="AU61" i="8"/>
  <c r="AU60" i="8"/>
  <c r="AU59" i="8"/>
  <c r="AU58" i="8"/>
  <c r="AU57" i="8"/>
  <c r="AU56" i="8"/>
  <c r="AU55" i="8"/>
  <c r="AU54" i="8"/>
  <c r="AU53" i="8"/>
  <c r="AU52" i="8"/>
  <c r="AU51" i="8"/>
  <c r="AU50" i="8"/>
  <c r="AU49" i="8"/>
  <c r="AU48" i="8"/>
  <c r="AU47" i="8"/>
  <c r="AU46" i="8"/>
  <c r="AU45" i="8"/>
  <c r="AU44" i="8"/>
  <c r="AU43" i="8"/>
  <c r="AU42" i="8"/>
  <c r="AU41" i="8"/>
  <c r="AU40" i="8"/>
  <c r="AU39" i="8"/>
  <c r="AU38" i="8"/>
  <c r="AU37" i="8"/>
  <c r="AU36" i="8"/>
  <c r="AU35" i="8"/>
  <c r="AU34" i="8"/>
  <c r="AU33" i="8"/>
  <c r="AU32" i="8"/>
  <c r="AU31" i="8"/>
  <c r="AU30" i="8"/>
  <c r="AU29" i="8"/>
  <c r="AU28" i="8"/>
  <c r="AU27" i="8"/>
  <c r="AU26" i="8"/>
  <c r="AU25" i="8"/>
  <c r="AU24" i="8"/>
  <c r="AU23" i="8"/>
  <c r="AU22" i="8"/>
  <c r="AU21" i="8"/>
  <c r="AU20" i="8"/>
  <c r="AU19" i="8"/>
  <c r="AU18" i="8"/>
  <c r="AU17" i="8"/>
  <c r="AU16" i="8"/>
  <c r="AU15" i="8"/>
  <c r="AU14" i="8"/>
  <c r="AU13" i="8"/>
  <c r="AU12" i="8"/>
  <c r="AU11" i="8"/>
  <c r="AU6" i="8"/>
  <c r="AU7" i="8"/>
  <c r="AU8" i="8"/>
  <c r="AU9" i="8"/>
  <c r="AU10" i="8"/>
  <c r="AU5" i="8"/>
  <c r="AX419" i="8"/>
  <c r="AW419" i="8"/>
  <c r="X419" i="8"/>
  <c r="W419" i="8"/>
  <c r="AX418" i="8"/>
  <c r="AW418" i="8"/>
  <c r="X418" i="8"/>
  <c r="W418" i="8"/>
  <c r="AX417" i="8"/>
  <c r="AW417" i="8"/>
  <c r="X417" i="8"/>
  <c r="W417" i="8"/>
  <c r="AX416" i="8"/>
  <c r="AW416" i="8"/>
  <c r="X416" i="8"/>
  <c r="W416" i="8"/>
  <c r="AX415" i="8"/>
  <c r="AW415" i="8"/>
  <c r="X415" i="8"/>
  <c r="W415" i="8"/>
  <c r="AX414" i="8"/>
  <c r="AW414" i="8"/>
  <c r="X414" i="8"/>
  <c r="W414" i="8"/>
  <c r="AX413" i="8"/>
  <c r="AW413" i="8"/>
  <c r="X413" i="8"/>
  <c r="W413" i="8"/>
  <c r="AX412" i="8"/>
  <c r="AW412" i="8"/>
  <c r="X412" i="8"/>
  <c r="W412" i="8"/>
  <c r="AX411" i="8"/>
  <c r="AW411" i="8"/>
  <c r="X411" i="8"/>
  <c r="W411" i="8"/>
  <c r="AX410" i="8"/>
  <c r="AW410" i="8"/>
  <c r="X410" i="8"/>
  <c r="W410" i="8"/>
  <c r="AX409" i="8"/>
  <c r="AW409" i="8"/>
  <c r="X409" i="8"/>
  <c r="W409" i="8"/>
  <c r="AX408" i="8"/>
  <c r="AW408" i="8"/>
  <c r="X408" i="8"/>
  <c r="W408" i="8"/>
  <c r="AX407" i="8"/>
  <c r="AW407" i="8"/>
  <c r="X407" i="8"/>
  <c r="W407" i="8"/>
  <c r="AX406" i="8"/>
  <c r="AW406" i="8"/>
  <c r="X406" i="8"/>
  <c r="W406" i="8"/>
  <c r="AX405" i="8"/>
  <c r="AW405" i="8"/>
  <c r="X405" i="8"/>
  <c r="W405" i="8"/>
  <c r="AX404" i="8"/>
  <c r="AW404" i="8"/>
  <c r="X404" i="8"/>
  <c r="W404" i="8"/>
  <c r="AX403" i="8"/>
  <c r="AW403" i="8"/>
  <c r="X403" i="8"/>
  <c r="W403" i="8"/>
  <c r="AX402" i="8"/>
  <c r="AW402" i="8"/>
  <c r="X402" i="8"/>
  <c r="W402" i="8"/>
  <c r="AX401" i="8"/>
  <c r="AW401" i="8"/>
  <c r="X401" i="8"/>
  <c r="W401" i="8"/>
  <c r="AX400" i="8"/>
  <c r="AW400" i="8"/>
  <c r="X400" i="8"/>
  <c r="W400" i="8"/>
  <c r="AX399" i="8"/>
  <c r="AW399" i="8"/>
  <c r="X399" i="8"/>
  <c r="W399" i="8"/>
  <c r="AX398" i="8"/>
  <c r="AW398" i="8"/>
  <c r="X398" i="8"/>
  <c r="W398" i="8"/>
  <c r="AX397" i="8"/>
  <c r="AW397" i="8"/>
  <c r="X397" i="8"/>
  <c r="W397" i="8"/>
  <c r="AX396" i="8"/>
  <c r="BJ396" i="8" s="1"/>
  <c r="AW396" i="8"/>
  <c r="BI396" i="8" s="1"/>
  <c r="X396" i="8"/>
  <c r="W396" i="8"/>
  <c r="AX395" i="8"/>
  <c r="BJ395" i="8" s="1"/>
  <c r="AW395" i="8"/>
  <c r="BI395" i="8" s="1"/>
  <c r="X395" i="8"/>
  <c r="W395" i="8"/>
  <c r="AX394" i="8"/>
  <c r="BJ394" i="8" s="1"/>
  <c r="AW394" i="8"/>
  <c r="BI394" i="8" s="1"/>
  <c r="X394" i="8"/>
  <c r="W394" i="8"/>
  <c r="AX393" i="8"/>
  <c r="BJ393" i="8" s="1"/>
  <c r="AW393" i="8"/>
  <c r="BI393" i="8" s="1"/>
  <c r="X393" i="8"/>
  <c r="W393" i="8"/>
  <c r="AX392" i="8"/>
  <c r="BJ392" i="8" s="1"/>
  <c r="AW392" i="8"/>
  <c r="BI392" i="8" s="1"/>
  <c r="X392" i="8"/>
  <c r="W392" i="8"/>
  <c r="AX391" i="8"/>
  <c r="BJ391" i="8" s="1"/>
  <c r="AW391" i="8"/>
  <c r="BI391" i="8" s="1"/>
  <c r="X391" i="8"/>
  <c r="W391" i="8"/>
  <c r="AX390" i="8"/>
  <c r="BJ390" i="8" s="1"/>
  <c r="AW390" i="8"/>
  <c r="BI390" i="8" s="1"/>
  <c r="X390" i="8"/>
  <c r="W390" i="8"/>
  <c r="AX389" i="8"/>
  <c r="BJ389" i="8" s="1"/>
  <c r="AW389" i="8"/>
  <c r="BI389" i="8" s="1"/>
  <c r="X389" i="8"/>
  <c r="W389" i="8"/>
  <c r="AX388" i="8"/>
  <c r="BJ388" i="8" s="1"/>
  <c r="AW388" i="8"/>
  <c r="BI388" i="8" s="1"/>
  <c r="X388" i="8"/>
  <c r="W388" i="8"/>
  <c r="AX387" i="8"/>
  <c r="BJ387" i="8" s="1"/>
  <c r="AW387" i="8"/>
  <c r="BI387" i="8" s="1"/>
  <c r="X387" i="8"/>
  <c r="W387" i="8"/>
  <c r="AX386" i="8"/>
  <c r="BJ386" i="8" s="1"/>
  <c r="AW386" i="8"/>
  <c r="BI386" i="8" s="1"/>
  <c r="X386" i="8"/>
  <c r="W386" i="8"/>
  <c r="AX385" i="8"/>
  <c r="BJ385" i="8" s="1"/>
  <c r="AW385" i="8"/>
  <c r="BI385" i="8" s="1"/>
  <c r="X385" i="8"/>
  <c r="W385" i="8"/>
  <c r="AX384" i="8"/>
  <c r="BJ384" i="8" s="1"/>
  <c r="AW384" i="8"/>
  <c r="BI384" i="8" s="1"/>
  <c r="X384" i="8"/>
  <c r="W384" i="8"/>
  <c r="AX383" i="8"/>
  <c r="BJ383" i="8" s="1"/>
  <c r="AW383" i="8"/>
  <c r="BI383" i="8" s="1"/>
  <c r="X383" i="8"/>
  <c r="W383" i="8"/>
  <c r="AX382" i="8"/>
  <c r="BJ382" i="8" s="1"/>
  <c r="AW382" i="8"/>
  <c r="BI382" i="8" s="1"/>
  <c r="X382" i="8"/>
  <c r="W382" i="8"/>
  <c r="AX381" i="8"/>
  <c r="BJ381" i="8" s="1"/>
  <c r="AW381" i="8"/>
  <c r="BI381" i="8" s="1"/>
  <c r="X381" i="8"/>
  <c r="W381" i="8"/>
  <c r="AX380" i="8"/>
  <c r="BJ380" i="8" s="1"/>
  <c r="AW380" i="8"/>
  <c r="BI380" i="8" s="1"/>
  <c r="X380" i="8"/>
  <c r="W380" i="8"/>
  <c r="AX379" i="8"/>
  <c r="BJ379" i="8" s="1"/>
  <c r="AW379" i="8"/>
  <c r="BI379" i="8" s="1"/>
  <c r="X379" i="8"/>
  <c r="W379" i="8"/>
  <c r="AX378" i="8"/>
  <c r="BJ378" i="8" s="1"/>
  <c r="AW378" i="8"/>
  <c r="BI378" i="8" s="1"/>
  <c r="X378" i="8"/>
  <c r="W378" i="8"/>
  <c r="AX377" i="8"/>
  <c r="BJ377" i="8" s="1"/>
  <c r="AW377" i="8"/>
  <c r="BI377" i="8" s="1"/>
  <c r="X377" i="8"/>
  <c r="W377" i="8"/>
  <c r="AX376" i="8"/>
  <c r="BJ376" i="8" s="1"/>
  <c r="AW376" i="8"/>
  <c r="BI376" i="8" s="1"/>
  <c r="X376" i="8"/>
  <c r="W376" i="8"/>
  <c r="AX375" i="8"/>
  <c r="BJ375" i="8" s="1"/>
  <c r="AW375" i="8"/>
  <c r="BI375" i="8" s="1"/>
  <c r="X375" i="8"/>
  <c r="W375" i="8"/>
  <c r="AX374" i="8"/>
  <c r="BJ374" i="8" s="1"/>
  <c r="AW374" i="8"/>
  <c r="BI374" i="8" s="1"/>
  <c r="X374" i="8"/>
  <c r="W374" i="8"/>
  <c r="AX373" i="8"/>
  <c r="BJ373" i="8" s="1"/>
  <c r="AW373" i="8"/>
  <c r="BI373" i="8" s="1"/>
  <c r="X373" i="8"/>
  <c r="W373" i="8"/>
  <c r="AX372" i="8"/>
  <c r="BJ372" i="8" s="1"/>
  <c r="AW372" i="8"/>
  <c r="BI372" i="8" s="1"/>
  <c r="X372" i="8"/>
  <c r="W372" i="8"/>
  <c r="AX371" i="8"/>
  <c r="BJ371" i="8" s="1"/>
  <c r="AW371" i="8"/>
  <c r="BI371" i="8" s="1"/>
  <c r="X371" i="8"/>
  <c r="W371" i="8"/>
  <c r="AX370" i="8"/>
  <c r="BJ370" i="8" s="1"/>
  <c r="AW370" i="8"/>
  <c r="BI370" i="8" s="1"/>
  <c r="X370" i="8"/>
  <c r="W370" i="8"/>
  <c r="AX369" i="8"/>
  <c r="BJ369" i="8" s="1"/>
  <c r="AW369" i="8"/>
  <c r="BI369" i="8" s="1"/>
  <c r="X369" i="8"/>
  <c r="W369" i="8"/>
  <c r="AX368" i="8"/>
  <c r="BJ368" i="8" s="1"/>
  <c r="AW368" i="8"/>
  <c r="BI368" i="8" s="1"/>
  <c r="X368" i="8"/>
  <c r="W368" i="8"/>
  <c r="AX367" i="8"/>
  <c r="BJ367" i="8" s="1"/>
  <c r="AW367" i="8"/>
  <c r="BI367" i="8" s="1"/>
  <c r="X367" i="8"/>
  <c r="W367" i="8"/>
  <c r="AX366" i="8"/>
  <c r="BJ366" i="8" s="1"/>
  <c r="AW366" i="8"/>
  <c r="BI366" i="8" s="1"/>
  <c r="X366" i="8"/>
  <c r="W366" i="8"/>
  <c r="AX365" i="8"/>
  <c r="BJ365" i="8" s="1"/>
  <c r="AW365" i="8"/>
  <c r="BI365" i="8" s="1"/>
  <c r="X365" i="8"/>
  <c r="W365" i="8"/>
  <c r="AX364" i="8"/>
  <c r="BJ364" i="8" s="1"/>
  <c r="AW364" i="8"/>
  <c r="BI364" i="8" s="1"/>
  <c r="X364" i="8"/>
  <c r="W364" i="8"/>
  <c r="AX363" i="8"/>
  <c r="BJ363" i="8" s="1"/>
  <c r="AW363" i="8"/>
  <c r="BI363" i="8" s="1"/>
  <c r="X363" i="8"/>
  <c r="W363" i="8"/>
  <c r="AX362" i="8"/>
  <c r="BJ362" i="8" s="1"/>
  <c r="AW362" i="8"/>
  <c r="BI362" i="8" s="1"/>
  <c r="X362" i="8"/>
  <c r="W362" i="8"/>
  <c r="AX361" i="8"/>
  <c r="BJ361" i="8" s="1"/>
  <c r="AW361" i="8"/>
  <c r="BI361" i="8" s="1"/>
  <c r="X361" i="8"/>
  <c r="W361" i="8"/>
  <c r="AX360" i="8"/>
  <c r="BJ360" i="8" s="1"/>
  <c r="AW360" i="8"/>
  <c r="BI360" i="8" s="1"/>
  <c r="X360" i="8"/>
  <c r="W360" i="8"/>
  <c r="AX359" i="8"/>
  <c r="BJ359" i="8" s="1"/>
  <c r="AW359" i="8"/>
  <c r="BI359" i="8" s="1"/>
  <c r="X359" i="8"/>
  <c r="W359" i="8"/>
  <c r="AX358" i="8"/>
  <c r="BJ358" i="8" s="1"/>
  <c r="AW358" i="8"/>
  <c r="BI358" i="8" s="1"/>
  <c r="X358" i="8"/>
  <c r="W358" i="8"/>
  <c r="AX357" i="8"/>
  <c r="BJ357" i="8" s="1"/>
  <c r="AW357" i="8"/>
  <c r="BI357" i="8" s="1"/>
  <c r="X357" i="8"/>
  <c r="W357" i="8"/>
  <c r="AX356" i="8"/>
  <c r="BJ356" i="8" s="1"/>
  <c r="AW356" i="8"/>
  <c r="BI356" i="8" s="1"/>
  <c r="X356" i="8"/>
  <c r="W356" i="8"/>
  <c r="AX355" i="8"/>
  <c r="BJ355" i="8" s="1"/>
  <c r="AW355" i="8"/>
  <c r="BI355" i="8" s="1"/>
  <c r="X355" i="8"/>
  <c r="W355" i="8"/>
  <c r="AX354" i="8"/>
  <c r="BJ354" i="8" s="1"/>
  <c r="AW354" i="8"/>
  <c r="BI354" i="8" s="1"/>
  <c r="X354" i="8"/>
  <c r="W354" i="8"/>
  <c r="AX353" i="8"/>
  <c r="BJ353" i="8" s="1"/>
  <c r="AW353" i="8"/>
  <c r="BI353" i="8" s="1"/>
  <c r="X353" i="8"/>
  <c r="W353" i="8"/>
  <c r="AX352" i="8"/>
  <c r="BJ352" i="8" s="1"/>
  <c r="AW352" i="8"/>
  <c r="BI352" i="8" s="1"/>
  <c r="X352" i="8"/>
  <c r="W352" i="8"/>
  <c r="AX351" i="8"/>
  <c r="BJ351" i="8" s="1"/>
  <c r="AW351" i="8"/>
  <c r="BI351" i="8" s="1"/>
  <c r="X351" i="8"/>
  <c r="W351" i="8"/>
  <c r="AX350" i="8"/>
  <c r="BJ350" i="8" s="1"/>
  <c r="AW350" i="8"/>
  <c r="BI350" i="8" s="1"/>
  <c r="X350" i="8"/>
  <c r="W350" i="8"/>
  <c r="AX349" i="8"/>
  <c r="BJ349" i="8" s="1"/>
  <c r="AW349" i="8"/>
  <c r="BI349" i="8" s="1"/>
  <c r="X349" i="8"/>
  <c r="W349" i="8"/>
  <c r="AX348" i="8"/>
  <c r="BJ348" i="8" s="1"/>
  <c r="AW348" i="8"/>
  <c r="BI348" i="8" s="1"/>
  <c r="X348" i="8"/>
  <c r="W348" i="8"/>
  <c r="O348" i="8"/>
  <c r="AX347" i="8"/>
  <c r="BJ347" i="8" s="1"/>
  <c r="AW347" i="8"/>
  <c r="BI347" i="8" s="1"/>
  <c r="X347" i="8"/>
  <c r="W347" i="8"/>
  <c r="O347" i="8"/>
  <c r="AX346" i="8"/>
  <c r="BJ346" i="8" s="1"/>
  <c r="AW346" i="8"/>
  <c r="BI346" i="8" s="1"/>
  <c r="X346" i="8"/>
  <c r="W346" i="8"/>
  <c r="O346" i="8"/>
  <c r="AX345" i="8"/>
  <c r="BJ345" i="8" s="1"/>
  <c r="AW345" i="8"/>
  <c r="BI345" i="8" s="1"/>
  <c r="X345" i="8"/>
  <c r="W345" i="8"/>
  <c r="O345" i="8"/>
  <c r="AX344" i="8"/>
  <c r="BJ344" i="8" s="1"/>
  <c r="AW344" i="8"/>
  <c r="BI344" i="8" s="1"/>
  <c r="X344" i="8"/>
  <c r="W344" i="8"/>
  <c r="O344" i="8"/>
  <c r="AX343" i="8"/>
  <c r="BJ343" i="8" s="1"/>
  <c r="AW343" i="8"/>
  <c r="BI343" i="8" s="1"/>
  <c r="X343" i="8"/>
  <c r="W343" i="8"/>
  <c r="O343" i="8"/>
  <c r="AX342" i="8"/>
  <c r="BJ342" i="8" s="1"/>
  <c r="AW342" i="8"/>
  <c r="BI342" i="8" s="1"/>
  <c r="X342" i="8"/>
  <c r="W342" i="8"/>
  <c r="O342" i="8"/>
  <c r="AX341" i="8"/>
  <c r="BJ341" i="8" s="1"/>
  <c r="AW341" i="8"/>
  <c r="BI341" i="8" s="1"/>
  <c r="X341" i="8"/>
  <c r="W341" i="8"/>
  <c r="O341" i="8"/>
  <c r="AX340" i="8"/>
  <c r="BJ340" i="8" s="1"/>
  <c r="AW340" i="8"/>
  <c r="BI340" i="8" s="1"/>
  <c r="X340" i="8"/>
  <c r="W340" i="8"/>
  <c r="AX339" i="8"/>
  <c r="BJ339" i="8" s="1"/>
  <c r="AW339" i="8"/>
  <c r="BI339" i="8" s="1"/>
  <c r="X339" i="8"/>
  <c r="W339" i="8"/>
  <c r="AX338" i="8"/>
  <c r="BJ338" i="8" s="1"/>
  <c r="AW338" i="8"/>
  <c r="BI338" i="8" s="1"/>
  <c r="X338" i="8"/>
  <c r="W338" i="8"/>
  <c r="AX337" i="8"/>
  <c r="BJ337" i="8" s="1"/>
  <c r="AW337" i="8"/>
  <c r="BI337" i="8" s="1"/>
  <c r="X337" i="8"/>
  <c r="W337" i="8"/>
  <c r="AX336" i="8"/>
  <c r="BJ336" i="8" s="1"/>
  <c r="AW336" i="8"/>
  <c r="BI336" i="8" s="1"/>
  <c r="X336" i="8"/>
  <c r="W336" i="8"/>
  <c r="AX335" i="8"/>
  <c r="BJ335" i="8" s="1"/>
  <c r="AW335" i="8"/>
  <c r="BI335" i="8" s="1"/>
  <c r="X335" i="8"/>
  <c r="W335" i="8"/>
  <c r="AX334" i="8"/>
  <c r="BJ334" i="8" s="1"/>
  <c r="AW334" i="8"/>
  <c r="BI334" i="8" s="1"/>
  <c r="X334" i="8"/>
  <c r="W334" i="8"/>
  <c r="AX333" i="8"/>
  <c r="BJ333" i="8" s="1"/>
  <c r="AW333" i="8"/>
  <c r="BI333" i="8" s="1"/>
  <c r="X333" i="8"/>
  <c r="W333" i="8"/>
  <c r="AX332" i="8"/>
  <c r="BJ332" i="8" s="1"/>
  <c r="AW332" i="8"/>
  <c r="BI332" i="8" s="1"/>
  <c r="X332" i="8"/>
  <c r="W332" i="8"/>
  <c r="AX331" i="8"/>
  <c r="BJ331" i="8" s="1"/>
  <c r="AW331" i="8"/>
  <c r="BI331" i="8" s="1"/>
  <c r="X331" i="8"/>
  <c r="W331" i="8"/>
  <c r="AX330" i="8"/>
  <c r="BJ330" i="8" s="1"/>
  <c r="AW330" i="8"/>
  <c r="BI330" i="8" s="1"/>
  <c r="X330" i="8"/>
  <c r="W330" i="8"/>
  <c r="AX329" i="8"/>
  <c r="BJ329" i="8" s="1"/>
  <c r="AW329" i="8"/>
  <c r="BI329" i="8" s="1"/>
  <c r="X329" i="8"/>
  <c r="W329" i="8"/>
  <c r="AX328" i="8"/>
  <c r="BJ328" i="8" s="1"/>
  <c r="AW328" i="8"/>
  <c r="BI328" i="8" s="1"/>
  <c r="X328" i="8"/>
  <c r="W328" i="8"/>
  <c r="AX327" i="8"/>
  <c r="BJ327" i="8" s="1"/>
  <c r="AW327" i="8"/>
  <c r="BI327" i="8" s="1"/>
  <c r="X327" i="8"/>
  <c r="W327" i="8"/>
  <c r="AX326" i="8"/>
  <c r="BJ326" i="8" s="1"/>
  <c r="AW326" i="8"/>
  <c r="BI326" i="8" s="1"/>
  <c r="X326" i="8"/>
  <c r="W326" i="8"/>
  <c r="AX325" i="8"/>
  <c r="BJ325" i="8" s="1"/>
  <c r="AW325" i="8"/>
  <c r="BI325" i="8" s="1"/>
  <c r="X325" i="8"/>
  <c r="W325" i="8"/>
  <c r="AX324" i="8"/>
  <c r="BJ324" i="8" s="1"/>
  <c r="AW324" i="8"/>
  <c r="BI324" i="8" s="1"/>
  <c r="X324" i="8"/>
  <c r="W324" i="8"/>
  <c r="AX323" i="8"/>
  <c r="BJ323" i="8" s="1"/>
  <c r="AW323" i="8"/>
  <c r="BI323" i="8" s="1"/>
  <c r="X323" i="8"/>
  <c r="W323" i="8"/>
  <c r="AX322" i="8"/>
  <c r="BJ322" i="8" s="1"/>
  <c r="AW322" i="8"/>
  <c r="BI322" i="8" s="1"/>
  <c r="X322" i="8"/>
  <c r="W322" i="8"/>
  <c r="AX321" i="8"/>
  <c r="BJ321" i="8" s="1"/>
  <c r="AW321" i="8"/>
  <c r="BI321" i="8" s="1"/>
  <c r="X321" i="8"/>
  <c r="W321" i="8"/>
  <c r="AX320" i="8"/>
  <c r="BJ320" i="8" s="1"/>
  <c r="AW320" i="8"/>
  <c r="BI320" i="8" s="1"/>
  <c r="X320" i="8"/>
  <c r="W320" i="8"/>
  <c r="AX319" i="8"/>
  <c r="BJ319" i="8" s="1"/>
  <c r="AW319" i="8"/>
  <c r="BI319" i="8" s="1"/>
  <c r="X319" i="8"/>
  <c r="W319" i="8"/>
  <c r="AX318" i="8"/>
  <c r="BJ318" i="8" s="1"/>
  <c r="AW318" i="8"/>
  <c r="BI318" i="8" s="1"/>
  <c r="X318" i="8"/>
  <c r="W318" i="8"/>
  <c r="AX317" i="8"/>
  <c r="BJ317" i="8" s="1"/>
  <c r="AW317" i="8"/>
  <c r="BI317" i="8" s="1"/>
  <c r="X317" i="8"/>
  <c r="W317" i="8"/>
  <c r="AX316" i="8"/>
  <c r="BJ316" i="8" s="1"/>
  <c r="AW316" i="8"/>
  <c r="BI316" i="8" s="1"/>
  <c r="X316" i="8"/>
  <c r="W316" i="8"/>
  <c r="AX315" i="8"/>
  <c r="BJ315" i="8" s="1"/>
  <c r="AW315" i="8"/>
  <c r="BI315" i="8" s="1"/>
  <c r="X315" i="8"/>
  <c r="W315" i="8"/>
  <c r="AX314" i="8"/>
  <c r="BJ314" i="8" s="1"/>
  <c r="AW314" i="8"/>
  <c r="BI314" i="8" s="1"/>
  <c r="X314" i="8"/>
  <c r="W314" i="8"/>
  <c r="AX313" i="8"/>
  <c r="BJ313" i="8" s="1"/>
  <c r="AW313" i="8"/>
  <c r="BI313" i="8" s="1"/>
  <c r="X313" i="8"/>
  <c r="W313" i="8"/>
  <c r="AX312" i="8"/>
  <c r="BJ312" i="8" s="1"/>
  <c r="AW312" i="8"/>
  <c r="BI312" i="8" s="1"/>
  <c r="X312" i="8"/>
  <c r="W312" i="8"/>
  <c r="AX311" i="8"/>
  <c r="BJ311" i="8" s="1"/>
  <c r="AW311" i="8"/>
  <c r="BI311" i="8" s="1"/>
  <c r="X311" i="8"/>
  <c r="W311" i="8"/>
  <c r="AX310" i="8"/>
  <c r="BJ310" i="8" s="1"/>
  <c r="AW310" i="8"/>
  <c r="BI310" i="8" s="1"/>
  <c r="X310" i="8"/>
  <c r="W310" i="8"/>
  <c r="AX309" i="8"/>
  <c r="BJ309" i="8" s="1"/>
  <c r="AW309" i="8"/>
  <c r="BI309" i="8" s="1"/>
  <c r="X309" i="8"/>
  <c r="W309" i="8"/>
  <c r="AX308" i="8"/>
  <c r="BJ308" i="8" s="1"/>
  <c r="AW308" i="8"/>
  <c r="BI308" i="8" s="1"/>
  <c r="X308" i="8"/>
  <c r="W308" i="8"/>
  <c r="AX307" i="8"/>
  <c r="BJ307" i="8" s="1"/>
  <c r="AW307" i="8"/>
  <c r="BI307" i="8" s="1"/>
  <c r="X307" i="8"/>
  <c r="W307" i="8"/>
  <c r="AX306" i="8"/>
  <c r="BJ306" i="8" s="1"/>
  <c r="AW306" i="8"/>
  <c r="BI306" i="8" s="1"/>
  <c r="X306" i="8"/>
  <c r="W306" i="8"/>
  <c r="AX305" i="8"/>
  <c r="BJ305" i="8" s="1"/>
  <c r="AW305" i="8"/>
  <c r="BI305" i="8" s="1"/>
  <c r="X305" i="8"/>
  <c r="W305" i="8"/>
  <c r="AX304" i="8"/>
  <c r="BJ304" i="8" s="1"/>
  <c r="AW304" i="8"/>
  <c r="BI304" i="8" s="1"/>
  <c r="X304" i="8"/>
  <c r="W304" i="8"/>
  <c r="AX303" i="8"/>
  <c r="BJ303" i="8" s="1"/>
  <c r="AW303" i="8"/>
  <c r="BI303" i="8" s="1"/>
  <c r="X303" i="8"/>
  <c r="W303" i="8"/>
  <c r="AX302" i="8"/>
  <c r="BJ302" i="8" s="1"/>
  <c r="AW302" i="8"/>
  <c r="BI302" i="8" s="1"/>
  <c r="X302" i="8"/>
  <c r="W302" i="8"/>
  <c r="AX301" i="8"/>
  <c r="BJ301" i="8" s="1"/>
  <c r="AW301" i="8"/>
  <c r="BI301" i="8" s="1"/>
  <c r="X301" i="8"/>
  <c r="W301" i="8"/>
  <c r="AX300" i="8"/>
  <c r="BJ300" i="8" s="1"/>
  <c r="AW300" i="8"/>
  <c r="BI300" i="8" s="1"/>
  <c r="X300" i="8"/>
  <c r="W300" i="8"/>
  <c r="AX299" i="8"/>
  <c r="BJ299" i="8" s="1"/>
  <c r="AW299" i="8"/>
  <c r="BI299" i="8" s="1"/>
  <c r="X299" i="8"/>
  <c r="W299" i="8"/>
  <c r="AX298" i="8"/>
  <c r="BJ298" i="8" s="1"/>
  <c r="AW298" i="8"/>
  <c r="BI298" i="8" s="1"/>
  <c r="X298" i="8"/>
  <c r="W298" i="8"/>
  <c r="AX297" i="8"/>
  <c r="BJ297" i="8" s="1"/>
  <c r="AW297" i="8"/>
  <c r="BI297" i="8" s="1"/>
  <c r="X297" i="8"/>
  <c r="W297" i="8"/>
  <c r="AX296" i="8"/>
  <c r="BJ296" i="8" s="1"/>
  <c r="AW296" i="8"/>
  <c r="BI296" i="8" s="1"/>
  <c r="X296" i="8"/>
  <c r="W296" i="8"/>
  <c r="AX295" i="8"/>
  <c r="BJ295" i="8" s="1"/>
  <c r="AW295" i="8"/>
  <c r="BI295" i="8" s="1"/>
  <c r="X295" i="8"/>
  <c r="W295" i="8"/>
  <c r="AX294" i="8"/>
  <c r="BJ294" i="8" s="1"/>
  <c r="AW294" i="8"/>
  <c r="BI294" i="8" s="1"/>
  <c r="X294" i="8"/>
  <c r="W294" i="8"/>
  <c r="AX293" i="8"/>
  <c r="BJ293" i="8" s="1"/>
  <c r="AW293" i="8"/>
  <c r="BI293" i="8" s="1"/>
  <c r="X293" i="8"/>
  <c r="W293" i="8"/>
  <c r="AX292" i="8"/>
  <c r="BJ292" i="8" s="1"/>
  <c r="AW292" i="8"/>
  <c r="BI292" i="8" s="1"/>
  <c r="X292" i="8"/>
  <c r="W292" i="8"/>
  <c r="O292" i="8"/>
  <c r="AX291" i="8"/>
  <c r="BJ291" i="8" s="1"/>
  <c r="AW291" i="8"/>
  <c r="BI291" i="8" s="1"/>
  <c r="X291" i="8"/>
  <c r="W291" i="8"/>
  <c r="O291" i="8"/>
  <c r="AX290" i="8"/>
  <c r="BJ290" i="8" s="1"/>
  <c r="AW290" i="8"/>
  <c r="BI290" i="8" s="1"/>
  <c r="X290" i="8"/>
  <c r="W290" i="8"/>
  <c r="O290" i="8"/>
  <c r="AX289" i="8"/>
  <c r="BJ289" i="8" s="1"/>
  <c r="AW289" i="8"/>
  <c r="BI289" i="8" s="1"/>
  <c r="X289" i="8"/>
  <c r="W289" i="8"/>
  <c r="O289" i="8"/>
  <c r="AX288" i="8"/>
  <c r="BJ288" i="8" s="1"/>
  <c r="AW288" i="8"/>
  <c r="BI288" i="8" s="1"/>
  <c r="X288" i="8"/>
  <c r="W288" i="8"/>
  <c r="O288" i="8"/>
  <c r="AX287" i="8"/>
  <c r="BJ287" i="8" s="1"/>
  <c r="AW287" i="8"/>
  <c r="BI287" i="8" s="1"/>
  <c r="X287" i="8"/>
  <c r="W287" i="8"/>
  <c r="O287" i="8"/>
  <c r="AX286" i="8"/>
  <c r="BJ286" i="8" s="1"/>
  <c r="AW286" i="8"/>
  <c r="BI286" i="8" s="1"/>
  <c r="X286" i="8"/>
  <c r="W286" i="8"/>
  <c r="O286" i="8"/>
  <c r="AX285" i="8"/>
  <c r="BJ285" i="8" s="1"/>
  <c r="AW285" i="8"/>
  <c r="BI285" i="8" s="1"/>
  <c r="X285" i="8"/>
  <c r="W285" i="8"/>
  <c r="O285" i="8"/>
  <c r="AX284" i="8"/>
  <c r="BJ284" i="8" s="1"/>
  <c r="AW284" i="8"/>
  <c r="BI284" i="8" s="1"/>
  <c r="X284" i="8"/>
  <c r="W284" i="8"/>
  <c r="O284" i="8"/>
  <c r="AX283" i="8"/>
  <c r="BJ283" i="8" s="1"/>
  <c r="AW283" i="8"/>
  <c r="BI283" i="8" s="1"/>
  <c r="X283" i="8"/>
  <c r="W283" i="8"/>
  <c r="O283" i="8"/>
  <c r="AX282" i="8"/>
  <c r="BJ282" i="8" s="1"/>
  <c r="AW282" i="8"/>
  <c r="BI282" i="8" s="1"/>
  <c r="X282" i="8"/>
  <c r="W282" i="8"/>
  <c r="O282" i="8"/>
  <c r="AX281" i="8"/>
  <c r="BJ281" i="8" s="1"/>
  <c r="AW281" i="8"/>
  <c r="BI281" i="8" s="1"/>
  <c r="X281" i="8"/>
  <c r="W281" i="8"/>
  <c r="O281" i="8"/>
  <c r="AX280" i="8"/>
  <c r="BJ280" i="8" s="1"/>
  <c r="AW280" i="8"/>
  <c r="BI280" i="8" s="1"/>
  <c r="X280" i="8"/>
  <c r="W280" i="8"/>
  <c r="O280" i="8"/>
  <c r="AX279" i="8"/>
  <c r="BJ279" i="8" s="1"/>
  <c r="AW279" i="8"/>
  <c r="BI279" i="8" s="1"/>
  <c r="X279" i="8"/>
  <c r="W279" i="8"/>
  <c r="O279" i="8"/>
  <c r="AX278" i="8"/>
  <c r="BJ278" i="8" s="1"/>
  <c r="AW278" i="8"/>
  <c r="BI278" i="8" s="1"/>
  <c r="X278" i="8"/>
  <c r="W278" i="8"/>
  <c r="O278" i="8"/>
  <c r="AX277" i="8"/>
  <c r="BJ277" i="8" s="1"/>
  <c r="AW277" i="8"/>
  <c r="BI277" i="8" s="1"/>
  <c r="X277" i="8"/>
  <c r="W277" i="8"/>
  <c r="O277" i="8"/>
  <c r="AX276" i="8"/>
  <c r="BJ276" i="8" s="1"/>
  <c r="AW276" i="8"/>
  <c r="BI276" i="8" s="1"/>
  <c r="X276" i="8"/>
  <c r="W276" i="8"/>
  <c r="O276" i="8"/>
  <c r="AX275" i="8"/>
  <c r="BJ275" i="8" s="1"/>
  <c r="AW275" i="8"/>
  <c r="BI275" i="8" s="1"/>
  <c r="X275" i="8"/>
  <c r="W275" i="8"/>
  <c r="O275" i="8"/>
  <c r="AX274" i="8"/>
  <c r="BJ274" i="8" s="1"/>
  <c r="AW274" i="8"/>
  <c r="BI274" i="8" s="1"/>
  <c r="X274" i="8"/>
  <c r="W274" i="8"/>
  <c r="O274" i="8"/>
  <c r="AX273" i="8"/>
  <c r="BJ273" i="8" s="1"/>
  <c r="AW273" i="8"/>
  <c r="BI273" i="8" s="1"/>
  <c r="X273" i="8"/>
  <c r="W273" i="8"/>
  <c r="O273" i="8"/>
  <c r="AX272" i="8"/>
  <c r="BJ272" i="8" s="1"/>
  <c r="AW272" i="8"/>
  <c r="BI272" i="8" s="1"/>
  <c r="X272" i="8"/>
  <c r="W272" i="8"/>
  <c r="O272" i="8"/>
  <c r="AX271" i="8"/>
  <c r="BJ271" i="8" s="1"/>
  <c r="AW271" i="8"/>
  <c r="BI271" i="8" s="1"/>
  <c r="X271" i="8"/>
  <c r="W271" i="8"/>
  <c r="O271" i="8"/>
  <c r="AX270" i="8"/>
  <c r="BJ270" i="8" s="1"/>
  <c r="AW270" i="8"/>
  <c r="BI270" i="8" s="1"/>
  <c r="X270" i="8"/>
  <c r="W270" i="8"/>
  <c r="O270" i="8"/>
  <c r="AX269" i="8"/>
  <c r="BJ269" i="8" s="1"/>
  <c r="AW269" i="8"/>
  <c r="BI269" i="8" s="1"/>
  <c r="X269" i="8"/>
  <c r="W269" i="8"/>
  <c r="O269" i="8"/>
  <c r="AX268" i="8"/>
  <c r="BJ268" i="8" s="1"/>
  <c r="AW268" i="8"/>
  <c r="BI268" i="8" s="1"/>
  <c r="X268" i="8"/>
  <c r="W268" i="8"/>
  <c r="O268" i="8"/>
  <c r="AX267" i="8"/>
  <c r="BJ267" i="8" s="1"/>
  <c r="AW267" i="8"/>
  <c r="BI267" i="8" s="1"/>
  <c r="X267" i="8"/>
  <c r="W267" i="8"/>
  <c r="O267" i="8"/>
  <c r="AX266" i="8"/>
  <c r="BJ266" i="8" s="1"/>
  <c r="AW266" i="8"/>
  <c r="BI266" i="8" s="1"/>
  <c r="X266" i="8"/>
  <c r="W266" i="8"/>
  <c r="O266" i="8"/>
  <c r="AX265" i="8"/>
  <c r="BJ265" i="8" s="1"/>
  <c r="AW265" i="8"/>
  <c r="BI265" i="8" s="1"/>
  <c r="X265" i="8"/>
  <c r="W265" i="8"/>
  <c r="O265" i="8"/>
  <c r="AX264" i="8"/>
  <c r="BJ264" i="8" s="1"/>
  <c r="AW264" i="8"/>
  <c r="BI264" i="8" s="1"/>
  <c r="X264" i="8"/>
  <c r="W264" i="8"/>
  <c r="O264" i="8"/>
  <c r="AX263" i="8"/>
  <c r="BJ263" i="8" s="1"/>
  <c r="AW263" i="8"/>
  <c r="BI263" i="8" s="1"/>
  <c r="X263" i="8"/>
  <c r="W263" i="8"/>
  <c r="O263" i="8"/>
  <c r="AX262" i="8"/>
  <c r="BJ262" i="8" s="1"/>
  <c r="AW262" i="8"/>
  <c r="BI262" i="8" s="1"/>
  <c r="X262" i="8"/>
  <c r="W262" i="8"/>
  <c r="O262" i="8"/>
  <c r="AX261" i="8"/>
  <c r="BJ261" i="8" s="1"/>
  <c r="AW261" i="8"/>
  <c r="BI261" i="8" s="1"/>
  <c r="X261" i="8"/>
  <c r="W261" i="8"/>
  <c r="O261" i="8"/>
  <c r="AX260" i="8"/>
  <c r="BJ260" i="8" s="1"/>
  <c r="AW260" i="8"/>
  <c r="BI260" i="8" s="1"/>
  <c r="X260" i="8"/>
  <c r="W260" i="8"/>
  <c r="O260" i="8"/>
  <c r="AX259" i="8"/>
  <c r="BJ259" i="8" s="1"/>
  <c r="AW259" i="8"/>
  <c r="BI259" i="8" s="1"/>
  <c r="X259" i="8"/>
  <c r="W259" i="8"/>
  <c r="O259" i="8"/>
  <c r="AX258" i="8"/>
  <c r="BJ258" i="8" s="1"/>
  <c r="AW258" i="8"/>
  <c r="BI258" i="8" s="1"/>
  <c r="X258" i="8"/>
  <c r="W258" i="8"/>
  <c r="O258" i="8"/>
  <c r="AX257" i="8"/>
  <c r="BJ257" i="8" s="1"/>
  <c r="AW257" i="8"/>
  <c r="BI257" i="8" s="1"/>
  <c r="X257" i="8"/>
  <c r="W257" i="8"/>
  <c r="O257" i="8"/>
  <c r="AX256" i="8"/>
  <c r="BJ256" i="8" s="1"/>
  <c r="AW256" i="8"/>
  <c r="BI256" i="8" s="1"/>
  <c r="X256" i="8"/>
  <c r="W256" i="8"/>
  <c r="O256" i="8"/>
  <c r="AX255" i="8"/>
  <c r="BJ255" i="8" s="1"/>
  <c r="AW255" i="8"/>
  <c r="BI255" i="8" s="1"/>
  <c r="X255" i="8"/>
  <c r="W255" i="8"/>
  <c r="O255" i="8"/>
  <c r="AX254" i="8"/>
  <c r="BJ254" i="8" s="1"/>
  <c r="AW254" i="8"/>
  <c r="BI254" i="8" s="1"/>
  <c r="X254" i="8"/>
  <c r="W254" i="8"/>
  <c r="O254" i="8"/>
  <c r="AX253" i="8"/>
  <c r="BJ253" i="8" s="1"/>
  <c r="AW253" i="8"/>
  <c r="BI253" i="8" s="1"/>
  <c r="X253" i="8"/>
  <c r="W253" i="8"/>
  <c r="O253" i="8"/>
  <c r="AX252" i="8"/>
  <c r="BJ252" i="8" s="1"/>
  <c r="AW252" i="8"/>
  <c r="BI252" i="8" s="1"/>
  <c r="X252" i="8"/>
  <c r="W252" i="8"/>
  <c r="O252" i="8"/>
  <c r="AX251" i="8"/>
  <c r="BJ251" i="8" s="1"/>
  <c r="AW251" i="8"/>
  <c r="BI251" i="8" s="1"/>
  <c r="X251" i="8"/>
  <c r="W251" i="8"/>
  <c r="O251" i="8"/>
  <c r="AX250" i="8"/>
  <c r="BJ250" i="8" s="1"/>
  <c r="AW250" i="8"/>
  <c r="BI250" i="8" s="1"/>
  <c r="X250" i="8"/>
  <c r="W250" i="8"/>
  <c r="O250" i="8"/>
  <c r="AX249" i="8"/>
  <c r="BJ249" i="8" s="1"/>
  <c r="AW249" i="8"/>
  <c r="BI249" i="8" s="1"/>
  <c r="X249" i="8"/>
  <c r="W249" i="8"/>
  <c r="O249" i="8"/>
  <c r="AX248" i="8"/>
  <c r="BJ248" i="8" s="1"/>
  <c r="AW248" i="8"/>
  <c r="BI248" i="8" s="1"/>
  <c r="X248" i="8"/>
  <c r="W248" i="8"/>
  <c r="O248" i="8"/>
  <c r="AX247" i="8"/>
  <c r="BJ247" i="8" s="1"/>
  <c r="AW247" i="8"/>
  <c r="BI247" i="8" s="1"/>
  <c r="X247" i="8"/>
  <c r="W247" i="8"/>
  <c r="O247" i="8"/>
  <c r="AX246" i="8"/>
  <c r="BJ246" i="8" s="1"/>
  <c r="AW246" i="8"/>
  <c r="BI246" i="8" s="1"/>
  <c r="X246" i="8"/>
  <c r="W246" i="8"/>
  <c r="O246" i="8"/>
  <c r="AX245" i="8"/>
  <c r="BJ245" i="8" s="1"/>
  <c r="AW245" i="8"/>
  <c r="BI245" i="8" s="1"/>
  <c r="X245" i="8"/>
  <c r="W245" i="8"/>
  <c r="O245" i="8"/>
  <c r="AX244" i="8"/>
  <c r="BJ244" i="8" s="1"/>
  <c r="AW244" i="8"/>
  <c r="BI244" i="8" s="1"/>
  <c r="X244" i="8"/>
  <c r="W244" i="8"/>
  <c r="O244" i="8"/>
  <c r="AX243" i="8"/>
  <c r="BJ243" i="8" s="1"/>
  <c r="AW243" i="8"/>
  <c r="BI243" i="8" s="1"/>
  <c r="X243" i="8"/>
  <c r="W243" i="8"/>
  <c r="O243" i="8"/>
  <c r="AX242" i="8"/>
  <c r="BJ242" i="8" s="1"/>
  <c r="AW242" i="8"/>
  <c r="BI242" i="8" s="1"/>
  <c r="X242" i="8"/>
  <c r="W242" i="8"/>
  <c r="O242" i="8"/>
  <c r="AX241" i="8"/>
  <c r="BJ241" i="8" s="1"/>
  <c r="AW241" i="8"/>
  <c r="BI241" i="8" s="1"/>
  <c r="X241" i="8"/>
  <c r="W241" i="8"/>
  <c r="O241" i="8"/>
  <c r="AX240" i="8"/>
  <c r="BJ240" i="8" s="1"/>
  <c r="AW240" i="8"/>
  <c r="BI240" i="8" s="1"/>
  <c r="X240" i="8"/>
  <c r="W240" i="8"/>
  <c r="O240" i="8"/>
  <c r="AX239" i="8"/>
  <c r="BJ239" i="8" s="1"/>
  <c r="AW239" i="8"/>
  <c r="BI239" i="8" s="1"/>
  <c r="X239" i="8"/>
  <c r="W239" i="8"/>
  <c r="O239" i="8"/>
  <c r="AX238" i="8"/>
  <c r="BJ238" i="8" s="1"/>
  <c r="AW238" i="8"/>
  <c r="BI238" i="8" s="1"/>
  <c r="X238" i="8"/>
  <c r="W238" i="8"/>
  <c r="O238" i="8"/>
  <c r="AX237" i="8"/>
  <c r="BJ237" i="8" s="1"/>
  <c r="AW237" i="8"/>
  <c r="BI237" i="8" s="1"/>
  <c r="X237" i="8"/>
  <c r="W237" i="8"/>
  <c r="O237" i="8"/>
  <c r="AX236" i="8"/>
  <c r="BJ236" i="8" s="1"/>
  <c r="AW236" i="8"/>
  <c r="BI236" i="8" s="1"/>
  <c r="X236" i="8"/>
  <c r="W236" i="8"/>
  <c r="O236" i="8"/>
  <c r="AX235" i="8"/>
  <c r="BJ235" i="8" s="1"/>
  <c r="AW235" i="8"/>
  <c r="BI235" i="8" s="1"/>
  <c r="X235" i="8"/>
  <c r="W235" i="8"/>
  <c r="O235" i="8"/>
  <c r="AX234" i="8"/>
  <c r="BJ234" i="8" s="1"/>
  <c r="AW234" i="8"/>
  <c r="BI234" i="8" s="1"/>
  <c r="X234" i="8"/>
  <c r="W234" i="8"/>
  <c r="O234" i="8"/>
  <c r="AX233" i="8"/>
  <c r="BJ233" i="8" s="1"/>
  <c r="AW233" i="8"/>
  <c r="BI233" i="8" s="1"/>
  <c r="X233" i="8"/>
  <c r="W233" i="8"/>
  <c r="O233" i="8"/>
  <c r="AX232" i="8"/>
  <c r="BJ232" i="8" s="1"/>
  <c r="AW232" i="8"/>
  <c r="BI232" i="8" s="1"/>
  <c r="X232" i="8"/>
  <c r="W232" i="8"/>
  <c r="O232" i="8"/>
  <c r="AX231" i="8"/>
  <c r="BJ231" i="8" s="1"/>
  <c r="AW231" i="8"/>
  <c r="BI231" i="8" s="1"/>
  <c r="X231" i="8"/>
  <c r="W231" i="8"/>
  <c r="O231" i="8"/>
  <c r="AX230" i="8"/>
  <c r="BJ230" i="8" s="1"/>
  <c r="AW230" i="8"/>
  <c r="BI230" i="8" s="1"/>
  <c r="X230" i="8"/>
  <c r="W230" i="8"/>
  <c r="O230" i="8"/>
  <c r="AX229" i="8"/>
  <c r="BJ229" i="8" s="1"/>
  <c r="AW229" i="8"/>
  <c r="BI229" i="8" s="1"/>
  <c r="X229" i="8"/>
  <c r="W229" i="8"/>
  <c r="O229" i="8"/>
  <c r="AX228" i="8"/>
  <c r="BJ228" i="8" s="1"/>
  <c r="AW228" i="8"/>
  <c r="BI228" i="8" s="1"/>
  <c r="X228" i="8"/>
  <c r="W228" i="8"/>
  <c r="O228" i="8"/>
  <c r="AX227" i="8"/>
  <c r="BJ227" i="8" s="1"/>
  <c r="AW227" i="8"/>
  <c r="BI227" i="8" s="1"/>
  <c r="X227" i="8"/>
  <c r="W227" i="8"/>
  <c r="O227" i="8"/>
  <c r="AX226" i="8"/>
  <c r="BJ226" i="8" s="1"/>
  <c r="AW226" i="8"/>
  <c r="BI226" i="8" s="1"/>
  <c r="X226" i="8"/>
  <c r="W226" i="8"/>
  <c r="O226" i="8"/>
  <c r="AX225" i="8"/>
  <c r="BJ225" i="8" s="1"/>
  <c r="AW225" i="8"/>
  <c r="BI225" i="8" s="1"/>
  <c r="X225" i="8"/>
  <c r="W225" i="8"/>
  <c r="O225" i="8"/>
  <c r="AX224" i="8"/>
  <c r="BJ224" i="8" s="1"/>
  <c r="AW224" i="8"/>
  <c r="BI224" i="8" s="1"/>
  <c r="X224" i="8"/>
  <c r="W224" i="8"/>
  <c r="O224" i="8"/>
  <c r="AX223" i="8"/>
  <c r="BJ223" i="8" s="1"/>
  <c r="AW223" i="8"/>
  <c r="BI223" i="8" s="1"/>
  <c r="X223" i="8"/>
  <c r="W223" i="8"/>
  <c r="O223" i="8"/>
  <c r="AX222" i="8"/>
  <c r="BJ222" i="8" s="1"/>
  <c r="AW222" i="8"/>
  <c r="BI222" i="8" s="1"/>
  <c r="X222" i="8"/>
  <c r="W222" i="8"/>
  <c r="O222" i="8"/>
  <c r="AX221" i="8"/>
  <c r="BJ221" i="8" s="1"/>
  <c r="AW221" i="8"/>
  <c r="BI221" i="8" s="1"/>
  <c r="X221" i="8"/>
  <c r="W221" i="8"/>
  <c r="O221" i="8"/>
  <c r="AX220" i="8"/>
  <c r="BJ220" i="8" s="1"/>
  <c r="AW220" i="8"/>
  <c r="BI220" i="8" s="1"/>
  <c r="X220" i="8"/>
  <c r="W220" i="8"/>
  <c r="O220" i="8"/>
  <c r="AX219" i="8"/>
  <c r="BJ219" i="8" s="1"/>
  <c r="AW219" i="8"/>
  <c r="BI219" i="8" s="1"/>
  <c r="X219" i="8"/>
  <c r="W219" i="8"/>
  <c r="O219" i="8"/>
  <c r="AX218" i="8"/>
  <c r="BJ218" i="8" s="1"/>
  <c r="AW218" i="8"/>
  <c r="BI218" i="8" s="1"/>
  <c r="X218" i="8"/>
  <c r="W218" i="8"/>
  <c r="O218" i="8"/>
  <c r="AX217" i="8"/>
  <c r="BJ217" i="8" s="1"/>
  <c r="AW217" i="8"/>
  <c r="BI217" i="8" s="1"/>
  <c r="X217" i="8"/>
  <c r="W217" i="8"/>
  <c r="O217" i="8"/>
  <c r="AX216" i="8"/>
  <c r="BJ216" i="8" s="1"/>
  <c r="AW216" i="8"/>
  <c r="BI216" i="8" s="1"/>
  <c r="X216" i="8"/>
  <c r="W216" i="8"/>
  <c r="O216" i="8"/>
  <c r="AX215" i="8"/>
  <c r="BJ215" i="8" s="1"/>
  <c r="AW215" i="8"/>
  <c r="BI215" i="8" s="1"/>
  <c r="X215" i="8"/>
  <c r="W215" i="8"/>
  <c r="O215" i="8"/>
  <c r="AX214" i="8"/>
  <c r="BJ214" i="8" s="1"/>
  <c r="AW214" i="8"/>
  <c r="BI214" i="8" s="1"/>
  <c r="X214" i="8"/>
  <c r="W214" i="8"/>
  <c r="O214" i="8"/>
  <c r="AX213" i="8"/>
  <c r="BJ213" i="8" s="1"/>
  <c r="AW213" i="8"/>
  <c r="BI213" i="8" s="1"/>
  <c r="AG213" i="8"/>
  <c r="X213" i="8"/>
  <c r="W213" i="8"/>
  <c r="O213" i="8"/>
  <c r="AX212" i="8"/>
  <c r="BJ212" i="8" s="1"/>
  <c r="AW212" i="8"/>
  <c r="BI212" i="8" s="1"/>
  <c r="AG212" i="8"/>
  <c r="X212" i="8"/>
  <c r="W212" i="8"/>
  <c r="O212" i="8"/>
  <c r="AX211" i="8"/>
  <c r="BJ211" i="8" s="1"/>
  <c r="AW211" i="8"/>
  <c r="BI211" i="8" s="1"/>
  <c r="AG211" i="8"/>
  <c r="AO211" i="8" s="1"/>
  <c r="X211" i="8"/>
  <c r="W211" i="8"/>
  <c r="O211" i="8"/>
  <c r="AX210" i="8"/>
  <c r="BJ210" i="8" s="1"/>
  <c r="AW210" i="8"/>
  <c r="BI210" i="8" s="1"/>
  <c r="AG210" i="8"/>
  <c r="AO210" i="8" s="1"/>
  <c r="X210" i="8"/>
  <c r="W210" i="8"/>
  <c r="O210" i="8"/>
  <c r="AX209" i="8"/>
  <c r="BJ209" i="8" s="1"/>
  <c r="AW209" i="8"/>
  <c r="BI209" i="8" s="1"/>
  <c r="AG209" i="8"/>
  <c r="AO209" i="8" s="1"/>
  <c r="X209" i="8"/>
  <c r="W209" i="8"/>
  <c r="O209" i="8"/>
  <c r="AX208" i="8"/>
  <c r="BJ208" i="8" s="1"/>
  <c r="AW208" i="8"/>
  <c r="BI208" i="8" s="1"/>
  <c r="AG208" i="8"/>
  <c r="AO208" i="8" s="1"/>
  <c r="X208" i="8"/>
  <c r="W208" i="8"/>
  <c r="O208" i="8"/>
  <c r="AX207" i="8"/>
  <c r="BJ207" i="8" s="1"/>
  <c r="AW207" i="8"/>
  <c r="BI207" i="8" s="1"/>
  <c r="AG207" i="8"/>
  <c r="AO207" i="8" s="1"/>
  <c r="X207" i="8"/>
  <c r="W207" i="8"/>
  <c r="O207" i="8"/>
  <c r="AX206" i="8"/>
  <c r="BJ206" i="8" s="1"/>
  <c r="AW206" i="8"/>
  <c r="BI206" i="8" s="1"/>
  <c r="AG206" i="8"/>
  <c r="AO206" i="8" s="1"/>
  <c r="X206" i="8"/>
  <c r="W206" i="8"/>
  <c r="O206" i="8"/>
  <c r="AX205" i="8"/>
  <c r="BJ205" i="8" s="1"/>
  <c r="AW205" i="8"/>
  <c r="BI205" i="8" s="1"/>
  <c r="AG205" i="8"/>
  <c r="AO205" i="8" s="1"/>
  <c r="X205" i="8"/>
  <c r="W205" i="8"/>
  <c r="O205" i="8"/>
  <c r="AX204" i="8"/>
  <c r="BJ204" i="8" s="1"/>
  <c r="AW204" i="8"/>
  <c r="BI204" i="8" s="1"/>
  <c r="AG204" i="8"/>
  <c r="AO204" i="8" s="1"/>
  <c r="X204" i="8"/>
  <c r="W204" i="8"/>
  <c r="O204" i="8"/>
  <c r="AX203" i="8"/>
  <c r="BJ203" i="8" s="1"/>
  <c r="AW203" i="8"/>
  <c r="BI203" i="8" s="1"/>
  <c r="AG203" i="8"/>
  <c r="AO203" i="8" s="1"/>
  <c r="X203" i="8"/>
  <c r="W203" i="8"/>
  <c r="O203" i="8"/>
  <c r="AX202" i="8"/>
  <c r="BJ202" i="8" s="1"/>
  <c r="AW202" i="8"/>
  <c r="BI202" i="8" s="1"/>
  <c r="AG202" i="8"/>
  <c r="AO202" i="8" s="1"/>
  <c r="X202" i="8"/>
  <c r="W202" i="8"/>
  <c r="O202" i="8"/>
  <c r="AX201" i="8"/>
  <c r="BJ201" i="8" s="1"/>
  <c r="AW201" i="8"/>
  <c r="BI201" i="8" s="1"/>
  <c r="AG201" i="8"/>
  <c r="AO201" i="8" s="1"/>
  <c r="X201" i="8"/>
  <c r="W201" i="8"/>
  <c r="O201" i="8"/>
  <c r="AX200" i="8"/>
  <c r="BJ200" i="8" s="1"/>
  <c r="AW200" i="8"/>
  <c r="BI200" i="8" s="1"/>
  <c r="AG200" i="8"/>
  <c r="AO200" i="8" s="1"/>
  <c r="X200" i="8"/>
  <c r="W200" i="8"/>
  <c r="O200" i="8"/>
  <c r="AX199" i="8"/>
  <c r="BJ199" i="8" s="1"/>
  <c r="AW199" i="8"/>
  <c r="BI199" i="8" s="1"/>
  <c r="AG199" i="8"/>
  <c r="AO199" i="8" s="1"/>
  <c r="X199" i="8"/>
  <c r="W199" i="8"/>
  <c r="O199" i="8"/>
  <c r="AX198" i="8"/>
  <c r="BJ198" i="8" s="1"/>
  <c r="AW198" i="8"/>
  <c r="BI198" i="8" s="1"/>
  <c r="AG198" i="8"/>
  <c r="AO198" i="8" s="1"/>
  <c r="X198" i="8"/>
  <c r="W198" i="8"/>
  <c r="O198" i="8"/>
  <c r="AX197" i="8"/>
  <c r="BJ197" i="8" s="1"/>
  <c r="AW197" i="8"/>
  <c r="BI197" i="8" s="1"/>
  <c r="AG197" i="8"/>
  <c r="AO197" i="8" s="1"/>
  <c r="X197" i="8"/>
  <c r="W197" i="8"/>
  <c r="O197" i="8"/>
  <c r="AX196" i="8"/>
  <c r="BJ196" i="8" s="1"/>
  <c r="AW196" i="8"/>
  <c r="BI196" i="8" s="1"/>
  <c r="AG196" i="8"/>
  <c r="AO196" i="8" s="1"/>
  <c r="X196" i="8"/>
  <c r="W196" i="8"/>
  <c r="O196" i="8"/>
  <c r="AX195" i="8"/>
  <c r="BJ195" i="8" s="1"/>
  <c r="AW195" i="8"/>
  <c r="BI195" i="8" s="1"/>
  <c r="AG195" i="8"/>
  <c r="AO195" i="8" s="1"/>
  <c r="X195" i="8"/>
  <c r="W195" i="8"/>
  <c r="O195" i="8"/>
  <c r="AX194" i="8"/>
  <c r="BJ194" i="8" s="1"/>
  <c r="AW194" i="8"/>
  <c r="BI194" i="8" s="1"/>
  <c r="AG194" i="8"/>
  <c r="AO194" i="8" s="1"/>
  <c r="X194" i="8"/>
  <c r="W194" i="8"/>
  <c r="O194" i="8"/>
  <c r="AX193" i="8"/>
  <c r="BJ193" i="8" s="1"/>
  <c r="AW193" i="8"/>
  <c r="BI193" i="8" s="1"/>
  <c r="AG193" i="8"/>
  <c r="AO193" i="8" s="1"/>
  <c r="X193" i="8"/>
  <c r="W193" i="8"/>
  <c r="O193" i="8"/>
  <c r="AX192" i="8"/>
  <c r="BJ192" i="8" s="1"/>
  <c r="AW192" i="8"/>
  <c r="BI192" i="8" s="1"/>
  <c r="AG192" i="8"/>
  <c r="AO192" i="8" s="1"/>
  <c r="X192" i="8"/>
  <c r="W192" i="8"/>
  <c r="O192" i="8"/>
  <c r="AX191" i="8"/>
  <c r="BJ191" i="8" s="1"/>
  <c r="AW191" i="8"/>
  <c r="BI191" i="8" s="1"/>
  <c r="AG191" i="8"/>
  <c r="AO191" i="8" s="1"/>
  <c r="X191" i="8"/>
  <c r="W191" i="8"/>
  <c r="O191" i="8"/>
  <c r="AX190" i="8"/>
  <c r="BJ190" i="8" s="1"/>
  <c r="AW190" i="8"/>
  <c r="BI190" i="8" s="1"/>
  <c r="AG190" i="8"/>
  <c r="AO190" i="8" s="1"/>
  <c r="X190" i="8"/>
  <c r="W190" i="8"/>
  <c r="O190" i="8"/>
  <c r="AX189" i="8"/>
  <c r="BJ189" i="8" s="1"/>
  <c r="AW189" i="8"/>
  <c r="BI189" i="8" s="1"/>
  <c r="AG189" i="8"/>
  <c r="AO189" i="8" s="1"/>
  <c r="X189" i="8"/>
  <c r="W189" i="8"/>
  <c r="O189" i="8"/>
  <c r="AX188" i="8"/>
  <c r="BJ188" i="8" s="1"/>
  <c r="AW188" i="8"/>
  <c r="BI188" i="8" s="1"/>
  <c r="AG188" i="8"/>
  <c r="AO188" i="8" s="1"/>
  <c r="X188" i="8"/>
  <c r="W188" i="8"/>
  <c r="O188" i="8"/>
  <c r="AX187" i="8"/>
  <c r="BJ187" i="8" s="1"/>
  <c r="AW187" i="8"/>
  <c r="BI187" i="8" s="1"/>
  <c r="AG187" i="8"/>
  <c r="AO187" i="8" s="1"/>
  <c r="X187" i="8"/>
  <c r="W187" i="8"/>
  <c r="O187" i="8"/>
  <c r="AX186" i="8"/>
  <c r="BJ186" i="8" s="1"/>
  <c r="AW186" i="8"/>
  <c r="BI186" i="8" s="1"/>
  <c r="AG186" i="8"/>
  <c r="AO186" i="8" s="1"/>
  <c r="X186" i="8"/>
  <c r="W186" i="8"/>
  <c r="O186" i="8"/>
  <c r="AX185" i="8"/>
  <c r="BJ185" i="8" s="1"/>
  <c r="AW185" i="8"/>
  <c r="BI185" i="8" s="1"/>
  <c r="AG185" i="8"/>
  <c r="AO185" i="8" s="1"/>
  <c r="X185" i="8"/>
  <c r="W185" i="8"/>
  <c r="O185" i="8"/>
  <c r="AX184" i="8"/>
  <c r="BJ184" i="8" s="1"/>
  <c r="AW184" i="8"/>
  <c r="BI184" i="8" s="1"/>
  <c r="AG184" i="8"/>
  <c r="AO184" i="8" s="1"/>
  <c r="X184" i="8"/>
  <c r="W184" i="8"/>
  <c r="O184" i="8"/>
  <c r="AX183" i="8"/>
  <c r="BJ183" i="8" s="1"/>
  <c r="AW183" i="8"/>
  <c r="BI183" i="8" s="1"/>
  <c r="AG183" i="8"/>
  <c r="AO183" i="8" s="1"/>
  <c r="X183" i="8"/>
  <c r="W183" i="8"/>
  <c r="O183" i="8"/>
  <c r="AX182" i="8"/>
  <c r="BJ182" i="8" s="1"/>
  <c r="AW182" i="8"/>
  <c r="BI182" i="8" s="1"/>
  <c r="AG182" i="8"/>
  <c r="AO182" i="8" s="1"/>
  <c r="X182" i="8"/>
  <c r="W182" i="8"/>
  <c r="O182" i="8"/>
  <c r="AX181" i="8"/>
  <c r="BJ181" i="8" s="1"/>
  <c r="AW181" i="8"/>
  <c r="BI181" i="8" s="1"/>
  <c r="AG181" i="8"/>
  <c r="AO181" i="8" s="1"/>
  <c r="X181" i="8"/>
  <c r="W181" i="8"/>
  <c r="O181" i="8"/>
  <c r="AX180" i="8"/>
  <c r="BJ180" i="8" s="1"/>
  <c r="AW180" i="8"/>
  <c r="BI180" i="8" s="1"/>
  <c r="AG180" i="8"/>
  <c r="AO180" i="8" s="1"/>
  <c r="X180" i="8"/>
  <c r="W180" i="8"/>
  <c r="O180" i="8"/>
  <c r="AX179" i="8"/>
  <c r="BJ179" i="8" s="1"/>
  <c r="AW179" i="8"/>
  <c r="BI179" i="8" s="1"/>
  <c r="AG179" i="8"/>
  <c r="AO179" i="8" s="1"/>
  <c r="X179" i="8"/>
  <c r="W179" i="8"/>
  <c r="O179" i="8"/>
  <c r="AX178" i="8"/>
  <c r="BJ178" i="8" s="1"/>
  <c r="AW178" i="8"/>
  <c r="BI178" i="8" s="1"/>
  <c r="AG178" i="8"/>
  <c r="AO178" i="8" s="1"/>
  <c r="X178" i="8"/>
  <c r="W178" i="8"/>
  <c r="O178" i="8"/>
  <c r="AX177" i="8"/>
  <c r="BJ177" i="8" s="1"/>
  <c r="AW177" i="8"/>
  <c r="BI177" i="8" s="1"/>
  <c r="AG177" i="8"/>
  <c r="AO177" i="8" s="1"/>
  <c r="X177" i="8"/>
  <c r="W177" i="8"/>
  <c r="O177" i="8"/>
  <c r="AX176" i="8"/>
  <c r="BJ176" i="8" s="1"/>
  <c r="AW176" i="8"/>
  <c r="BI176" i="8" s="1"/>
  <c r="AG176" i="8"/>
  <c r="AO176" i="8" s="1"/>
  <c r="X176" i="8"/>
  <c r="W176" i="8"/>
  <c r="O176" i="8"/>
  <c r="AX175" i="8"/>
  <c r="BJ175" i="8" s="1"/>
  <c r="AW175" i="8"/>
  <c r="BI175" i="8" s="1"/>
  <c r="AG175" i="8"/>
  <c r="AO175" i="8" s="1"/>
  <c r="X175" i="8"/>
  <c r="W175" i="8"/>
  <c r="O175" i="8"/>
  <c r="AX174" i="8"/>
  <c r="BJ174" i="8" s="1"/>
  <c r="AW174" i="8"/>
  <c r="BI174" i="8" s="1"/>
  <c r="AG174" i="8"/>
  <c r="AO174" i="8" s="1"/>
  <c r="X174" i="8"/>
  <c r="W174" i="8"/>
  <c r="O174" i="8"/>
  <c r="AX173" i="8"/>
  <c r="BJ173" i="8" s="1"/>
  <c r="AW173" i="8"/>
  <c r="BI173" i="8" s="1"/>
  <c r="AG173" i="8"/>
  <c r="AO173" i="8" s="1"/>
  <c r="X173" i="8"/>
  <c r="W173" i="8"/>
  <c r="O173" i="8"/>
  <c r="AX172" i="8"/>
  <c r="BJ172" i="8" s="1"/>
  <c r="AW172" i="8"/>
  <c r="BI172" i="8" s="1"/>
  <c r="AG172" i="8"/>
  <c r="AO172" i="8" s="1"/>
  <c r="X172" i="8"/>
  <c r="W172" i="8"/>
  <c r="O172" i="8"/>
  <c r="AX171" i="8"/>
  <c r="BJ171" i="8" s="1"/>
  <c r="AW171" i="8"/>
  <c r="BI171" i="8" s="1"/>
  <c r="AG171" i="8"/>
  <c r="AO171" i="8" s="1"/>
  <c r="X171" i="8"/>
  <c r="W171" i="8"/>
  <c r="O171" i="8"/>
  <c r="AX170" i="8"/>
  <c r="BJ170" i="8" s="1"/>
  <c r="AW170" i="8"/>
  <c r="BI170" i="8" s="1"/>
  <c r="AG170" i="8"/>
  <c r="AO170" i="8" s="1"/>
  <c r="X170" i="8"/>
  <c r="W170" i="8"/>
  <c r="O170" i="8"/>
  <c r="AX169" i="8"/>
  <c r="BJ169" i="8" s="1"/>
  <c r="AW169" i="8"/>
  <c r="BI169" i="8" s="1"/>
  <c r="AG169" i="8"/>
  <c r="AO169" i="8" s="1"/>
  <c r="X169" i="8"/>
  <c r="W169" i="8"/>
  <c r="O169" i="8"/>
  <c r="AX168" i="8"/>
  <c r="BJ168" i="8" s="1"/>
  <c r="AW168" i="8"/>
  <c r="BI168" i="8" s="1"/>
  <c r="AG168" i="8"/>
  <c r="AO168" i="8" s="1"/>
  <c r="X168" i="8"/>
  <c r="W168" i="8"/>
  <c r="O168" i="8"/>
  <c r="AX167" i="8"/>
  <c r="BJ167" i="8" s="1"/>
  <c r="AW167" i="8"/>
  <c r="BI167" i="8" s="1"/>
  <c r="AG167" i="8"/>
  <c r="AO167" i="8" s="1"/>
  <c r="X167" i="8"/>
  <c r="W167" i="8"/>
  <c r="O167" i="8"/>
  <c r="AX166" i="8"/>
  <c r="BJ166" i="8" s="1"/>
  <c r="AW166" i="8"/>
  <c r="BI166" i="8" s="1"/>
  <c r="AG166" i="8"/>
  <c r="AO166" i="8" s="1"/>
  <c r="X166" i="8"/>
  <c r="W166" i="8"/>
  <c r="O166" i="8"/>
  <c r="AX165" i="8"/>
  <c r="BJ165" i="8" s="1"/>
  <c r="AW165" i="8"/>
  <c r="BI165" i="8" s="1"/>
  <c r="AG165" i="8"/>
  <c r="AO165" i="8" s="1"/>
  <c r="X165" i="8"/>
  <c r="W165" i="8"/>
  <c r="O165" i="8"/>
  <c r="AX164" i="8"/>
  <c r="BJ164" i="8" s="1"/>
  <c r="AW164" i="8"/>
  <c r="BI164" i="8" s="1"/>
  <c r="AG164" i="8"/>
  <c r="AO164" i="8" s="1"/>
  <c r="X164" i="8"/>
  <c r="W164" i="8"/>
  <c r="O164" i="8"/>
  <c r="AX163" i="8"/>
  <c r="BJ163" i="8" s="1"/>
  <c r="AW163" i="8"/>
  <c r="BI163" i="8" s="1"/>
  <c r="AG163" i="8"/>
  <c r="AO163" i="8" s="1"/>
  <c r="X163" i="8"/>
  <c r="W163" i="8"/>
  <c r="O163" i="8"/>
  <c r="AX162" i="8"/>
  <c r="BJ162" i="8" s="1"/>
  <c r="AW162" i="8"/>
  <c r="BI162" i="8" s="1"/>
  <c r="AG162" i="8"/>
  <c r="AO162" i="8" s="1"/>
  <c r="X162" i="8"/>
  <c r="W162" i="8"/>
  <c r="O162" i="8"/>
  <c r="F162" i="8"/>
  <c r="H162" i="8" s="1"/>
  <c r="AX161" i="8"/>
  <c r="BJ161" i="8" s="1"/>
  <c r="AW161" i="8"/>
  <c r="BI161" i="8" s="1"/>
  <c r="AG161" i="8"/>
  <c r="AO161" i="8" s="1"/>
  <c r="X161" i="8"/>
  <c r="W161" i="8"/>
  <c r="O161" i="8"/>
  <c r="F161" i="8"/>
  <c r="H161" i="8" s="1"/>
  <c r="AX160" i="8"/>
  <c r="BJ160" i="8" s="1"/>
  <c r="AW160" i="8"/>
  <c r="BI160" i="8" s="1"/>
  <c r="AG160" i="8"/>
  <c r="AO160" i="8" s="1"/>
  <c r="X160" i="8"/>
  <c r="W160" i="8"/>
  <c r="O160" i="8"/>
  <c r="F160" i="8"/>
  <c r="H160" i="8" s="1"/>
  <c r="AX159" i="8"/>
  <c r="BJ159" i="8" s="1"/>
  <c r="AW159" i="8"/>
  <c r="BI159" i="8" s="1"/>
  <c r="AG159" i="8"/>
  <c r="AO159" i="8" s="1"/>
  <c r="X159" i="8"/>
  <c r="W159" i="8"/>
  <c r="O159" i="8"/>
  <c r="F159" i="8"/>
  <c r="H159" i="8" s="1"/>
  <c r="AX158" i="8"/>
  <c r="BJ158" i="8" s="1"/>
  <c r="AW158" i="8"/>
  <c r="BI158" i="8" s="1"/>
  <c r="AG158" i="8"/>
  <c r="AO158" i="8" s="1"/>
  <c r="X158" i="8"/>
  <c r="W158" i="8"/>
  <c r="O158" i="8"/>
  <c r="F158" i="8"/>
  <c r="H158" i="8" s="1"/>
  <c r="AX157" i="8"/>
  <c r="BJ157" i="8" s="1"/>
  <c r="AW157" i="8"/>
  <c r="BI157" i="8" s="1"/>
  <c r="AG157" i="8"/>
  <c r="AO157" i="8" s="1"/>
  <c r="X157" i="8"/>
  <c r="W157" i="8"/>
  <c r="O157" i="8"/>
  <c r="F157" i="8"/>
  <c r="H157" i="8" s="1"/>
  <c r="AX156" i="8"/>
  <c r="BJ156" i="8" s="1"/>
  <c r="AW156" i="8"/>
  <c r="BI156" i="8" s="1"/>
  <c r="AG156" i="8"/>
  <c r="AO156" i="8" s="1"/>
  <c r="X156" i="8"/>
  <c r="W156" i="8"/>
  <c r="O156" i="8"/>
  <c r="F156" i="8"/>
  <c r="H156" i="8" s="1"/>
  <c r="AX155" i="8"/>
  <c r="BJ155" i="8" s="1"/>
  <c r="AW155" i="8"/>
  <c r="BI155" i="8" s="1"/>
  <c r="AO155" i="8"/>
  <c r="X155" i="8"/>
  <c r="W155" i="8"/>
  <c r="O155" i="8"/>
  <c r="F155" i="8"/>
  <c r="H155" i="8" s="1"/>
  <c r="AX154" i="8"/>
  <c r="BJ154" i="8" s="1"/>
  <c r="AW154" i="8"/>
  <c r="BI154" i="8" s="1"/>
  <c r="AG154" i="8"/>
  <c r="AO154" i="8" s="1"/>
  <c r="X154" i="8"/>
  <c r="W154" i="8"/>
  <c r="O154" i="8"/>
  <c r="F154" i="8"/>
  <c r="H154" i="8" s="1"/>
  <c r="AX153" i="8"/>
  <c r="BJ153" i="8" s="1"/>
  <c r="AW153" i="8"/>
  <c r="BI153" i="8" s="1"/>
  <c r="AO153" i="8"/>
  <c r="X153" i="8"/>
  <c r="W153" i="8"/>
  <c r="O153" i="8"/>
  <c r="F153" i="8"/>
  <c r="H153" i="8" s="1"/>
  <c r="AX152" i="8"/>
  <c r="BJ152" i="8" s="1"/>
  <c r="AW152" i="8"/>
  <c r="BI152" i="8" s="1"/>
  <c r="AG152" i="8"/>
  <c r="AO152" i="8" s="1"/>
  <c r="X152" i="8"/>
  <c r="W152" i="8"/>
  <c r="O152" i="8"/>
  <c r="F152" i="8"/>
  <c r="H152" i="8" s="1"/>
  <c r="AX151" i="8"/>
  <c r="BJ151" i="8" s="1"/>
  <c r="AW151" i="8"/>
  <c r="BI151" i="8" s="1"/>
  <c r="AG151" i="8"/>
  <c r="AO151" i="8" s="1"/>
  <c r="X151" i="8"/>
  <c r="W151" i="8"/>
  <c r="O151" i="8"/>
  <c r="F151" i="8"/>
  <c r="H151" i="8" s="1"/>
  <c r="AX150" i="8"/>
  <c r="BJ150" i="8" s="1"/>
  <c r="AW150" i="8"/>
  <c r="BI150" i="8" s="1"/>
  <c r="AG150" i="8"/>
  <c r="AO150" i="8" s="1"/>
  <c r="X150" i="8"/>
  <c r="W150" i="8"/>
  <c r="O150" i="8"/>
  <c r="F150" i="8"/>
  <c r="H150" i="8" s="1"/>
  <c r="AX149" i="8"/>
  <c r="BJ149" i="8" s="1"/>
  <c r="AW149" i="8"/>
  <c r="BI149" i="8" s="1"/>
  <c r="AG149" i="8"/>
  <c r="AO149" i="8" s="1"/>
  <c r="X149" i="8"/>
  <c r="W149" i="8"/>
  <c r="O149" i="8"/>
  <c r="F149" i="8"/>
  <c r="H149" i="8" s="1"/>
  <c r="AX148" i="8"/>
  <c r="BJ148" i="8" s="1"/>
  <c r="AW148" i="8"/>
  <c r="BI148" i="8" s="1"/>
  <c r="AO148" i="8"/>
  <c r="X148" i="8"/>
  <c r="W148" i="8"/>
  <c r="O148" i="8"/>
  <c r="F148" i="8"/>
  <c r="H148" i="8" s="1"/>
  <c r="AX147" i="8"/>
  <c r="BJ147" i="8" s="1"/>
  <c r="AW147" i="8"/>
  <c r="BI147" i="8" s="1"/>
  <c r="AO147" i="8"/>
  <c r="X147" i="8"/>
  <c r="W147" i="8"/>
  <c r="O147" i="8"/>
  <c r="F147" i="8"/>
  <c r="H147" i="8" s="1"/>
  <c r="AX146" i="8"/>
  <c r="BJ146" i="8" s="1"/>
  <c r="AW146" i="8"/>
  <c r="BI146" i="8" s="1"/>
  <c r="AO146" i="8"/>
  <c r="X146" i="8"/>
  <c r="W146" i="8"/>
  <c r="O146" i="8"/>
  <c r="F146" i="8"/>
  <c r="H146" i="8" s="1"/>
  <c r="AX145" i="8"/>
  <c r="BJ145" i="8" s="1"/>
  <c r="AW145" i="8"/>
  <c r="BI145" i="8" s="1"/>
  <c r="AO145" i="8"/>
  <c r="X145" i="8"/>
  <c r="W145" i="8"/>
  <c r="O145" i="8"/>
  <c r="F145" i="8"/>
  <c r="H145" i="8" s="1"/>
  <c r="AX144" i="8"/>
  <c r="BJ144" i="8" s="1"/>
  <c r="AW144" i="8"/>
  <c r="BI144" i="8" s="1"/>
  <c r="AO144" i="8"/>
  <c r="X144" i="8"/>
  <c r="W144" i="8"/>
  <c r="O144" i="8"/>
  <c r="F144" i="8"/>
  <c r="H144" i="8" s="1"/>
  <c r="AX143" i="8"/>
  <c r="BJ143" i="8" s="1"/>
  <c r="AW143" i="8"/>
  <c r="BI143" i="8" s="1"/>
  <c r="AO143" i="8"/>
  <c r="X143" i="8"/>
  <c r="W143" i="8"/>
  <c r="O143" i="8"/>
  <c r="F143" i="8"/>
  <c r="H143" i="8" s="1"/>
  <c r="AX142" i="8"/>
  <c r="BJ142" i="8" s="1"/>
  <c r="AW142" i="8"/>
  <c r="BI142" i="8" s="1"/>
  <c r="AO142" i="8"/>
  <c r="X142" i="8"/>
  <c r="W142" i="8"/>
  <c r="O142" i="8"/>
  <c r="F142" i="8"/>
  <c r="H142" i="8" s="1"/>
  <c r="AX141" i="8"/>
  <c r="BJ141" i="8" s="1"/>
  <c r="AW141" i="8"/>
  <c r="BI141" i="8" s="1"/>
  <c r="AO141" i="8"/>
  <c r="X141" i="8"/>
  <c r="W141" i="8"/>
  <c r="O141" i="8"/>
  <c r="F141" i="8"/>
  <c r="H141" i="8" s="1"/>
  <c r="AX140" i="8"/>
  <c r="BJ140" i="8" s="1"/>
  <c r="AW140" i="8"/>
  <c r="BI140" i="8" s="1"/>
  <c r="AO140" i="8"/>
  <c r="X140" i="8"/>
  <c r="W140" i="8"/>
  <c r="O140" i="8"/>
  <c r="F140" i="8"/>
  <c r="H140" i="8" s="1"/>
  <c r="AX139" i="8"/>
  <c r="BJ139" i="8" s="1"/>
  <c r="AW139" i="8"/>
  <c r="BI139" i="8" s="1"/>
  <c r="AO139" i="8"/>
  <c r="X139" i="8"/>
  <c r="W139" i="8"/>
  <c r="O139" i="8"/>
  <c r="F139" i="8"/>
  <c r="H139" i="8" s="1"/>
  <c r="AX138" i="8"/>
  <c r="BJ138" i="8" s="1"/>
  <c r="AW138" i="8"/>
  <c r="BI138" i="8" s="1"/>
  <c r="AO138" i="8"/>
  <c r="X138" i="8"/>
  <c r="W138" i="8"/>
  <c r="O138" i="8"/>
  <c r="F138" i="8"/>
  <c r="H138" i="8" s="1"/>
  <c r="AX137" i="8"/>
  <c r="BJ137" i="8" s="1"/>
  <c r="AW137" i="8"/>
  <c r="BI137" i="8" s="1"/>
  <c r="AO137" i="8"/>
  <c r="X137" i="8"/>
  <c r="W137" i="8"/>
  <c r="O137" i="8"/>
  <c r="F137" i="8"/>
  <c r="H137" i="8" s="1"/>
  <c r="AX136" i="8"/>
  <c r="BJ136" i="8" s="1"/>
  <c r="AW136" i="8"/>
  <c r="BI136" i="8" s="1"/>
  <c r="AO136" i="8"/>
  <c r="X136" i="8"/>
  <c r="W136" i="8"/>
  <c r="O136" i="8"/>
  <c r="F136" i="8"/>
  <c r="H136" i="8" s="1"/>
  <c r="AX135" i="8"/>
  <c r="BJ135" i="8" s="1"/>
  <c r="AW135" i="8"/>
  <c r="BI135" i="8" s="1"/>
  <c r="AO135" i="8"/>
  <c r="X135" i="8"/>
  <c r="W135" i="8"/>
  <c r="O135" i="8"/>
  <c r="F135" i="8"/>
  <c r="H135" i="8" s="1"/>
  <c r="AX134" i="8"/>
  <c r="BJ134" i="8" s="1"/>
  <c r="AW134" i="8"/>
  <c r="BI134" i="8" s="1"/>
  <c r="AO134" i="8"/>
  <c r="X134" i="8"/>
  <c r="W134" i="8"/>
  <c r="O134" i="8"/>
  <c r="F134" i="8"/>
  <c r="H134" i="8" s="1"/>
  <c r="AX133" i="8"/>
  <c r="BJ133" i="8" s="1"/>
  <c r="AW133" i="8"/>
  <c r="BI133" i="8" s="1"/>
  <c r="AO133" i="8"/>
  <c r="X133" i="8"/>
  <c r="W133" i="8"/>
  <c r="O133" i="8"/>
  <c r="F133" i="8"/>
  <c r="H133" i="8" s="1"/>
  <c r="AX132" i="8"/>
  <c r="BJ132" i="8" s="1"/>
  <c r="AW132" i="8"/>
  <c r="BI132" i="8" s="1"/>
  <c r="AO132" i="8"/>
  <c r="X132" i="8"/>
  <c r="W132" i="8"/>
  <c r="O132" i="8"/>
  <c r="F132" i="8"/>
  <c r="H132" i="8" s="1"/>
  <c r="AX131" i="8"/>
  <c r="BJ131" i="8" s="1"/>
  <c r="AW131" i="8"/>
  <c r="BI131" i="8" s="1"/>
  <c r="AO131" i="8"/>
  <c r="X131" i="8"/>
  <c r="W131" i="8"/>
  <c r="O131" i="8"/>
  <c r="F131" i="8"/>
  <c r="H131" i="8" s="1"/>
  <c r="AX130" i="8"/>
  <c r="BJ130" i="8" s="1"/>
  <c r="AW130" i="8"/>
  <c r="BI130" i="8" s="1"/>
  <c r="AO130" i="8"/>
  <c r="X130" i="8"/>
  <c r="W130" i="8"/>
  <c r="O130" i="8"/>
  <c r="F130" i="8"/>
  <c r="H130" i="8" s="1"/>
  <c r="AX129" i="8"/>
  <c r="BJ129" i="8" s="1"/>
  <c r="AW129" i="8"/>
  <c r="BI129" i="8" s="1"/>
  <c r="AO129" i="8"/>
  <c r="X129" i="8"/>
  <c r="W129" i="8"/>
  <c r="O129" i="8"/>
  <c r="F129" i="8"/>
  <c r="H129" i="8" s="1"/>
  <c r="AX128" i="8"/>
  <c r="BJ128" i="8" s="1"/>
  <c r="AW128" i="8"/>
  <c r="BI128" i="8" s="1"/>
  <c r="AO128" i="8"/>
  <c r="X128" i="8"/>
  <c r="W128" i="8"/>
  <c r="O128" i="8"/>
  <c r="F128" i="8"/>
  <c r="H128" i="8" s="1"/>
  <c r="AX127" i="8"/>
  <c r="BJ127" i="8" s="1"/>
  <c r="AW127" i="8"/>
  <c r="BI127" i="8" s="1"/>
  <c r="AO127" i="8"/>
  <c r="X127" i="8"/>
  <c r="W127" i="8"/>
  <c r="O127" i="8"/>
  <c r="F127" i="8"/>
  <c r="H127" i="8" s="1"/>
  <c r="AX126" i="8"/>
  <c r="BJ126" i="8" s="1"/>
  <c r="AW126" i="8"/>
  <c r="BI126" i="8" s="1"/>
  <c r="AO126" i="8"/>
  <c r="X126" i="8"/>
  <c r="W126" i="8"/>
  <c r="O126" i="8"/>
  <c r="F126" i="8"/>
  <c r="H126" i="8" s="1"/>
  <c r="AX125" i="8"/>
  <c r="BJ125" i="8" s="1"/>
  <c r="AW125" i="8"/>
  <c r="BI125" i="8" s="1"/>
  <c r="AO125" i="8"/>
  <c r="X125" i="8"/>
  <c r="W125" i="8"/>
  <c r="O125" i="8"/>
  <c r="F125" i="8"/>
  <c r="H125" i="8" s="1"/>
  <c r="AX124" i="8"/>
  <c r="BJ124" i="8" s="1"/>
  <c r="AW124" i="8"/>
  <c r="BI124" i="8" s="1"/>
  <c r="AO124" i="8"/>
  <c r="X124" i="8"/>
  <c r="W124" i="8"/>
  <c r="O124" i="8"/>
  <c r="F124" i="8"/>
  <c r="H124" i="8" s="1"/>
  <c r="AX123" i="8"/>
  <c r="BJ123" i="8" s="1"/>
  <c r="AW123" i="8"/>
  <c r="BI123" i="8" s="1"/>
  <c r="AO123" i="8"/>
  <c r="X123" i="8"/>
  <c r="W123" i="8"/>
  <c r="O123" i="8"/>
  <c r="F123" i="8"/>
  <c r="H123" i="8" s="1"/>
  <c r="AX122" i="8"/>
  <c r="BJ122" i="8" s="1"/>
  <c r="AW122" i="8"/>
  <c r="BI122" i="8" s="1"/>
  <c r="AO122" i="8"/>
  <c r="X122" i="8"/>
  <c r="W122" i="8"/>
  <c r="O122" i="8"/>
  <c r="F122" i="8"/>
  <c r="H122" i="8" s="1"/>
  <c r="AX121" i="8"/>
  <c r="BJ121" i="8" s="1"/>
  <c r="AW121" i="8"/>
  <c r="BI121" i="8" s="1"/>
  <c r="AO121" i="8"/>
  <c r="X121" i="8"/>
  <c r="W121" i="8"/>
  <c r="O121" i="8"/>
  <c r="F121" i="8"/>
  <c r="H121" i="8" s="1"/>
  <c r="AX120" i="8"/>
  <c r="BJ120" i="8" s="1"/>
  <c r="AW120" i="8"/>
  <c r="BI120" i="8" s="1"/>
  <c r="AO120" i="8"/>
  <c r="X120" i="8"/>
  <c r="W120" i="8"/>
  <c r="O120" i="8"/>
  <c r="F120" i="8"/>
  <c r="H120" i="8" s="1"/>
  <c r="AX119" i="8"/>
  <c r="BJ119" i="8" s="1"/>
  <c r="AW119" i="8"/>
  <c r="BI119" i="8" s="1"/>
  <c r="AO119" i="8"/>
  <c r="X119" i="8"/>
  <c r="W119" i="8"/>
  <c r="O119" i="8"/>
  <c r="F119" i="8"/>
  <c r="H119" i="8" s="1"/>
  <c r="AX118" i="8"/>
  <c r="BJ118" i="8" s="1"/>
  <c r="AW118" i="8"/>
  <c r="BI118" i="8" s="1"/>
  <c r="AO118" i="8"/>
  <c r="X118" i="8"/>
  <c r="W118" i="8"/>
  <c r="O118" i="8"/>
  <c r="F118" i="8"/>
  <c r="H118" i="8" s="1"/>
  <c r="AX117" i="8"/>
  <c r="BJ117" i="8" s="1"/>
  <c r="AW117" i="8"/>
  <c r="BI117" i="8" s="1"/>
  <c r="AO117" i="8"/>
  <c r="X117" i="8"/>
  <c r="W117" i="8"/>
  <c r="O117" i="8"/>
  <c r="F117" i="8"/>
  <c r="H117" i="8" s="1"/>
  <c r="AX116" i="8"/>
  <c r="BJ116" i="8" s="1"/>
  <c r="AW116" i="8"/>
  <c r="BI116" i="8" s="1"/>
  <c r="AO116" i="8"/>
  <c r="X116" i="8"/>
  <c r="W116" i="8"/>
  <c r="O116" i="8"/>
  <c r="F116" i="8"/>
  <c r="H116" i="8" s="1"/>
  <c r="AX115" i="8"/>
  <c r="BJ115" i="8" s="1"/>
  <c r="AW115" i="8"/>
  <c r="BI115" i="8" s="1"/>
  <c r="X115" i="8"/>
  <c r="W115" i="8"/>
  <c r="O115" i="8"/>
  <c r="F115" i="8"/>
  <c r="H115" i="8" s="1"/>
  <c r="AX114" i="8"/>
  <c r="BJ114" i="8" s="1"/>
  <c r="AW114" i="8"/>
  <c r="BI114" i="8" s="1"/>
  <c r="AO114" i="8"/>
  <c r="X114" i="8"/>
  <c r="W114" i="8"/>
  <c r="O114" i="8"/>
  <c r="F114" i="8"/>
  <c r="H114" i="8" s="1"/>
  <c r="AX113" i="8"/>
  <c r="BJ113" i="8" s="1"/>
  <c r="AW113" i="8"/>
  <c r="BI113" i="8" s="1"/>
  <c r="AO113" i="8"/>
  <c r="X113" i="8"/>
  <c r="W113" i="8"/>
  <c r="O113" i="8"/>
  <c r="F113" i="8"/>
  <c r="H113" i="8" s="1"/>
  <c r="AX112" i="8"/>
  <c r="BJ112" i="8" s="1"/>
  <c r="AW112" i="8"/>
  <c r="BI112" i="8" s="1"/>
  <c r="AO112" i="8"/>
  <c r="X112" i="8"/>
  <c r="W112" i="8"/>
  <c r="O112" i="8"/>
  <c r="F112" i="8"/>
  <c r="H112" i="8" s="1"/>
  <c r="AX111" i="8"/>
  <c r="BJ111" i="8" s="1"/>
  <c r="AW111" i="8"/>
  <c r="BI111" i="8" s="1"/>
  <c r="AO111" i="8"/>
  <c r="X111" i="8"/>
  <c r="W111" i="8"/>
  <c r="O111" i="8"/>
  <c r="F111" i="8"/>
  <c r="H111" i="8" s="1"/>
  <c r="AX110" i="8"/>
  <c r="BJ110" i="8" s="1"/>
  <c r="AW110" i="8"/>
  <c r="BI110" i="8" s="1"/>
  <c r="AO110" i="8"/>
  <c r="X110" i="8"/>
  <c r="W110" i="8"/>
  <c r="O110" i="8"/>
  <c r="F110" i="8"/>
  <c r="H110" i="8" s="1"/>
  <c r="AX109" i="8"/>
  <c r="BJ109" i="8" s="1"/>
  <c r="AW109" i="8"/>
  <c r="BI109" i="8" s="1"/>
  <c r="AO109" i="8"/>
  <c r="X109" i="8"/>
  <c r="W109" i="8"/>
  <c r="O109" i="8"/>
  <c r="F109" i="8"/>
  <c r="H109" i="8" s="1"/>
  <c r="AX108" i="8"/>
  <c r="BJ108" i="8" s="1"/>
  <c r="AW108" i="8"/>
  <c r="BI108" i="8" s="1"/>
  <c r="AO108" i="8"/>
  <c r="X108" i="8"/>
  <c r="W108" i="8"/>
  <c r="O108" i="8"/>
  <c r="F108" i="8"/>
  <c r="H108" i="8" s="1"/>
  <c r="AX107" i="8"/>
  <c r="BJ107" i="8" s="1"/>
  <c r="AW107" i="8"/>
  <c r="BI107" i="8" s="1"/>
  <c r="AO107" i="8"/>
  <c r="X107" i="8"/>
  <c r="W107" i="8"/>
  <c r="O107" i="8"/>
  <c r="F107" i="8"/>
  <c r="H107" i="8" s="1"/>
  <c r="AX106" i="8"/>
  <c r="BJ106" i="8" s="1"/>
  <c r="AW106" i="8"/>
  <c r="BI106" i="8" s="1"/>
  <c r="AO106" i="8"/>
  <c r="X106" i="8"/>
  <c r="W106" i="8"/>
  <c r="O106" i="8"/>
  <c r="F106" i="8"/>
  <c r="H106" i="8" s="1"/>
  <c r="AX105" i="8"/>
  <c r="BJ105" i="8" s="1"/>
  <c r="AW105" i="8"/>
  <c r="BI105" i="8" s="1"/>
  <c r="AO105" i="8"/>
  <c r="X105" i="8"/>
  <c r="W105" i="8"/>
  <c r="O105" i="8"/>
  <c r="F105" i="8"/>
  <c r="H105" i="8" s="1"/>
  <c r="AX104" i="8"/>
  <c r="BJ104" i="8" s="1"/>
  <c r="AW104" i="8"/>
  <c r="BI104" i="8" s="1"/>
  <c r="AO104" i="8"/>
  <c r="X104" i="8"/>
  <c r="W104" i="8"/>
  <c r="O104" i="8"/>
  <c r="F104" i="8"/>
  <c r="H104" i="8" s="1"/>
  <c r="AX103" i="8"/>
  <c r="BJ103" i="8" s="1"/>
  <c r="AW103" i="8"/>
  <c r="BI103" i="8" s="1"/>
  <c r="AO103" i="8"/>
  <c r="X103" i="8"/>
  <c r="W103" i="8"/>
  <c r="O103" i="8"/>
  <c r="F103" i="8"/>
  <c r="H103" i="8" s="1"/>
  <c r="AX102" i="8"/>
  <c r="BJ102" i="8" s="1"/>
  <c r="AW102" i="8"/>
  <c r="BI102" i="8" s="1"/>
  <c r="AO102" i="8"/>
  <c r="X102" i="8"/>
  <c r="W102" i="8"/>
  <c r="O102" i="8"/>
  <c r="F102" i="8"/>
  <c r="H102" i="8" s="1"/>
  <c r="AX101" i="8"/>
  <c r="BJ101" i="8" s="1"/>
  <c r="AW101" i="8"/>
  <c r="BI101" i="8" s="1"/>
  <c r="AO101" i="8"/>
  <c r="X101" i="8"/>
  <c r="W101" i="8"/>
  <c r="O101" i="8"/>
  <c r="F101" i="8"/>
  <c r="H101" i="8" s="1"/>
  <c r="AX100" i="8"/>
  <c r="BJ100" i="8" s="1"/>
  <c r="AW100" i="8"/>
  <c r="BI100" i="8" s="1"/>
  <c r="X100" i="8"/>
  <c r="W100" i="8"/>
  <c r="O100" i="8"/>
  <c r="F100" i="8"/>
  <c r="H100" i="8" s="1"/>
  <c r="AX99" i="8"/>
  <c r="BJ99" i="8" s="1"/>
  <c r="AW99" i="8"/>
  <c r="BI99" i="8" s="1"/>
  <c r="X99" i="8"/>
  <c r="W99" i="8"/>
  <c r="O99" i="8"/>
  <c r="F99" i="8"/>
  <c r="H99" i="8" s="1"/>
  <c r="AX98" i="8"/>
  <c r="BJ98" i="8" s="1"/>
  <c r="AW98" i="8"/>
  <c r="BI98" i="8" s="1"/>
  <c r="AO98" i="8"/>
  <c r="X98" i="8"/>
  <c r="W98" i="8"/>
  <c r="O98" i="8"/>
  <c r="F98" i="8"/>
  <c r="H98" i="8" s="1"/>
  <c r="AX97" i="8"/>
  <c r="BJ97" i="8" s="1"/>
  <c r="AW97" i="8"/>
  <c r="BI97" i="8" s="1"/>
  <c r="AO97" i="8"/>
  <c r="X97" i="8"/>
  <c r="W97" i="8"/>
  <c r="O97" i="8"/>
  <c r="F97" i="8"/>
  <c r="H97" i="8" s="1"/>
  <c r="AX96" i="8"/>
  <c r="BJ96" i="8" s="1"/>
  <c r="AW96" i="8"/>
  <c r="BI96" i="8" s="1"/>
  <c r="AO96" i="8"/>
  <c r="X96" i="8"/>
  <c r="W96" i="8"/>
  <c r="O96" i="8"/>
  <c r="F96" i="8"/>
  <c r="H96" i="8" s="1"/>
  <c r="AX95" i="8"/>
  <c r="BJ95" i="8" s="1"/>
  <c r="AW95" i="8"/>
  <c r="BI95" i="8" s="1"/>
  <c r="AO95" i="8"/>
  <c r="X95" i="8"/>
  <c r="W95" i="8"/>
  <c r="O95" i="8"/>
  <c r="F95" i="8"/>
  <c r="H95" i="8" s="1"/>
  <c r="AX94" i="8"/>
  <c r="BJ94" i="8" s="1"/>
  <c r="AW94" i="8"/>
  <c r="BI94" i="8" s="1"/>
  <c r="AO94" i="8"/>
  <c r="X94" i="8"/>
  <c r="W94" i="8"/>
  <c r="O94" i="8"/>
  <c r="F94" i="8"/>
  <c r="H94" i="8" s="1"/>
  <c r="AX93" i="8"/>
  <c r="BJ93" i="8" s="1"/>
  <c r="AW93" i="8"/>
  <c r="BI93" i="8" s="1"/>
  <c r="AO93" i="8"/>
  <c r="X93" i="8"/>
  <c r="W93" i="8"/>
  <c r="O93" i="8"/>
  <c r="F93" i="8"/>
  <c r="H93" i="8" s="1"/>
  <c r="AX92" i="8"/>
  <c r="BJ92" i="8" s="1"/>
  <c r="AW92" i="8"/>
  <c r="BI92" i="8" s="1"/>
  <c r="AO92" i="8"/>
  <c r="X92" i="8"/>
  <c r="W92" i="8"/>
  <c r="O92" i="8"/>
  <c r="F92" i="8"/>
  <c r="H92" i="8" s="1"/>
  <c r="AX91" i="8"/>
  <c r="BJ91" i="8" s="1"/>
  <c r="AW91" i="8"/>
  <c r="BI91" i="8" s="1"/>
  <c r="AO91" i="8"/>
  <c r="X91" i="8"/>
  <c r="W91" i="8"/>
  <c r="O91" i="8"/>
  <c r="F91" i="8"/>
  <c r="H91" i="8" s="1"/>
  <c r="AX90" i="8"/>
  <c r="BJ90" i="8" s="1"/>
  <c r="AW90" i="8"/>
  <c r="BI90" i="8" s="1"/>
  <c r="AO90" i="8"/>
  <c r="X90" i="8"/>
  <c r="W90" i="8"/>
  <c r="O90" i="8"/>
  <c r="F90" i="8"/>
  <c r="H90" i="8" s="1"/>
  <c r="AX89" i="8"/>
  <c r="BJ89" i="8" s="1"/>
  <c r="AW89" i="8"/>
  <c r="BI89" i="8" s="1"/>
  <c r="AO89" i="8"/>
  <c r="X89" i="8"/>
  <c r="W89" i="8"/>
  <c r="O89" i="8"/>
  <c r="F89" i="8"/>
  <c r="H89" i="8" s="1"/>
  <c r="AX88" i="8"/>
  <c r="BJ88" i="8" s="1"/>
  <c r="AW88" i="8"/>
  <c r="BI88" i="8" s="1"/>
  <c r="AO88" i="8"/>
  <c r="X88" i="8"/>
  <c r="W88" i="8"/>
  <c r="O88" i="8"/>
  <c r="F88" i="8"/>
  <c r="H88" i="8" s="1"/>
  <c r="AX87" i="8"/>
  <c r="BJ87" i="8" s="1"/>
  <c r="AW87" i="8"/>
  <c r="BI87" i="8" s="1"/>
  <c r="AO87" i="8"/>
  <c r="X87" i="8"/>
  <c r="W87" i="8"/>
  <c r="O87" i="8"/>
  <c r="F87" i="8"/>
  <c r="H87" i="8" s="1"/>
  <c r="AX86" i="8"/>
  <c r="BJ86" i="8" s="1"/>
  <c r="AW86" i="8"/>
  <c r="BI86" i="8" s="1"/>
  <c r="AO86" i="8"/>
  <c r="X86" i="8"/>
  <c r="W86" i="8"/>
  <c r="O86" i="8"/>
  <c r="F86" i="8"/>
  <c r="H86" i="8" s="1"/>
  <c r="AX85" i="8"/>
  <c r="BJ85" i="8" s="1"/>
  <c r="AW85" i="8"/>
  <c r="BI85" i="8" s="1"/>
  <c r="AO85" i="8"/>
  <c r="X85" i="8"/>
  <c r="W85" i="8"/>
  <c r="O85" i="8"/>
  <c r="F85" i="8"/>
  <c r="H85" i="8" s="1"/>
  <c r="AX84" i="8"/>
  <c r="BJ84" i="8" s="1"/>
  <c r="AW84" i="8"/>
  <c r="BI84" i="8" s="1"/>
  <c r="AO84" i="8"/>
  <c r="X84" i="8"/>
  <c r="W84" i="8"/>
  <c r="O84" i="8"/>
  <c r="F84" i="8"/>
  <c r="H84" i="8" s="1"/>
  <c r="AX83" i="8"/>
  <c r="BJ83" i="8" s="1"/>
  <c r="AW83" i="8"/>
  <c r="BI83" i="8" s="1"/>
  <c r="AO83" i="8"/>
  <c r="X83" i="8"/>
  <c r="W83" i="8"/>
  <c r="O83" i="8"/>
  <c r="F83" i="8"/>
  <c r="H83" i="8" s="1"/>
  <c r="AX82" i="8"/>
  <c r="BJ82" i="8" s="1"/>
  <c r="AW82" i="8"/>
  <c r="BI82" i="8" s="1"/>
  <c r="AO82" i="8"/>
  <c r="X82" i="8"/>
  <c r="W82" i="8"/>
  <c r="O82" i="8"/>
  <c r="F82" i="8"/>
  <c r="H82" i="8" s="1"/>
  <c r="AX81" i="8"/>
  <c r="BJ81" i="8" s="1"/>
  <c r="AW81" i="8"/>
  <c r="BI81" i="8" s="1"/>
  <c r="AO81" i="8"/>
  <c r="X81" i="8"/>
  <c r="W81" i="8"/>
  <c r="O81" i="8"/>
  <c r="F81" i="8"/>
  <c r="H81" i="8" s="1"/>
  <c r="AX80" i="8"/>
  <c r="BJ80" i="8" s="1"/>
  <c r="AW80" i="8"/>
  <c r="BI80" i="8" s="1"/>
  <c r="AO80" i="8"/>
  <c r="X80" i="8"/>
  <c r="W80" i="8"/>
  <c r="O80" i="8"/>
  <c r="F80" i="8"/>
  <c r="H80" i="8" s="1"/>
  <c r="AX79" i="8"/>
  <c r="BJ79" i="8" s="1"/>
  <c r="AW79" i="8"/>
  <c r="BI79" i="8" s="1"/>
  <c r="AO79" i="8"/>
  <c r="X79" i="8"/>
  <c r="W79" i="8"/>
  <c r="O79" i="8"/>
  <c r="F79" i="8"/>
  <c r="H79" i="8" s="1"/>
  <c r="AX78" i="8"/>
  <c r="BJ78" i="8" s="1"/>
  <c r="AW78" i="8"/>
  <c r="BI78" i="8" s="1"/>
  <c r="AO78" i="8"/>
  <c r="X78" i="8"/>
  <c r="W78" i="8"/>
  <c r="O78" i="8"/>
  <c r="F78" i="8"/>
  <c r="H78" i="8" s="1"/>
  <c r="AX77" i="8"/>
  <c r="BJ77" i="8" s="1"/>
  <c r="AW77" i="8"/>
  <c r="BI77" i="8" s="1"/>
  <c r="AO77" i="8"/>
  <c r="X77" i="8"/>
  <c r="W77" i="8"/>
  <c r="O77" i="8"/>
  <c r="F77" i="8"/>
  <c r="H77" i="8" s="1"/>
  <c r="AX76" i="8"/>
  <c r="BJ76" i="8" s="1"/>
  <c r="AW76" i="8"/>
  <c r="BI76" i="8" s="1"/>
  <c r="AO76" i="8"/>
  <c r="X76" i="8"/>
  <c r="W76" i="8"/>
  <c r="O76" i="8"/>
  <c r="F76" i="8"/>
  <c r="H76" i="8" s="1"/>
  <c r="AX75" i="8"/>
  <c r="BJ75" i="8" s="1"/>
  <c r="AW75" i="8"/>
  <c r="BI75" i="8" s="1"/>
  <c r="AO75" i="8"/>
  <c r="X75" i="8"/>
  <c r="W75" i="8"/>
  <c r="O75" i="8"/>
  <c r="F75" i="8"/>
  <c r="H75" i="8" s="1"/>
  <c r="AX74" i="8"/>
  <c r="BJ74" i="8" s="1"/>
  <c r="AW74" i="8"/>
  <c r="BI74" i="8" s="1"/>
  <c r="AO74" i="8"/>
  <c r="X74" i="8"/>
  <c r="W74" i="8"/>
  <c r="O74" i="8"/>
  <c r="F74" i="8"/>
  <c r="H74" i="8" s="1"/>
  <c r="AX73" i="8"/>
  <c r="BJ73" i="8" s="1"/>
  <c r="AW73" i="8"/>
  <c r="BI73" i="8" s="1"/>
  <c r="AO73" i="8"/>
  <c r="X73" i="8"/>
  <c r="W73" i="8"/>
  <c r="O73" i="8"/>
  <c r="F73" i="8"/>
  <c r="H73" i="8" s="1"/>
  <c r="AX72" i="8"/>
  <c r="BJ72" i="8" s="1"/>
  <c r="AW72" i="8"/>
  <c r="BI72" i="8" s="1"/>
  <c r="X72" i="8"/>
  <c r="W72" i="8"/>
  <c r="O72" i="8"/>
  <c r="F72" i="8"/>
  <c r="H72" i="8" s="1"/>
  <c r="AX71" i="8"/>
  <c r="BJ71" i="8" s="1"/>
  <c r="AW71" i="8"/>
  <c r="BI71" i="8" s="1"/>
  <c r="AG71" i="8"/>
  <c r="AO71" i="8" s="1"/>
  <c r="X71" i="8"/>
  <c r="W71" i="8"/>
  <c r="O71" i="8"/>
  <c r="F71" i="8"/>
  <c r="H71" i="8" s="1"/>
  <c r="AX70" i="8"/>
  <c r="BJ70" i="8" s="1"/>
  <c r="AW70" i="8"/>
  <c r="BI70" i="8" s="1"/>
  <c r="AG70" i="8"/>
  <c r="AO70" i="8" s="1"/>
  <c r="X70" i="8"/>
  <c r="W70" i="8"/>
  <c r="O70" i="8"/>
  <c r="F70" i="8"/>
  <c r="H70" i="8" s="1"/>
  <c r="AX69" i="8"/>
  <c r="BJ69" i="8" s="1"/>
  <c r="AW69" i="8"/>
  <c r="BI69" i="8" s="1"/>
  <c r="AO69" i="8"/>
  <c r="X69" i="8"/>
  <c r="W69" i="8"/>
  <c r="O69" i="8"/>
  <c r="F69" i="8"/>
  <c r="H69" i="8" s="1"/>
  <c r="AX68" i="8"/>
  <c r="BJ68" i="8" s="1"/>
  <c r="AW68" i="8"/>
  <c r="BI68" i="8" s="1"/>
  <c r="AG68" i="8"/>
  <c r="AO68" i="8" s="1"/>
  <c r="X68" i="8"/>
  <c r="W68" i="8"/>
  <c r="O68" i="8"/>
  <c r="F68" i="8"/>
  <c r="H68" i="8" s="1"/>
  <c r="AX67" i="8"/>
  <c r="BJ67" i="8" s="1"/>
  <c r="AW67" i="8"/>
  <c r="BI67" i="8" s="1"/>
  <c r="AG67" i="8"/>
  <c r="AO67" i="8" s="1"/>
  <c r="X67" i="8"/>
  <c r="W67" i="8"/>
  <c r="O67" i="8"/>
  <c r="F67" i="8"/>
  <c r="H67" i="8" s="1"/>
  <c r="AX66" i="8"/>
  <c r="BJ66" i="8" s="1"/>
  <c r="AW66" i="8"/>
  <c r="BI66" i="8" s="1"/>
  <c r="AG66" i="8"/>
  <c r="AO66" i="8" s="1"/>
  <c r="X66" i="8"/>
  <c r="W66" i="8"/>
  <c r="O66" i="8"/>
  <c r="F66" i="8"/>
  <c r="H66" i="8" s="1"/>
  <c r="AX65" i="8"/>
  <c r="BJ65" i="8" s="1"/>
  <c r="AW65" i="8"/>
  <c r="BI65" i="8" s="1"/>
  <c r="AG65" i="8"/>
  <c r="AO65" i="8" s="1"/>
  <c r="X65" i="8"/>
  <c r="W65" i="8"/>
  <c r="O65" i="8"/>
  <c r="F65" i="8"/>
  <c r="H65" i="8" s="1"/>
  <c r="AX64" i="8"/>
  <c r="BJ64" i="8" s="1"/>
  <c r="AW64" i="8"/>
  <c r="BI64" i="8" s="1"/>
  <c r="AO64" i="8"/>
  <c r="X64" i="8"/>
  <c r="W64" i="8"/>
  <c r="O64" i="8"/>
  <c r="F64" i="8"/>
  <c r="H64" i="8" s="1"/>
  <c r="AX63" i="8"/>
  <c r="BJ63" i="8" s="1"/>
  <c r="AW63" i="8"/>
  <c r="BI63" i="8" s="1"/>
  <c r="AG63" i="8"/>
  <c r="AO63" i="8" s="1"/>
  <c r="X63" i="8"/>
  <c r="W63" i="8"/>
  <c r="O63" i="8"/>
  <c r="F63" i="8"/>
  <c r="H63" i="8" s="1"/>
  <c r="AX62" i="8"/>
  <c r="BJ62" i="8" s="1"/>
  <c r="AW62" i="8"/>
  <c r="BI62" i="8" s="1"/>
  <c r="AG62" i="8"/>
  <c r="AO62" i="8" s="1"/>
  <c r="X62" i="8"/>
  <c r="W62" i="8"/>
  <c r="O62" i="8"/>
  <c r="F62" i="8"/>
  <c r="H62" i="8" s="1"/>
  <c r="AX61" i="8"/>
  <c r="BJ61" i="8" s="1"/>
  <c r="AW61" i="8"/>
  <c r="BI61" i="8" s="1"/>
  <c r="AG61" i="8"/>
  <c r="AO61" i="8" s="1"/>
  <c r="X61" i="8"/>
  <c r="W61" i="8"/>
  <c r="O61" i="8"/>
  <c r="F61" i="8"/>
  <c r="H61" i="8" s="1"/>
  <c r="AX60" i="8"/>
  <c r="BJ60" i="8" s="1"/>
  <c r="AW60" i="8"/>
  <c r="BI60" i="8" s="1"/>
  <c r="AG60" i="8"/>
  <c r="AO60" i="8" s="1"/>
  <c r="X60" i="8"/>
  <c r="W60" i="8"/>
  <c r="O60" i="8"/>
  <c r="F60" i="8"/>
  <c r="H60" i="8" s="1"/>
  <c r="AX59" i="8"/>
  <c r="BJ59" i="8" s="1"/>
  <c r="AW59" i="8"/>
  <c r="BI59" i="8" s="1"/>
  <c r="AG59" i="8"/>
  <c r="AO59" i="8" s="1"/>
  <c r="X59" i="8"/>
  <c r="W59" i="8"/>
  <c r="O59" i="8"/>
  <c r="F59" i="8"/>
  <c r="H59" i="8" s="1"/>
  <c r="AX58" i="8"/>
  <c r="BJ58" i="8" s="1"/>
  <c r="AW58" i="8"/>
  <c r="BI58" i="8" s="1"/>
  <c r="AG58" i="8"/>
  <c r="AO58" i="8" s="1"/>
  <c r="X58" i="8"/>
  <c r="W58" i="8"/>
  <c r="O58" i="8"/>
  <c r="F58" i="8"/>
  <c r="H58" i="8" s="1"/>
  <c r="AX57" i="8"/>
  <c r="BJ57" i="8" s="1"/>
  <c r="AW57" i="8"/>
  <c r="BI57" i="8" s="1"/>
  <c r="X57" i="8"/>
  <c r="W57" i="8"/>
  <c r="O57" i="8"/>
  <c r="F57" i="8"/>
  <c r="H57" i="8" s="1"/>
  <c r="AX56" i="8"/>
  <c r="BJ56" i="8" s="1"/>
  <c r="AW56" i="8"/>
  <c r="BI56" i="8" s="1"/>
  <c r="AO56" i="8"/>
  <c r="X56" i="8"/>
  <c r="W56" i="8"/>
  <c r="O56" i="8"/>
  <c r="F56" i="8"/>
  <c r="H56" i="8" s="1"/>
  <c r="AX55" i="8"/>
  <c r="BJ55" i="8" s="1"/>
  <c r="AW55" i="8"/>
  <c r="BI55" i="8" s="1"/>
  <c r="AG55" i="8"/>
  <c r="AO55" i="8" s="1"/>
  <c r="X55" i="8"/>
  <c r="W55" i="8"/>
  <c r="O55" i="8"/>
  <c r="F55" i="8"/>
  <c r="H55" i="8" s="1"/>
  <c r="AX54" i="8"/>
  <c r="BJ54" i="8" s="1"/>
  <c r="AW54" i="8"/>
  <c r="BI54" i="8" s="1"/>
  <c r="X54" i="8"/>
  <c r="W54" i="8"/>
  <c r="O54" i="8"/>
  <c r="F54" i="8"/>
  <c r="H54" i="8" s="1"/>
  <c r="AX53" i="8"/>
  <c r="BJ53" i="8" s="1"/>
  <c r="AW53" i="8"/>
  <c r="BI53" i="8" s="1"/>
  <c r="AG53" i="8"/>
  <c r="AO53" i="8" s="1"/>
  <c r="X53" i="8"/>
  <c r="W53" i="8"/>
  <c r="O53" i="8"/>
  <c r="F53" i="8"/>
  <c r="H53" i="8" s="1"/>
  <c r="AX52" i="8"/>
  <c r="BJ52" i="8" s="1"/>
  <c r="AW52" i="8"/>
  <c r="BI52" i="8" s="1"/>
  <c r="AG52" i="8"/>
  <c r="AO52" i="8" s="1"/>
  <c r="X52" i="8"/>
  <c r="W52" i="8"/>
  <c r="O52" i="8"/>
  <c r="F52" i="8"/>
  <c r="H52" i="8" s="1"/>
  <c r="AX51" i="8"/>
  <c r="BJ51" i="8" s="1"/>
  <c r="AW51" i="8"/>
  <c r="BI51" i="8" s="1"/>
  <c r="AG51" i="8"/>
  <c r="AO51" i="8" s="1"/>
  <c r="X51" i="8"/>
  <c r="W51" i="8"/>
  <c r="O51" i="8"/>
  <c r="F51" i="8"/>
  <c r="H51" i="8" s="1"/>
  <c r="AX50" i="8"/>
  <c r="BJ50" i="8" s="1"/>
  <c r="AW50" i="8"/>
  <c r="BI50" i="8" s="1"/>
  <c r="AG50" i="8"/>
  <c r="AO50" i="8" s="1"/>
  <c r="X50" i="8"/>
  <c r="W50" i="8"/>
  <c r="O50" i="8"/>
  <c r="F50" i="8"/>
  <c r="H50" i="8" s="1"/>
  <c r="AX49" i="8"/>
  <c r="BJ49" i="8" s="1"/>
  <c r="AW49" i="8"/>
  <c r="BI49" i="8" s="1"/>
  <c r="AG49" i="8"/>
  <c r="AO49" i="8" s="1"/>
  <c r="X49" i="8"/>
  <c r="W49" i="8"/>
  <c r="O49" i="8"/>
  <c r="F49" i="8"/>
  <c r="H49" i="8" s="1"/>
  <c r="AX48" i="8"/>
  <c r="BJ48" i="8" s="1"/>
  <c r="AW48" i="8"/>
  <c r="BI48" i="8" s="1"/>
  <c r="AG48" i="8"/>
  <c r="AO48" i="8" s="1"/>
  <c r="X48" i="8"/>
  <c r="W48" i="8"/>
  <c r="O48" i="8"/>
  <c r="F48" i="8"/>
  <c r="H48" i="8" s="1"/>
  <c r="AX47" i="8"/>
  <c r="BJ47" i="8" s="1"/>
  <c r="AW47" i="8"/>
  <c r="BI47" i="8" s="1"/>
  <c r="AO47" i="8"/>
  <c r="X47" i="8"/>
  <c r="W47" i="8"/>
  <c r="O47" i="8"/>
  <c r="F47" i="8"/>
  <c r="H47" i="8" s="1"/>
  <c r="AX46" i="8"/>
  <c r="BJ46" i="8" s="1"/>
  <c r="AW46" i="8"/>
  <c r="BI46" i="8" s="1"/>
  <c r="AO46" i="8"/>
  <c r="X46" i="8"/>
  <c r="W46" i="8"/>
  <c r="O46" i="8"/>
  <c r="F46" i="8"/>
  <c r="H46" i="8" s="1"/>
  <c r="AX45" i="8"/>
  <c r="BJ45" i="8" s="1"/>
  <c r="AW45" i="8"/>
  <c r="BI45" i="8" s="1"/>
  <c r="AO45" i="8"/>
  <c r="X45" i="8"/>
  <c r="W45" i="8"/>
  <c r="O45" i="8"/>
  <c r="F45" i="8"/>
  <c r="H45" i="8" s="1"/>
  <c r="AX44" i="8"/>
  <c r="BJ44" i="8" s="1"/>
  <c r="AW44" i="8"/>
  <c r="BI44" i="8" s="1"/>
  <c r="AG44" i="8"/>
  <c r="AO44" i="8" s="1"/>
  <c r="X44" i="8"/>
  <c r="W44" i="8"/>
  <c r="O44" i="8"/>
  <c r="F44" i="8"/>
  <c r="H44" i="8" s="1"/>
  <c r="AX43" i="8"/>
  <c r="BJ43" i="8" s="1"/>
  <c r="AW43" i="8"/>
  <c r="BI43" i="8" s="1"/>
  <c r="AG43" i="8"/>
  <c r="AO43" i="8" s="1"/>
  <c r="X43" i="8"/>
  <c r="W43" i="8"/>
  <c r="O43" i="8"/>
  <c r="F43" i="8"/>
  <c r="H43" i="8" s="1"/>
  <c r="AX42" i="8"/>
  <c r="BJ42" i="8" s="1"/>
  <c r="AW42" i="8"/>
  <c r="BI42" i="8" s="1"/>
  <c r="AG42" i="8"/>
  <c r="AO42" i="8" s="1"/>
  <c r="X42" i="8"/>
  <c r="W42" i="8"/>
  <c r="O42" i="8"/>
  <c r="F42" i="8"/>
  <c r="H42" i="8" s="1"/>
  <c r="AX41" i="8"/>
  <c r="BJ41" i="8" s="1"/>
  <c r="AW41" i="8"/>
  <c r="BI41" i="8" s="1"/>
  <c r="AG41" i="8"/>
  <c r="AO41" i="8" s="1"/>
  <c r="X41" i="8"/>
  <c r="W41" i="8"/>
  <c r="O41" i="8"/>
  <c r="F41" i="8"/>
  <c r="H41" i="8" s="1"/>
  <c r="AX40" i="8"/>
  <c r="BJ40" i="8" s="1"/>
  <c r="AW40" i="8"/>
  <c r="BI40" i="8" s="1"/>
  <c r="AO40" i="8"/>
  <c r="X40" i="8"/>
  <c r="W40" i="8"/>
  <c r="O40" i="8"/>
  <c r="F40" i="8"/>
  <c r="H40" i="8" s="1"/>
  <c r="AX39" i="8"/>
  <c r="BJ39" i="8" s="1"/>
  <c r="AW39" i="8"/>
  <c r="BI39" i="8" s="1"/>
  <c r="AG39" i="8"/>
  <c r="AO39" i="8" s="1"/>
  <c r="X39" i="8"/>
  <c r="W39" i="8"/>
  <c r="O39" i="8"/>
  <c r="F39" i="8"/>
  <c r="H39" i="8" s="1"/>
  <c r="AX38" i="8"/>
  <c r="BJ38" i="8" s="1"/>
  <c r="AW38" i="8"/>
  <c r="BI38" i="8" s="1"/>
  <c r="AG38" i="8"/>
  <c r="AO38" i="8" s="1"/>
  <c r="X38" i="8"/>
  <c r="W38" i="8"/>
  <c r="O38" i="8"/>
  <c r="F38" i="8"/>
  <c r="H38" i="8" s="1"/>
  <c r="AX37" i="8"/>
  <c r="BJ37" i="8" s="1"/>
  <c r="AW37" i="8"/>
  <c r="BI37" i="8" s="1"/>
  <c r="AG37" i="8"/>
  <c r="AO37" i="8" s="1"/>
  <c r="X37" i="8"/>
  <c r="W37" i="8"/>
  <c r="O37" i="8"/>
  <c r="F37" i="8"/>
  <c r="H37" i="8" s="1"/>
  <c r="AX36" i="8"/>
  <c r="BJ36" i="8" s="1"/>
  <c r="AW36" i="8"/>
  <c r="BI36" i="8" s="1"/>
  <c r="AG36" i="8"/>
  <c r="AO36" i="8" s="1"/>
  <c r="X36" i="8"/>
  <c r="W36" i="8"/>
  <c r="O36" i="8"/>
  <c r="F36" i="8"/>
  <c r="H36" i="8" s="1"/>
  <c r="AX35" i="8"/>
  <c r="BJ35" i="8" s="1"/>
  <c r="AW35" i="8"/>
  <c r="BI35" i="8" s="1"/>
  <c r="AG35" i="8"/>
  <c r="AO35" i="8" s="1"/>
  <c r="X35" i="8"/>
  <c r="W35" i="8"/>
  <c r="O35" i="8"/>
  <c r="F35" i="8"/>
  <c r="H35" i="8" s="1"/>
  <c r="AX34" i="8"/>
  <c r="BJ34" i="8" s="1"/>
  <c r="AW34" i="8"/>
  <c r="BI34" i="8" s="1"/>
  <c r="AO34" i="8"/>
  <c r="X34" i="8"/>
  <c r="W34" i="8"/>
  <c r="O34" i="8"/>
  <c r="F34" i="8"/>
  <c r="H34" i="8" s="1"/>
  <c r="AX33" i="8"/>
  <c r="BJ33" i="8" s="1"/>
  <c r="AW33" i="8"/>
  <c r="BI33" i="8" s="1"/>
  <c r="AG33" i="8"/>
  <c r="AO33" i="8" s="1"/>
  <c r="X33" i="8"/>
  <c r="W33" i="8"/>
  <c r="O33" i="8"/>
  <c r="F33" i="8"/>
  <c r="H33" i="8" s="1"/>
  <c r="AX32" i="8"/>
  <c r="BJ32" i="8" s="1"/>
  <c r="AW32" i="8"/>
  <c r="BI32" i="8" s="1"/>
  <c r="AO32" i="8"/>
  <c r="X32" i="8"/>
  <c r="W32" i="8"/>
  <c r="O32" i="8"/>
  <c r="F32" i="8"/>
  <c r="H32" i="8" s="1"/>
  <c r="AX31" i="8"/>
  <c r="BJ31" i="8" s="1"/>
  <c r="AW31" i="8"/>
  <c r="BI31" i="8" s="1"/>
  <c r="AO31" i="8"/>
  <c r="X31" i="8"/>
  <c r="W31" i="8"/>
  <c r="O31" i="8"/>
  <c r="F31" i="8"/>
  <c r="H31" i="8" s="1"/>
  <c r="AX30" i="8"/>
  <c r="BJ30" i="8" s="1"/>
  <c r="AW30" i="8"/>
  <c r="BI30" i="8" s="1"/>
  <c r="AO30" i="8"/>
  <c r="X30" i="8"/>
  <c r="W30" i="8"/>
  <c r="O30" i="8"/>
  <c r="F30" i="8"/>
  <c r="H30" i="8" s="1"/>
  <c r="AX29" i="8"/>
  <c r="BJ29" i="8" s="1"/>
  <c r="AW29" i="8"/>
  <c r="BI29" i="8" s="1"/>
  <c r="AO29" i="8"/>
  <c r="X29" i="8"/>
  <c r="W29" i="8"/>
  <c r="O29" i="8"/>
  <c r="F29" i="8"/>
  <c r="H29" i="8" s="1"/>
  <c r="AX28" i="8"/>
  <c r="BJ28" i="8" s="1"/>
  <c r="AW28" i="8"/>
  <c r="BI28" i="8" s="1"/>
  <c r="AG28" i="8"/>
  <c r="AO28" i="8" s="1"/>
  <c r="X28" i="8"/>
  <c r="W28" i="8"/>
  <c r="O28" i="8"/>
  <c r="F28" i="8"/>
  <c r="H28" i="8" s="1"/>
  <c r="AX27" i="8"/>
  <c r="BJ27" i="8" s="1"/>
  <c r="AW27" i="8"/>
  <c r="BI27" i="8" s="1"/>
  <c r="AG27" i="8"/>
  <c r="AO27" i="8" s="1"/>
  <c r="X27" i="8"/>
  <c r="W27" i="8"/>
  <c r="O27" i="8"/>
  <c r="F27" i="8"/>
  <c r="H27" i="8" s="1"/>
  <c r="AX26" i="8"/>
  <c r="BJ26" i="8" s="1"/>
  <c r="AW26" i="8"/>
  <c r="BI26" i="8" s="1"/>
  <c r="AG26" i="8"/>
  <c r="AO26" i="8" s="1"/>
  <c r="X26" i="8"/>
  <c r="W26" i="8"/>
  <c r="O26" i="8"/>
  <c r="F26" i="8"/>
  <c r="H26" i="8" s="1"/>
  <c r="AX25" i="8"/>
  <c r="BJ25" i="8" s="1"/>
  <c r="AW25" i="8"/>
  <c r="BI25" i="8" s="1"/>
  <c r="AG25" i="8"/>
  <c r="AO25" i="8" s="1"/>
  <c r="X25" i="8"/>
  <c r="W25" i="8"/>
  <c r="O25" i="8"/>
  <c r="F25" i="8"/>
  <c r="H25" i="8" s="1"/>
  <c r="AX24" i="8"/>
  <c r="BJ24" i="8" s="1"/>
  <c r="AW24" i="8"/>
  <c r="BI24" i="8" s="1"/>
  <c r="AO24" i="8"/>
  <c r="X24" i="8"/>
  <c r="W24" i="8"/>
  <c r="O24" i="8"/>
  <c r="F24" i="8"/>
  <c r="H24" i="8" s="1"/>
  <c r="AX23" i="8"/>
  <c r="BJ23" i="8" s="1"/>
  <c r="AW23" i="8"/>
  <c r="BI23" i="8" s="1"/>
  <c r="AG23" i="8"/>
  <c r="AO23" i="8" s="1"/>
  <c r="X23" i="8"/>
  <c r="W23" i="8"/>
  <c r="O23" i="8"/>
  <c r="F23" i="8"/>
  <c r="H23" i="8" s="1"/>
  <c r="AX22" i="8"/>
  <c r="BJ22" i="8" s="1"/>
  <c r="AW22" i="8"/>
  <c r="BI22" i="8" s="1"/>
  <c r="AO22" i="8"/>
  <c r="X22" i="8"/>
  <c r="W22" i="8"/>
  <c r="O22" i="8"/>
  <c r="F22" i="8"/>
  <c r="H22" i="8" s="1"/>
  <c r="AX21" i="8"/>
  <c r="BJ21" i="8" s="1"/>
  <c r="AW21" i="8"/>
  <c r="BI21" i="8" s="1"/>
  <c r="AG21" i="8"/>
  <c r="AO21" i="8" s="1"/>
  <c r="X21" i="8"/>
  <c r="W21" i="8"/>
  <c r="O21" i="8"/>
  <c r="F21" i="8"/>
  <c r="H21" i="8" s="1"/>
  <c r="AX20" i="8"/>
  <c r="BJ20" i="8" s="1"/>
  <c r="AW20" i="8"/>
  <c r="BI20" i="8" s="1"/>
  <c r="AG20" i="8"/>
  <c r="AO20" i="8" s="1"/>
  <c r="X20" i="8"/>
  <c r="W20" i="8"/>
  <c r="O20" i="8"/>
  <c r="F20" i="8"/>
  <c r="H20" i="8" s="1"/>
  <c r="AX19" i="8"/>
  <c r="BJ19" i="8" s="1"/>
  <c r="AW19" i="8"/>
  <c r="BI19" i="8" s="1"/>
  <c r="AG19" i="8"/>
  <c r="AO19" i="8" s="1"/>
  <c r="X19" i="8"/>
  <c r="W19" i="8"/>
  <c r="O19" i="8"/>
  <c r="F19" i="8"/>
  <c r="H19" i="8" s="1"/>
  <c r="AX18" i="8"/>
  <c r="BJ18" i="8" s="1"/>
  <c r="AW18" i="8"/>
  <c r="BI18" i="8" s="1"/>
  <c r="AO18" i="8"/>
  <c r="X18" i="8"/>
  <c r="W18" i="8"/>
  <c r="O18" i="8"/>
  <c r="F18" i="8"/>
  <c r="H18" i="8" s="1"/>
  <c r="AX17" i="8"/>
  <c r="BJ17" i="8" s="1"/>
  <c r="AW17" i="8"/>
  <c r="BI17" i="8" s="1"/>
  <c r="AG17" i="8"/>
  <c r="AO17" i="8" s="1"/>
  <c r="X17" i="8"/>
  <c r="W17" i="8"/>
  <c r="O17" i="8"/>
  <c r="F17" i="8"/>
  <c r="H17" i="8" s="1"/>
  <c r="AX16" i="8"/>
  <c r="BJ16" i="8" s="1"/>
  <c r="AW16" i="8"/>
  <c r="BI16" i="8" s="1"/>
  <c r="AG16" i="8"/>
  <c r="AO16" i="8" s="1"/>
  <c r="X16" i="8"/>
  <c r="W16" i="8"/>
  <c r="O16" i="8"/>
  <c r="F16" i="8"/>
  <c r="H16" i="8" s="1"/>
  <c r="AX15" i="8"/>
  <c r="BJ15" i="8" s="1"/>
  <c r="AW15" i="8"/>
  <c r="BI15" i="8" s="1"/>
  <c r="AG15" i="8"/>
  <c r="AO15" i="8" s="1"/>
  <c r="X15" i="8"/>
  <c r="W15" i="8"/>
  <c r="O15" i="8"/>
  <c r="F15" i="8"/>
  <c r="H15" i="8" s="1"/>
  <c r="AX14" i="8"/>
  <c r="BJ14" i="8" s="1"/>
  <c r="AW14" i="8"/>
  <c r="BI14" i="8" s="1"/>
  <c r="AO14" i="8"/>
  <c r="X14" i="8"/>
  <c r="W14" i="8"/>
  <c r="O14" i="8"/>
  <c r="F14" i="8"/>
  <c r="H14" i="8" s="1"/>
  <c r="AX13" i="8"/>
  <c r="BJ13" i="8" s="1"/>
  <c r="AW13" i="8"/>
  <c r="BI13" i="8" s="1"/>
  <c r="AG13" i="8"/>
  <c r="AO13" i="8" s="1"/>
  <c r="X13" i="8"/>
  <c r="W13" i="8"/>
  <c r="O13" i="8"/>
  <c r="F13" i="8"/>
  <c r="H13" i="8" s="1"/>
  <c r="AX12" i="8"/>
  <c r="BJ12" i="8" s="1"/>
  <c r="AW12" i="8"/>
  <c r="BI12" i="8" s="1"/>
  <c r="AO12" i="8"/>
  <c r="X12" i="8"/>
  <c r="W12" i="8"/>
  <c r="O12" i="8"/>
  <c r="F12" i="8"/>
  <c r="H12" i="8" s="1"/>
  <c r="AX11" i="8"/>
  <c r="BJ11" i="8" s="1"/>
  <c r="AW11" i="8"/>
  <c r="BI11" i="8" s="1"/>
  <c r="AG11" i="8"/>
  <c r="AO11" i="8" s="1"/>
  <c r="X11" i="8"/>
  <c r="W11" i="8"/>
  <c r="O11" i="8"/>
  <c r="F11" i="8"/>
  <c r="H11" i="8" s="1"/>
  <c r="AX10" i="8"/>
  <c r="BJ10" i="8" s="1"/>
  <c r="AW10" i="8"/>
  <c r="BI10" i="8" s="1"/>
  <c r="AG10" i="8"/>
  <c r="AO10" i="8" s="1"/>
  <c r="X10" i="8"/>
  <c r="W10" i="8"/>
  <c r="O10" i="8"/>
  <c r="F10" i="8"/>
  <c r="H10" i="8" s="1"/>
  <c r="AX9" i="8"/>
  <c r="BJ9" i="8" s="1"/>
  <c r="AW9" i="8"/>
  <c r="BI9" i="8" s="1"/>
  <c r="AG9" i="8"/>
  <c r="AO9" i="8" s="1"/>
  <c r="X9" i="8"/>
  <c r="W9" i="8"/>
  <c r="O9" i="8"/>
  <c r="F9" i="8"/>
  <c r="H9" i="8" s="1"/>
  <c r="AX8" i="8"/>
  <c r="BJ8" i="8" s="1"/>
  <c r="AW8" i="8"/>
  <c r="BI8" i="8" s="1"/>
  <c r="AO8" i="8"/>
  <c r="X8" i="8"/>
  <c r="W8" i="8"/>
  <c r="O8" i="8"/>
  <c r="F8" i="8"/>
  <c r="H8" i="8" s="1"/>
  <c r="AX7" i="8"/>
  <c r="BJ7" i="8" s="1"/>
  <c r="AW7" i="8"/>
  <c r="BI7" i="8" s="1"/>
  <c r="AG7" i="8"/>
  <c r="AO7" i="8" s="1"/>
  <c r="X7" i="8"/>
  <c r="W7" i="8"/>
  <c r="O7" i="8"/>
  <c r="F7" i="8"/>
  <c r="H7" i="8" s="1"/>
  <c r="AX6" i="8"/>
  <c r="BJ6" i="8" s="1"/>
  <c r="AW6" i="8"/>
  <c r="BI6" i="8" s="1"/>
  <c r="AO6" i="8"/>
  <c r="X6" i="8"/>
  <c r="W6" i="8"/>
  <c r="O6" i="8"/>
  <c r="F6" i="8"/>
  <c r="H6" i="8" s="1"/>
  <c r="AX5" i="8"/>
  <c r="BJ5" i="8" s="1"/>
  <c r="AW5" i="8"/>
  <c r="BI5" i="8" s="1"/>
  <c r="AO5" i="8"/>
  <c r="X5" i="8"/>
  <c r="W5" i="8"/>
  <c r="O5" i="8"/>
  <c r="F5" i="8"/>
  <c r="H5" i="8" s="1"/>
  <c r="N48" i="7"/>
  <c r="H48" i="7"/>
  <c r="N47" i="7"/>
  <c r="H47" i="7"/>
  <c r="N46" i="7"/>
  <c r="H46" i="7"/>
  <c r="N45" i="7"/>
  <c r="H45" i="7"/>
  <c r="N44" i="7"/>
  <c r="H44" i="7"/>
  <c r="N43" i="7"/>
  <c r="H43" i="7"/>
  <c r="N42" i="7"/>
  <c r="H42" i="7"/>
  <c r="N41" i="7"/>
  <c r="H41" i="7"/>
  <c r="N40" i="7"/>
  <c r="H40" i="7"/>
  <c r="N39" i="7"/>
  <c r="H39" i="7"/>
  <c r="N38" i="7"/>
  <c r="H38" i="7"/>
  <c r="N37" i="7"/>
  <c r="H37" i="7"/>
  <c r="N36" i="7"/>
  <c r="H36" i="7"/>
  <c r="N35" i="7"/>
  <c r="H35" i="7"/>
  <c r="N34" i="7"/>
  <c r="H34" i="7"/>
  <c r="N33" i="7"/>
  <c r="H33" i="7"/>
  <c r="N32" i="7"/>
  <c r="H32" i="7"/>
  <c r="N31" i="7"/>
  <c r="H31" i="7"/>
  <c r="N30" i="7"/>
  <c r="H30" i="7"/>
  <c r="N29" i="7"/>
  <c r="H29" i="7"/>
  <c r="N28" i="7"/>
  <c r="H28" i="7"/>
  <c r="N27" i="7"/>
  <c r="H27" i="7"/>
  <c r="N26" i="7"/>
  <c r="H26" i="7"/>
  <c r="N25" i="7"/>
  <c r="H25" i="7"/>
  <c r="N24" i="7"/>
  <c r="H24" i="7"/>
  <c r="N23" i="7"/>
  <c r="H23" i="7"/>
  <c r="N22" i="7"/>
  <c r="H22" i="7"/>
  <c r="N21" i="7"/>
  <c r="H21" i="7"/>
  <c r="N20" i="7"/>
  <c r="H20" i="7"/>
  <c r="N19" i="7"/>
  <c r="H19" i="7"/>
  <c r="N18" i="7"/>
  <c r="H18" i="7"/>
  <c r="N17" i="7"/>
  <c r="H17" i="7"/>
  <c r="N16" i="7"/>
  <c r="N15" i="7"/>
  <c r="N14" i="7"/>
  <c r="N13" i="7"/>
  <c r="N12" i="7"/>
  <c r="H12" i="7"/>
  <c r="Q7" i="7"/>
  <c r="P7" i="7"/>
  <c r="O7" i="7"/>
  <c r="K177" i="6"/>
  <c r="K178" i="6" s="1"/>
  <c r="J177" i="6"/>
  <c r="I5" i="5" l="1"/>
  <c r="AP113" i="9"/>
  <c r="AP3" i="9" s="1"/>
  <c r="AL4" i="9"/>
  <c r="AM4" i="9"/>
  <c r="AQ3" i="9"/>
  <c r="AN4" i="9"/>
  <c r="AO3" i="9"/>
  <c r="AR4" i="9"/>
  <c r="AO4" i="9"/>
  <c r="AS4" i="9"/>
  <c r="AQ4" i="9"/>
  <c r="AN3" i="9"/>
  <c r="AL3" i="9"/>
  <c r="AR3" i="9"/>
  <c r="AS3" i="9"/>
  <c r="AM3" i="9"/>
  <c r="AP4" i="9" l="1"/>
  <c r="AU79" i="4" l="1"/>
  <c r="AS79" i="4"/>
  <c r="AV79" i="4" s="1"/>
  <c r="AQ79" i="4"/>
  <c r="AP79" i="4"/>
  <c r="AU78" i="4"/>
  <c r="AS78" i="4"/>
  <c r="AT78" i="4" s="1"/>
  <c r="AP78" i="4"/>
  <c r="AV78" i="4" s="1"/>
  <c r="AV77" i="4"/>
  <c r="AU77" i="4"/>
  <c r="AS77" i="4"/>
  <c r="AT77" i="4" s="1"/>
  <c r="AQ77" i="4"/>
  <c r="AW77" i="4" s="1"/>
  <c r="AP77" i="4"/>
  <c r="AU76" i="4"/>
  <c r="AS76" i="4"/>
  <c r="AT76" i="4" s="1"/>
  <c r="AP76" i="4"/>
  <c r="AV76" i="4" s="1"/>
  <c r="AV75" i="4"/>
  <c r="AU75" i="4"/>
  <c r="AT75" i="4"/>
  <c r="AS75" i="4"/>
  <c r="AP75" i="4"/>
  <c r="AQ75" i="4" s="1"/>
  <c r="AW75" i="4" s="1"/>
  <c r="AU74" i="4"/>
  <c r="AS74" i="4"/>
  <c r="AT74" i="4" s="1"/>
  <c r="AP74" i="4"/>
  <c r="AQ74" i="4" s="1"/>
  <c r="S74" i="4"/>
  <c r="J74" i="4"/>
  <c r="AV73" i="4"/>
  <c r="AU73" i="4"/>
  <c r="AT73" i="4"/>
  <c r="AS73" i="4"/>
  <c r="AP73" i="4"/>
  <c r="AQ73" i="4" s="1"/>
  <c r="AW73" i="4" s="1"/>
  <c r="S73" i="4"/>
  <c r="J73" i="4"/>
  <c r="AU72" i="4"/>
  <c r="AR72" i="4"/>
  <c r="AS72" i="4" s="1"/>
  <c r="AT72" i="4" s="1"/>
  <c r="AP72" i="4"/>
  <c r="AV72" i="4" s="1"/>
  <c r="AO72" i="4"/>
  <c r="S72" i="4"/>
  <c r="J72" i="4"/>
  <c r="AU71" i="4"/>
  <c r="AS71" i="4"/>
  <c r="AV71" i="4" s="1"/>
  <c r="AQ71" i="4"/>
  <c r="AP71" i="4"/>
  <c r="AU70" i="4"/>
  <c r="AS70" i="4"/>
  <c r="AT70" i="4" s="1"/>
  <c r="AQ70" i="4"/>
  <c r="AP70" i="4"/>
  <c r="AV70" i="4" s="1"/>
  <c r="S70" i="4"/>
  <c r="J70" i="4"/>
  <c r="AU69" i="4"/>
  <c r="AS69" i="4"/>
  <c r="AV69" i="4" s="1"/>
  <c r="AQ69" i="4"/>
  <c r="AP69" i="4"/>
  <c r="AU68" i="4"/>
  <c r="AS68" i="4"/>
  <c r="AT68" i="4" s="1"/>
  <c r="AW68" i="4" s="1"/>
  <c r="AQ68" i="4"/>
  <c r="AP68" i="4"/>
  <c r="AV68" i="4" s="1"/>
  <c r="S68" i="4"/>
  <c r="J68" i="4"/>
  <c r="AU67" i="4"/>
  <c r="AS67" i="4"/>
  <c r="AV67" i="4" s="1"/>
  <c r="AQ67" i="4"/>
  <c r="AP67" i="4"/>
  <c r="S67" i="4"/>
  <c r="J67" i="4"/>
  <c r="AU66" i="4"/>
  <c r="AT66" i="4"/>
  <c r="AS66" i="4"/>
  <c r="AP66" i="4"/>
  <c r="AQ66" i="4" s="1"/>
  <c r="AW66" i="4" s="1"/>
  <c r="S66" i="4"/>
  <c r="J66" i="4"/>
  <c r="AV65" i="4"/>
  <c r="AU65" i="4"/>
  <c r="AT65" i="4"/>
  <c r="AS65" i="4"/>
  <c r="AQ65" i="4"/>
  <c r="AW65" i="4" s="1"/>
  <c r="AP65" i="4"/>
  <c r="S65" i="4"/>
  <c r="J65" i="4"/>
  <c r="AU64" i="4"/>
  <c r="AS64" i="4"/>
  <c r="AT64" i="4" s="1"/>
  <c r="AW64" i="4" s="1"/>
  <c r="AQ64" i="4"/>
  <c r="AP64" i="4"/>
  <c r="AV63" i="4"/>
  <c r="AU63" i="4"/>
  <c r="AT63" i="4"/>
  <c r="AS63" i="4"/>
  <c r="AQ63" i="4"/>
  <c r="AW63" i="4" s="1"/>
  <c r="AP63" i="4"/>
  <c r="S63" i="4"/>
  <c r="J63" i="4"/>
  <c r="AU62" i="4"/>
  <c r="AS62" i="4"/>
  <c r="AT62" i="4" s="1"/>
  <c r="AW62" i="4" s="1"/>
  <c r="AQ62" i="4"/>
  <c r="AP62" i="4"/>
  <c r="AV61" i="4"/>
  <c r="AU61" i="4"/>
  <c r="AT61" i="4"/>
  <c r="AS61" i="4"/>
  <c r="AQ61" i="4"/>
  <c r="AW61" i="4" s="1"/>
  <c r="AP61" i="4"/>
  <c r="S61" i="4"/>
  <c r="J61" i="4"/>
  <c r="AU60" i="4"/>
  <c r="AS60" i="4"/>
  <c r="AT60" i="4" s="1"/>
  <c r="AW60" i="4" s="1"/>
  <c r="AQ60" i="4"/>
  <c r="AP60" i="4"/>
  <c r="S60" i="4"/>
  <c r="J60" i="4"/>
  <c r="AU59" i="4"/>
  <c r="AT59" i="4"/>
  <c r="AS59" i="4"/>
  <c r="AP59" i="4"/>
  <c r="AQ59" i="4" s="1"/>
  <c r="AW59" i="4" s="1"/>
  <c r="S59" i="4"/>
  <c r="J59" i="4"/>
  <c r="AU58" i="4"/>
  <c r="AT58" i="4"/>
  <c r="AS58" i="4"/>
  <c r="AP58" i="4"/>
  <c r="AV58" i="4" s="1"/>
  <c r="S58" i="4"/>
  <c r="J58" i="4"/>
  <c r="AU57" i="4"/>
  <c r="AS57" i="4"/>
  <c r="AT57" i="4" s="1"/>
  <c r="AP57" i="4"/>
  <c r="AV57" i="4" s="1"/>
  <c r="S57" i="4"/>
  <c r="J57" i="4"/>
  <c r="AU56" i="4"/>
  <c r="AS56" i="4"/>
  <c r="AV56" i="4" s="1"/>
  <c r="AQ56" i="4"/>
  <c r="AP56" i="4"/>
  <c r="AU55" i="4"/>
  <c r="AS55" i="4"/>
  <c r="AT55" i="4" s="1"/>
  <c r="AP55" i="4"/>
  <c r="AV55" i="4" s="1"/>
  <c r="S55" i="4"/>
  <c r="J55" i="4"/>
  <c r="AU54" i="4"/>
  <c r="AS54" i="4"/>
  <c r="AV54" i="4" s="1"/>
  <c r="AQ54" i="4"/>
  <c r="AP54" i="4"/>
  <c r="S54" i="4"/>
  <c r="J54" i="4"/>
  <c r="AU53" i="4"/>
  <c r="AS53" i="4"/>
  <c r="AT53" i="4" s="1"/>
  <c r="AP53" i="4"/>
  <c r="AV53" i="4" s="1"/>
  <c r="S53" i="4"/>
  <c r="AU52" i="4"/>
  <c r="AS52" i="4"/>
  <c r="AT52" i="4" s="1"/>
  <c r="AP52" i="4"/>
  <c r="AV52" i="4" s="1"/>
  <c r="S52" i="4"/>
  <c r="AU51" i="4"/>
  <c r="AS51" i="4"/>
  <c r="AT51" i="4" s="1"/>
  <c r="AP51" i="4"/>
  <c r="AV51" i="4" s="1"/>
  <c r="S51" i="4"/>
  <c r="AU50" i="4"/>
  <c r="AS50" i="4"/>
  <c r="AT50" i="4" s="1"/>
  <c r="AP50" i="4"/>
  <c r="AV50" i="4" s="1"/>
  <c r="S50" i="4"/>
  <c r="J50" i="4"/>
  <c r="AU49" i="4"/>
  <c r="AT49" i="4"/>
  <c r="AS49" i="4"/>
  <c r="AQ49" i="4"/>
  <c r="AW49" i="4" s="1"/>
  <c r="AP49" i="4"/>
  <c r="AV49" i="4" s="1"/>
  <c r="S49" i="4"/>
  <c r="AU48" i="4"/>
  <c r="AT48" i="4"/>
  <c r="AS48" i="4"/>
  <c r="AQ48" i="4"/>
  <c r="AW48" i="4" s="1"/>
  <c r="AP48" i="4"/>
  <c r="AV48" i="4" s="1"/>
  <c r="S48" i="4"/>
  <c r="J48" i="4"/>
  <c r="AU47" i="4"/>
  <c r="AS47" i="4"/>
  <c r="AV47" i="4" s="1"/>
  <c r="AQ47" i="4"/>
  <c r="AP47" i="4"/>
  <c r="AU46" i="4"/>
  <c r="AT46" i="4"/>
  <c r="AS46" i="4"/>
  <c r="AQ46" i="4"/>
  <c r="AW46" i="4" s="1"/>
  <c r="AP46" i="4"/>
  <c r="AV46" i="4" s="1"/>
  <c r="AU45" i="4"/>
  <c r="AS45" i="4"/>
  <c r="AT45" i="4" s="1"/>
  <c r="AP45" i="4"/>
  <c r="AV45" i="4" s="1"/>
  <c r="S45" i="4"/>
  <c r="AU44" i="4"/>
  <c r="AS44" i="4"/>
  <c r="AT44" i="4" s="1"/>
  <c r="AP44" i="4"/>
  <c r="AV44" i="4" s="1"/>
  <c r="S44" i="4"/>
  <c r="J44" i="4"/>
  <c r="AU43" i="4"/>
  <c r="AT43" i="4"/>
  <c r="AS43" i="4"/>
  <c r="AQ43" i="4"/>
  <c r="AW43" i="4" s="1"/>
  <c r="AP43" i="4"/>
  <c r="AV43" i="4" s="1"/>
  <c r="S43" i="4"/>
  <c r="J43" i="4"/>
  <c r="AU42" i="4"/>
  <c r="AS42" i="4"/>
  <c r="AT42" i="4" s="1"/>
  <c r="AQ42" i="4"/>
  <c r="AW42" i="4" s="1"/>
  <c r="AP42" i="4"/>
  <c r="AV42" i="4" s="1"/>
  <c r="S42" i="4"/>
  <c r="J42" i="4"/>
  <c r="AU41" i="4"/>
  <c r="AT41" i="4"/>
  <c r="AS41" i="4"/>
  <c r="AV41" i="4" s="1"/>
  <c r="AQ41" i="4"/>
  <c r="AW41" i="4" s="1"/>
  <c r="AP41" i="4"/>
  <c r="AU40" i="4"/>
  <c r="AS40" i="4"/>
  <c r="AT40" i="4" s="1"/>
  <c r="AQ40" i="4"/>
  <c r="AW40" i="4" s="1"/>
  <c r="AP40" i="4"/>
  <c r="AV40" i="4" s="1"/>
  <c r="S40" i="4"/>
  <c r="AU39" i="4"/>
  <c r="AS39" i="4"/>
  <c r="AT39" i="4" s="1"/>
  <c r="AQ39" i="4"/>
  <c r="AW39" i="4" s="1"/>
  <c r="AP39" i="4"/>
  <c r="AV39" i="4" s="1"/>
  <c r="S39" i="4"/>
  <c r="AU38" i="4"/>
  <c r="AS38" i="4"/>
  <c r="AT38" i="4" s="1"/>
  <c r="AQ38" i="4"/>
  <c r="AW38" i="4" s="1"/>
  <c r="AP38" i="4"/>
  <c r="AV38" i="4" s="1"/>
  <c r="AU37" i="4"/>
  <c r="AT37" i="4"/>
  <c r="AS37" i="4"/>
  <c r="AQ37" i="4"/>
  <c r="AW37" i="4" s="1"/>
  <c r="AP37" i="4"/>
  <c r="AV37" i="4" s="1"/>
  <c r="AU36" i="4"/>
  <c r="AS36" i="4"/>
  <c r="AT36" i="4" s="1"/>
  <c r="AP36" i="4"/>
  <c r="AV36" i="4" s="1"/>
  <c r="S36" i="4"/>
  <c r="J36" i="4"/>
  <c r="AU35" i="4"/>
  <c r="AT35" i="4"/>
  <c r="AS35" i="4"/>
  <c r="AQ35" i="4"/>
  <c r="AW35" i="4" s="1"/>
  <c r="AP35" i="4"/>
  <c r="AV35" i="4" s="1"/>
  <c r="S35" i="4"/>
  <c r="J35" i="4"/>
  <c r="AU34" i="4"/>
  <c r="AS34" i="4"/>
  <c r="AT34" i="4" s="1"/>
  <c r="AQ34" i="4"/>
  <c r="AW34" i="4" s="1"/>
  <c r="AP34" i="4"/>
  <c r="AV34" i="4" s="1"/>
  <c r="S34" i="4"/>
  <c r="J34" i="4"/>
  <c r="AU33" i="4"/>
  <c r="AT33" i="4"/>
  <c r="AS33" i="4"/>
  <c r="AV33" i="4" s="1"/>
  <c r="AQ33" i="4"/>
  <c r="AW33" i="4" s="1"/>
  <c r="AP33" i="4"/>
  <c r="AU32" i="4"/>
  <c r="AS32" i="4"/>
  <c r="AT32" i="4" s="1"/>
  <c r="AQ32" i="4"/>
  <c r="AW32" i="4" s="1"/>
  <c r="AP32" i="4"/>
  <c r="AV32" i="4" s="1"/>
  <c r="S32" i="4"/>
  <c r="J32" i="4"/>
  <c r="AU31" i="4"/>
  <c r="AT31" i="4"/>
  <c r="AS31" i="4"/>
  <c r="AV31" i="4" s="1"/>
  <c r="AQ31" i="4"/>
  <c r="AW31" i="4" s="1"/>
  <c r="AP31" i="4"/>
  <c r="S31" i="4"/>
  <c r="J31" i="4"/>
  <c r="AU30" i="4"/>
  <c r="AT30" i="4"/>
  <c r="AS30" i="4"/>
  <c r="AP30" i="4"/>
  <c r="AQ30" i="4" s="1"/>
  <c r="AW30" i="4" s="1"/>
  <c r="S30" i="4"/>
  <c r="J30" i="4"/>
  <c r="AV29" i="4"/>
  <c r="AU29" i="4"/>
  <c r="AT29" i="4"/>
  <c r="AS29" i="4"/>
  <c r="AP29" i="4"/>
  <c r="AQ29" i="4" s="1"/>
  <c r="AW29" i="4" s="1"/>
  <c r="S29" i="4"/>
  <c r="J29" i="4"/>
  <c r="AU28" i="4"/>
  <c r="AS28" i="4"/>
  <c r="AT28" i="4" s="1"/>
  <c r="AP28" i="4"/>
  <c r="AV28" i="4" s="1"/>
  <c r="AV27" i="4"/>
  <c r="AU27" i="4"/>
  <c r="AT27" i="4"/>
  <c r="AS27" i="4"/>
  <c r="AP27" i="4"/>
  <c r="AQ27" i="4" s="1"/>
  <c r="AW27" i="4" s="1"/>
  <c r="S27" i="4"/>
  <c r="J27" i="4"/>
  <c r="AU26" i="4"/>
  <c r="AS26" i="4"/>
  <c r="AT26" i="4" s="1"/>
  <c r="AP26" i="4"/>
  <c r="AV26" i="4" s="1"/>
  <c r="S26" i="4"/>
  <c r="J26" i="4"/>
  <c r="AV25" i="4"/>
  <c r="AU25" i="4"/>
  <c r="AS25" i="4"/>
  <c r="AT25" i="4" s="1"/>
  <c r="AQ25" i="4"/>
  <c r="AP25" i="4"/>
  <c r="S25" i="4"/>
  <c r="J25" i="4"/>
  <c r="AU24" i="4"/>
  <c r="AS24" i="4"/>
  <c r="AT24" i="4" s="1"/>
  <c r="AP24" i="4"/>
  <c r="AV24" i="4" s="1"/>
  <c r="S24" i="4"/>
  <c r="J24" i="4"/>
  <c r="AU23" i="4"/>
  <c r="AT23" i="4"/>
  <c r="AS23" i="4"/>
  <c r="AQ23" i="4"/>
  <c r="AW23" i="4" s="1"/>
  <c r="AP23" i="4"/>
  <c r="AV23" i="4" s="1"/>
  <c r="S23" i="4"/>
  <c r="J23" i="4"/>
  <c r="AU22" i="4"/>
  <c r="AS22" i="4"/>
  <c r="AT22" i="4" s="1"/>
  <c r="AQ22" i="4"/>
  <c r="AP22" i="4"/>
  <c r="AV22" i="4" s="1"/>
  <c r="S22" i="4"/>
  <c r="J22" i="4"/>
  <c r="AU21" i="4"/>
  <c r="AT21" i="4"/>
  <c r="AS21" i="4"/>
  <c r="AV21" i="4" s="1"/>
  <c r="AQ21" i="4"/>
  <c r="AW21" i="4" s="1"/>
  <c r="AP21" i="4"/>
  <c r="AU19" i="4"/>
  <c r="AS19" i="4"/>
  <c r="AT19" i="4" s="1"/>
  <c r="AQ19" i="4"/>
  <c r="AP19" i="4"/>
  <c r="AV19" i="4" s="1"/>
  <c r="S19" i="4"/>
  <c r="J19" i="4"/>
  <c r="AU18" i="4"/>
  <c r="AT18" i="4"/>
  <c r="AS18" i="4"/>
  <c r="AV18" i="4" s="1"/>
  <c r="AQ18" i="4"/>
  <c r="AW18" i="4" s="1"/>
  <c r="AP18" i="4"/>
  <c r="S18" i="4"/>
  <c r="J18" i="4"/>
  <c r="AU17" i="4"/>
  <c r="AT17" i="4"/>
  <c r="AS17" i="4"/>
  <c r="AP17" i="4"/>
  <c r="AQ17" i="4" s="1"/>
  <c r="AW17" i="4" s="1"/>
  <c r="AU16" i="4"/>
  <c r="AT16" i="4"/>
  <c r="AS16" i="4"/>
  <c r="AV16" i="4" s="1"/>
  <c r="AQ16" i="4"/>
  <c r="AW16" i="4" s="1"/>
  <c r="AP16" i="4"/>
  <c r="S16" i="4"/>
  <c r="J16" i="4"/>
  <c r="AU15" i="4"/>
  <c r="AT15" i="4"/>
  <c r="AS15" i="4"/>
  <c r="AR15" i="4"/>
  <c r="AP15" i="4"/>
  <c r="AQ15" i="4" s="1"/>
  <c r="AW15" i="4" s="1"/>
  <c r="S15" i="4"/>
  <c r="J15" i="4"/>
  <c r="AV14" i="4"/>
  <c r="AU14" i="4"/>
  <c r="AS14" i="4"/>
  <c r="AT14" i="4" s="1"/>
  <c r="AP14" i="4"/>
  <c r="AQ14" i="4" s="1"/>
  <c r="S14" i="4"/>
  <c r="J14" i="4"/>
  <c r="AV13" i="4"/>
  <c r="AU13" i="4"/>
  <c r="AS13" i="4"/>
  <c r="AT13" i="4" s="1"/>
  <c r="AW13" i="4" s="1"/>
  <c r="AQ13" i="4"/>
  <c r="AP13" i="4"/>
  <c r="S13" i="4"/>
  <c r="J13" i="4"/>
  <c r="AU12" i="4"/>
  <c r="AS12" i="4"/>
  <c r="AT12" i="4" s="1"/>
  <c r="AP12" i="4"/>
  <c r="AV12" i="4" s="1"/>
  <c r="AV11" i="4"/>
  <c r="AU11" i="4"/>
  <c r="AS11" i="4"/>
  <c r="AT11" i="4" s="1"/>
  <c r="AW11" i="4" s="1"/>
  <c r="AQ11" i="4"/>
  <c r="AP11" i="4"/>
  <c r="S11" i="4"/>
  <c r="J11" i="4"/>
  <c r="AU10" i="4"/>
  <c r="AS10" i="4"/>
  <c r="AT10" i="4" s="1"/>
  <c r="AP10" i="4"/>
  <c r="AV10" i="4" s="1"/>
  <c r="S10" i="4"/>
  <c r="J10" i="4"/>
  <c r="AU9" i="4"/>
  <c r="AT9" i="4"/>
  <c r="AS9" i="4"/>
  <c r="AQ9" i="4"/>
  <c r="AW9" i="4" s="1"/>
  <c r="AP9" i="4"/>
  <c r="AV9" i="4" s="1"/>
  <c r="S9" i="4"/>
  <c r="J9" i="4"/>
  <c r="AU8" i="4"/>
  <c r="AS8" i="4"/>
  <c r="AT8" i="4" s="1"/>
  <c r="AQ8" i="4"/>
  <c r="AW8" i="4" s="1"/>
  <c r="AP8" i="4"/>
  <c r="AV8" i="4" s="1"/>
  <c r="S8" i="4"/>
  <c r="J8" i="4"/>
  <c r="AU7" i="4"/>
  <c r="AT7" i="4"/>
  <c r="AS7" i="4"/>
  <c r="AV7" i="4" s="1"/>
  <c r="AQ7" i="4"/>
  <c r="AW7" i="4" s="1"/>
  <c r="AP7" i="4"/>
  <c r="S6" i="4"/>
  <c r="J6" i="4"/>
  <c r="AU5" i="4"/>
  <c r="AT5" i="4"/>
  <c r="AS5" i="4"/>
  <c r="AP5" i="4"/>
  <c r="AQ5" i="4" s="1"/>
  <c r="AW5" i="4" s="1"/>
  <c r="S4" i="4"/>
  <c r="J4" i="4"/>
  <c r="AV2" i="4"/>
  <c r="AU2" i="4"/>
  <c r="AT2" i="4"/>
  <c r="AS2" i="4"/>
  <c r="AP2" i="4"/>
  <c r="AQ2" i="4" s="1"/>
  <c r="AW2" i="4" s="1"/>
  <c r="S2" i="4"/>
  <c r="J2" i="4"/>
  <c r="AW25" i="4" l="1"/>
  <c r="AW70" i="4"/>
  <c r="AW79" i="4"/>
  <c r="AW14" i="4"/>
  <c r="AW19" i="4"/>
  <c r="AW22" i="4"/>
  <c r="AW74" i="4"/>
  <c r="AV5" i="4"/>
  <c r="AQ10" i="4"/>
  <c r="AW10" i="4" s="1"/>
  <c r="AQ12" i="4"/>
  <c r="AW12" i="4" s="1"/>
  <c r="AV15" i="4"/>
  <c r="AV17" i="4"/>
  <c r="AQ24" i="4"/>
  <c r="AW24" i="4" s="1"/>
  <c r="AV30" i="4"/>
  <c r="AQ36" i="4"/>
  <c r="AW36" i="4" s="1"/>
  <c r="AQ44" i="4"/>
  <c r="AW44" i="4" s="1"/>
  <c r="AQ45" i="4"/>
  <c r="AW45" i="4" s="1"/>
  <c r="AT47" i="4"/>
  <c r="AW47" i="4" s="1"/>
  <c r="AQ50" i="4"/>
  <c r="AW50" i="4" s="1"/>
  <c r="AQ51" i="4"/>
  <c r="AW51" i="4" s="1"/>
  <c r="AQ52" i="4"/>
  <c r="AW52" i="4" s="1"/>
  <c r="AQ53" i="4"/>
  <c r="AW53" i="4" s="1"/>
  <c r="AV59" i="4"/>
  <c r="AV60" i="4"/>
  <c r="AV62" i="4"/>
  <c r="AV64" i="4"/>
  <c r="AV74" i="4"/>
  <c r="AQ78" i="4"/>
  <c r="AW78" i="4" s="1"/>
  <c r="AQ26" i="4"/>
  <c r="AW26" i="4" s="1"/>
  <c r="AQ28" i="4"/>
  <c r="AW28" i="4" s="1"/>
  <c r="AQ55" i="4"/>
  <c r="AW55" i="4" s="1"/>
  <c r="AQ57" i="4"/>
  <c r="AW57" i="4" s="1"/>
  <c r="AT67" i="4"/>
  <c r="AW67" i="4" s="1"/>
  <c r="AT69" i="4"/>
  <c r="AW69" i="4" s="1"/>
  <c r="AT71" i="4"/>
  <c r="AW71" i="4" s="1"/>
  <c r="AQ72" i="4"/>
  <c r="AW72" i="4" s="1"/>
  <c r="AT54" i="4"/>
  <c r="AW54" i="4" s="1"/>
  <c r="AT56" i="4"/>
  <c r="AW56" i="4" s="1"/>
  <c r="AQ58" i="4"/>
  <c r="AW58" i="4" s="1"/>
  <c r="AV66" i="4"/>
  <c r="AQ76" i="4"/>
  <c r="AW76" i="4" s="1"/>
  <c r="G72" i="3" l="1"/>
  <c r="G71" i="3"/>
  <c r="G70" i="3"/>
  <c r="G69" i="3"/>
  <c r="G68" i="3"/>
  <c r="G67" i="3"/>
  <c r="G66" i="3"/>
  <c r="G65" i="3"/>
  <c r="T65" i="3" s="1"/>
  <c r="U65" i="3" s="1"/>
  <c r="G64" i="3"/>
  <c r="T64" i="3" s="1"/>
  <c r="U64" i="3" s="1"/>
  <c r="G63" i="3"/>
  <c r="T63" i="3" s="1"/>
  <c r="U63" i="3" s="1"/>
  <c r="M62" i="3"/>
  <c r="G62" i="3"/>
  <c r="T62" i="3" s="1"/>
  <c r="U62" i="3" s="1"/>
  <c r="M61" i="3"/>
  <c r="G61" i="3"/>
  <c r="T61" i="3" s="1"/>
  <c r="U61" i="3" s="1"/>
  <c r="M60" i="3"/>
  <c r="G60" i="3"/>
  <c r="T60" i="3" s="1"/>
  <c r="U60" i="3" s="1"/>
  <c r="M59" i="3"/>
  <c r="G59" i="3"/>
  <c r="T59" i="3" s="1"/>
  <c r="U59" i="3" s="1"/>
  <c r="M58" i="3"/>
  <c r="G58" i="3"/>
  <c r="T58" i="3" s="1"/>
  <c r="U58" i="3" s="1"/>
  <c r="M57" i="3"/>
  <c r="G57" i="3"/>
  <c r="T57" i="3" s="1"/>
  <c r="U57" i="3" s="1"/>
  <c r="M56" i="3"/>
  <c r="E56" i="3"/>
  <c r="G56" i="3" s="1"/>
  <c r="T56" i="3" s="1"/>
  <c r="U56" i="3" s="1"/>
  <c r="M55" i="3"/>
  <c r="G55" i="3"/>
  <c r="T55" i="3" s="1"/>
  <c r="U55" i="3" s="1"/>
  <c r="E55" i="3"/>
  <c r="M54" i="3"/>
  <c r="T54" i="3"/>
  <c r="U54" i="3" s="1"/>
  <c r="M53" i="3"/>
  <c r="G53" i="3"/>
  <c r="T53" i="3" s="1"/>
  <c r="U53" i="3" s="1"/>
  <c r="M52" i="3"/>
  <c r="G52" i="3"/>
  <c r="T52" i="3" s="1"/>
  <c r="U52" i="3" s="1"/>
  <c r="M51" i="3"/>
  <c r="G51" i="3"/>
  <c r="T51" i="3" s="1"/>
  <c r="U51" i="3" s="1"/>
  <c r="M50" i="3"/>
  <c r="G50" i="3"/>
  <c r="T50" i="3" s="1"/>
  <c r="U50" i="3" s="1"/>
  <c r="M49" i="3"/>
  <c r="G49" i="3"/>
  <c r="T49" i="3" s="1"/>
  <c r="U49" i="3" s="1"/>
  <c r="M48" i="3"/>
  <c r="G48" i="3"/>
  <c r="T48" i="3" s="1"/>
  <c r="U48" i="3" s="1"/>
  <c r="M47" i="3"/>
  <c r="G47" i="3"/>
  <c r="T47" i="3" s="1"/>
  <c r="U47" i="3" s="1"/>
  <c r="M46" i="3"/>
  <c r="G46" i="3"/>
  <c r="T46" i="3" s="1"/>
  <c r="U46" i="3" s="1"/>
  <c r="M45" i="3"/>
  <c r="G45" i="3"/>
  <c r="T45" i="3" s="1"/>
  <c r="U45" i="3" s="1"/>
  <c r="M44" i="3"/>
  <c r="G44" i="3"/>
  <c r="T44" i="3" s="1"/>
  <c r="U44" i="3" s="1"/>
  <c r="M43" i="3"/>
  <c r="G43" i="3"/>
  <c r="T43" i="3" s="1"/>
  <c r="U43" i="3" s="1"/>
  <c r="M42" i="3"/>
  <c r="G42" i="3"/>
  <c r="T42" i="3" s="1"/>
  <c r="U42" i="3" s="1"/>
  <c r="M41" i="3"/>
  <c r="G41" i="3"/>
  <c r="T41" i="3" s="1"/>
  <c r="U41" i="3" s="1"/>
  <c r="M40" i="3"/>
  <c r="G40" i="3"/>
  <c r="T40" i="3" s="1"/>
  <c r="U40" i="3" s="1"/>
  <c r="M39" i="3"/>
  <c r="G39" i="3"/>
  <c r="T39" i="3" s="1"/>
  <c r="U39" i="3" s="1"/>
  <c r="M38" i="3"/>
  <c r="G38" i="3"/>
  <c r="T38" i="3" s="1"/>
  <c r="U38" i="3" s="1"/>
  <c r="M37" i="3"/>
  <c r="G37" i="3"/>
  <c r="T37" i="3" s="1"/>
  <c r="U37" i="3" s="1"/>
  <c r="M36" i="3"/>
  <c r="G36" i="3"/>
  <c r="T36" i="3" s="1"/>
  <c r="U36" i="3" s="1"/>
  <c r="M35" i="3"/>
  <c r="G35" i="3"/>
  <c r="T35" i="3" s="1"/>
  <c r="U35" i="3" s="1"/>
  <c r="M34" i="3"/>
  <c r="G34" i="3"/>
  <c r="T34" i="3" s="1"/>
  <c r="U34" i="3" s="1"/>
  <c r="M33" i="3"/>
  <c r="G33" i="3"/>
  <c r="T33" i="3" s="1"/>
  <c r="U33" i="3" s="1"/>
  <c r="M32" i="3"/>
  <c r="G32" i="3"/>
  <c r="T32" i="3" s="1"/>
  <c r="U32" i="3" s="1"/>
  <c r="M31" i="3"/>
  <c r="G31" i="3"/>
  <c r="T31" i="3" s="1"/>
  <c r="U31" i="3" s="1"/>
  <c r="M30" i="3"/>
  <c r="G30" i="3"/>
  <c r="T30" i="3" s="1"/>
  <c r="U30" i="3" s="1"/>
  <c r="M29" i="3"/>
  <c r="G29" i="3"/>
  <c r="T29" i="3" s="1"/>
  <c r="U29" i="3" s="1"/>
  <c r="M28" i="3"/>
  <c r="G28" i="3"/>
  <c r="T28" i="3" s="1"/>
  <c r="U28" i="3" s="1"/>
  <c r="M27" i="3"/>
  <c r="G27" i="3"/>
  <c r="T27" i="3" s="1"/>
  <c r="U27" i="3" s="1"/>
  <c r="M26" i="3"/>
  <c r="G26" i="3"/>
  <c r="T26" i="3" s="1"/>
  <c r="U26" i="3" s="1"/>
  <c r="M25" i="3"/>
  <c r="G25" i="3"/>
  <c r="T25" i="3" s="1"/>
  <c r="U25" i="3" s="1"/>
  <c r="M24" i="3"/>
  <c r="G24" i="3"/>
  <c r="T24" i="3" s="1"/>
  <c r="U24" i="3" s="1"/>
  <c r="M23" i="3"/>
  <c r="G23" i="3"/>
  <c r="T23" i="3" s="1"/>
  <c r="U23" i="3" s="1"/>
  <c r="M22" i="3"/>
  <c r="G22" i="3"/>
  <c r="T22" i="3" s="1"/>
  <c r="U22" i="3" s="1"/>
  <c r="M21" i="3"/>
  <c r="G21" i="3"/>
  <c r="T21" i="3" s="1"/>
  <c r="U21" i="3" s="1"/>
  <c r="M20" i="3"/>
  <c r="G20" i="3"/>
  <c r="T20" i="3" s="1"/>
  <c r="U20" i="3" s="1"/>
  <c r="M19" i="3"/>
  <c r="G19" i="3"/>
  <c r="T19" i="3" s="1"/>
  <c r="U19" i="3" s="1"/>
  <c r="M18" i="3"/>
  <c r="G18" i="3"/>
  <c r="T18" i="3" s="1"/>
  <c r="U18" i="3" s="1"/>
  <c r="M17" i="3"/>
  <c r="G17" i="3"/>
  <c r="T17" i="3" s="1"/>
  <c r="U17" i="3" s="1"/>
  <c r="M16" i="3"/>
  <c r="G16" i="3"/>
  <c r="T16" i="3" s="1"/>
  <c r="U16" i="3" s="1"/>
  <c r="M15" i="3"/>
  <c r="G15" i="3"/>
  <c r="T15" i="3" s="1"/>
  <c r="U15" i="3" s="1"/>
  <c r="M14" i="3"/>
  <c r="G14" i="3"/>
  <c r="T14" i="3" s="1"/>
  <c r="U14" i="3" s="1"/>
  <c r="M13" i="3"/>
  <c r="G13" i="3"/>
  <c r="T13" i="3" s="1"/>
  <c r="U13" i="3" s="1"/>
  <c r="M12" i="3"/>
  <c r="G12" i="3"/>
  <c r="T12" i="3" s="1"/>
  <c r="U12" i="3" s="1"/>
  <c r="M11" i="3"/>
  <c r="G11" i="3"/>
  <c r="T11" i="3" s="1"/>
  <c r="U11" i="3" s="1"/>
  <c r="M10" i="3"/>
  <c r="G10" i="3"/>
  <c r="T10" i="3" s="1"/>
  <c r="U10" i="3" s="1"/>
  <c r="M9" i="3"/>
  <c r="G9" i="3"/>
  <c r="T9" i="3" s="1"/>
  <c r="U9" i="3" s="1"/>
  <c r="T8" i="3"/>
  <c r="U8" i="3" s="1"/>
  <c r="M8" i="3"/>
  <c r="G8" i="3"/>
  <c r="M7" i="3"/>
  <c r="G7" i="3"/>
  <c r="T7" i="3" s="1"/>
  <c r="U7" i="3" s="1"/>
  <c r="M6" i="3"/>
  <c r="G6" i="3"/>
  <c r="T6" i="3" s="1"/>
  <c r="U6" i="3" s="1"/>
  <c r="M5" i="3"/>
  <c r="G5" i="3"/>
  <c r="T5" i="3" s="1"/>
  <c r="U5" i="3" s="1"/>
  <c r="M4" i="3"/>
  <c r="G4" i="3"/>
  <c r="T4" i="3" s="1"/>
  <c r="U4" i="3" s="1"/>
  <c r="M3" i="3"/>
  <c r="G3" i="3"/>
  <c r="T3" i="3" s="1"/>
  <c r="U3" i="3" s="1"/>
  <c r="M2" i="3"/>
  <c r="G2" i="3"/>
  <c r="T2" i="3" s="1"/>
  <c r="U2" i="3" s="1"/>
  <c r="E78" i="1" l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tc={0CD0E118-7B7E-4CC9-8972-ACB451011051}</author>
  </authors>
  <commentList>
    <comment ref="AR15" authorId="0" shapeId="0" xr:uid="{0CD0E118-7B7E-4CC9-8972-ACB451011051}">
      <text>
        <t>[Threaded comment]
Your version of Excel allows you to read this threaded comment; however, any edits to it will get removed if the file is opened in a newer version of Excel. Learn more: https://go.microsoft.com/fwlink/?linkid=870924
Comment:
    2 Metal, 39 Jamur</t>
      </text>
    </comment>
  </commentList>
</comments>
</file>

<file path=xl/sharedStrings.xml><?xml version="1.0" encoding="utf-8"?>
<sst xmlns="http://schemas.openxmlformats.org/spreadsheetml/2006/main" count="7636" uniqueCount="833">
  <si>
    <t>Batch</t>
  </si>
  <si>
    <t>Date of Buy RM</t>
  </si>
  <si>
    <t>Row Labels (Location)</t>
  </si>
  <si>
    <t>Volume/Gross (Kg)</t>
  </si>
  <si>
    <t>Avg of DRC RM (%)</t>
  </si>
  <si>
    <t>Sum of Net (Kg)</t>
  </si>
  <si>
    <t>Persentase (%)</t>
  </si>
  <si>
    <t>19 Nov - 10 Des 2025</t>
  </si>
  <si>
    <t>ACEH BARAT</t>
  </si>
  <si>
    <t>ACEH JAYA</t>
  </si>
  <si>
    <t>NAGAN RAYA</t>
  </si>
  <si>
    <t>12 - 31 Des 2025</t>
  </si>
  <si>
    <t>ACEH BESAR</t>
  </si>
  <si>
    <t>BIREUEN</t>
  </si>
  <si>
    <t>02 - 07 Jan 2026</t>
  </si>
  <si>
    <t>BANDA ACEH</t>
  </si>
  <si>
    <t>08 - 17 Jan 2026</t>
  </si>
  <si>
    <t>19 - 23 Jan 2026</t>
  </si>
  <si>
    <t>ACEH TENGGARA</t>
  </si>
  <si>
    <t>Produksi di Wet batch 5 dahulu baru batch 4</t>
  </si>
  <si>
    <t>23 - 30 Jan 2026</t>
  </si>
  <si>
    <t>02 - 05 Feb 2026</t>
  </si>
  <si>
    <t>06 - 11 Feb 2026</t>
  </si>
  <si>
    <t>19 Feb - 09 Mar 2026</t>
  </si>
  <si>
    <t>20 Apr - 04 May 2026</t>
  </si>
  <si>
    <t xml:space="preserve">ACEH BARAT </t>
  </si>
  <si>
    <t>BIREUN</t>
  </si>
  <si>
    <t>04 - 13 May 2026</t>
  </si>
  <si>
    <t>15 May - 23 Jun 2026</t>
  </si>
  <si>
    <t>19 Jun - 06 Jul 2026</t>
  </si>
  <si>
    <t>ACEH JAYA/ACEH BARAT</t>
  </si>
  <si>
    <t>Terdeteksi Metal Pada Prosess Wet, dikarenakan bale Metal telah dicampur pada Batch 13 sebanyak 5642 kgs</t>
  </si>
  <si>
    <t>ACEH BARAT/KEBUN</t>
  </si>
  <si>
    <t>19 Aug - 30 Sept 2026</t>
  </si>
  <si>
    <t>ACEH BARAT/BIREUN</t>
  </si>
  <si>
    <t>06 Jul - 10 Aug 2026</t>
  </si>
  <si>
    <t>11 Aug - 18 Aug 2026</t>
  </si>
  <si>
    <t>13/14</t>
  </si>
  <si>
    <t>11 - 16 Feb 2026</t>
  </si>
  <si>
    <t>Tanggal Proses Wet</t>
  </si>
  <si>
    <t>Proses Ke-</t>
  </si>
  <si>
    <t>SIR</t>
  </si>
  <si>
    <t>SC</t>
  </si>
  <si>
    <t>PB</t>
  </si>
  <si>
    <t>HM</t>
  </si>
  <si>
    <t>SH.1</t>
  </si>
  <si>
    <t>CP8</t>
  </si>
  <si>
    <t>Kontaminasi 1</t>
  </si>
  <si>
    <t>Kontaminasi 2</t>
  </si>
  <si>
    <t>Process ke-n</t>
  </si>
  <si>
    <t>Grade</t>
  </si>
  <si>
    <t>Date of Wet Process</t>
  </si>
  <si>
    <t>DRC BB (%)</t>
  </si>
  <si>
    <t>Volume/Net (Kg)</t>
  </si>
  <si>
    <t>Dirt (%)</t>
  </si>
  <si>
    <t>Lantai</t>
  </si>
  <si>
    <t>Block</t>
  </si>
  <si>
    <t>Kamar</t>
  </si>
  <si>
    <t>Analysis Date (Day-n)</t>
  </si>
  <si>
    <t>Total Days</t>
  </si>
  <si>
    <t>DRC BK (%)</t>
  </si>
  <si>
    <t>P0</t>
  </si>
  <si>
    <t>P30</t>
  </si>
  <si>
    <t>PRI</t>
  </si>
  <si>
    <t>MV</t>
  </si>
  <si>
    <t>SIR 20</t>
  </si>
  <si>
    <t>D,E</t>
  </si>
  <si>
    <t>6;5,6</t>
  </si>
  <si>
    <t>C,D,E</t>
  </si>
  <si>
    <t>1;2</t>
  </si>
  <si>
    <t>4;1</t>
  </si>
  <si>
    <t>D,C;D</t>
  </si>
  <si>
    <t>A</t>
  </si>
  <si>
    <t>2;3</t>
  </si>
  <si>
    <t>A,B;A</t>
  </si>
  <si>
    <t>B</t>
  </si>
  <si>
    <t>D,E,C</t>
  </si>
  <si>
    <t>2;1;1</t>
  </si>
  <si>
    <t>C;E,D;C</t>
  </si>
  <si>
    <t>1;2-6</t>
  </si>
  <si>
    <t>8-10</t>
  </si>
  <si>
    <t>10-12;15</t>
  </si>
  <si>
    <t>A;E</t>
  </si>
  <si>
    <t>15;15;14</t>
  </si>
  <si>
    <t>E,D;C;E</t>
  </si>
  <si>
    <t>E</t>
  </si>
  <si>
    <t>13;15</t>
  </si>
  <si>
    <t>D,C;A,B</t>
  </si>
  <si>
    <t>15;14</t>
  </si>
  <si>
    <t>D,C,E;D,C</t>
  </si>
  <si>
    <t>C,D</t>
  </si>
  <si>
    <t>7;6</t>
  </si>
  <si>
    <t>C;E</t>
  </si>
  <si>
    <t>D,C</t>
  </si>
  <si>
    <t>E,D</t>
  </si>
  <si>
    <t>C</t>
  </si>
  <si>
    <t>2;5;6</t>
  </si>
  <si>
    <t>C,D;B,A;A,B</t>
  </si>
  <si>
    <t>6;7</t>
  </si>
  <si>
    <t>A,B</t>
  </si>
  <si>
    <t>7;8</t>
  </si>
  <si>
    <t>A,B;B,A</t>
  </si>
  <si>
    <t>10;11</t>
  </si>
  <si>
    <t>12;13</t>
  </si>
  <si>
    <t>D,C;E,D</t>
  </si>
  <si>
    <t>11;10</t>
  </si>
  <si>
    <t>10;9</t>
  </si>
  <si>
    <t>D,C;E</t>
  </si>
  <si>
    <t>A,B,C</t>
  </si>
  <si>
    <t>D</t>
  </si>
  <si>
    <t>2-3</t>
  </si>
  <si>
    <t>C,;E-D</t>
  </si>
  <si>
    <t>6-5</t>
  </si>
  <si>
    <t>C;E-D</t>
  </si>
  <si>
    <t>4-3</t>
  </si>
  <si>
    <t>1;1;2</t>
  </si>
  <si>
    <t>3;4;4</t>
  </si>
  <si>
    <t>D-B;B;E</t>
  </si>
  <si>
    <t>4;3</t>
  </si>
  <si>
    <t>D-B;3</t>
  </si>
  <si>
    <t>13-14</t>
  </si>
  <si>
    <t>B;C,D</t>
  </si>
  <si>
    <t>E;E,D</t>
  </si>
  <si>
    <t>B, C; A</t>
  </si>
  <si>
    <t>E, D, C, B</t>
  </si>
  <si>
    <t>A, B</t>
  </si>
  <si>
    <t>3; 1</t>
  </si>
  <si>
    <t>2; 3</t>
  </si>
  <si>
    <t>3; 4; 5</t>
  </si>
  <si>
    <t>1; 2</t>
  </si>
  <si>
    <t>5; 3; 4</t>
  </si>
  <si>
    <t>5; 6</t>
  </si>
  <si>
    <t>SIR 10</t>
  </si>
  <si>
    <t>Date of Production</t>
  </si>
  <si>
    <t>Left - Blanket Kering (CP8)</t>
  </si>
  <si>
    <t>Middle - Blanket Kering (CP8)</t>
  </si>
  <si>
    <t>Right - Blanket Kering (CP8)</t>
  </si>
  <si>
    <t>Average (10mm ± 2mm) - Blanket Kering (CP8)</t>
  </si>
  <si>
    <t>Date DRC Wet</t>
  </si>
  <si>
    <t>% DRC Wet</t>
  </si>
  <si>
    <t>Date DRC Dry</t>
  </si>
  <si>
    <t>% DRC Dry</t>
  </si>
  <si>
    <t>Dirt</t>
  </si>
  <si>
    <t>Hanging Days</t>
  </si>
  <si>
    <t>SHREDDER 2 SIZE (5mm ± 1mm)</t>
  </si>
  <si>
    <t>TROLLEY SIZE (cm)</t>
  </si>
  <si>
    <t>Drayer A - Burner1</t>
  </si>
  <si>
    <t>Drayer A - Burner2</t>
  </si>
  <si>
    <t>Drayer A - Cycle</t>
  </si>
  <si>
    <t>Drayer A - P0</t>
  </si>
  <si>
    <t>Drayer A - PRI</t>
  </si>
  <si>
    <t>Drayer A - MV</t>
  </si>
  <si>
    <t>Drayer B - Burner1</t>
  </si>
  <si>
    <t>Drayer B - Burner2</t>
  </si>
  <si>
    <t>Drayer B - Cycle</t>
  </si>
  <si>
    <t>Drayer B - P0</t>
  </si>
  <si>
    <t>Drayer B - PRI</t>
  </si>
  <si>
    <t>Drayer B - MV</t>
  </si>
  <si>
    <r>
      <t>Temp. Biscuit (Max. 50</t>
    </r>
    <r>
      <rPr>
        <b/>
        <sz val="10"/>
        <color theme="1"/>
        <rFont val="Calibri"/>
        <family val="2"/>
      </rPr>
      <t>°</t>
    </r>
    <r>
      <rPr>
        <b/>
        <sz val="10"/>
        <color theme="1"/>
        <rFont val="Calibri"/>
        <family val="2"/>
        <scheme val="minor"/>
      </rPr>
      <t>C)</t>
    </r>
  </si>
  <si>
    <t>Tinggi Bale A</t>
  </si>
  <si>
    <t>Tinggi Bale B</t>
  </si>
  <si>
    <t>Tinggi Bale C</t>
  </si>
  <si>
    <t>Temp. Bale (Max. 50°C)</t>
  </si>
  <si>
    <t>Weight Contamination (g)</t>
  </si>
  <si>
    <t>Type Contamination</t>
  </si>
  <si>
    <t>Produk Sesuai (Bale)</t>
  </si>
  <si>
    <t>Produk Sesuai (Kgs)</t>
  </si>
  <si>
    <t>Produk Sesuai (Pallet)</t>
  </si>
  <si>
    <t>Produk Tidak Sesuai (Bale)</t>
  </si>
  <si>
    <t>Produk Tidak Sesuai (Kgs)</t>
  </si>
  <si>
    <t>Produk Tidak Sesuai (Pallet)</t>
  </si>
  <si>
    <t>Total Produk (Bale)</t>
  </si>
  <si>
    <t>Total Produk (Kgs)</t>
  </si>
  <si>
    <t>Total Produk (Pallet)</t>
  </si>
  <si>
    <t>Pallet No. (Awal)</t>
  </si>
  <si>
    <t>-</t>
  </si>
  <si>
    <t>Pallet No. (Akhir)</t>
  </si>
  <si>
    <t>√</t>
  </si>
  <si>
    <t>Kayu.</t>
  </si>
  <si>
    <t>Plastik</t>
  </si>
  <si>
    <t>8;7</t>
  </si>
  <si>
    <t>E;C,D</t>
  </si>
  <si>
    <t>Cat,Plastik,Tatal</t>
  </si>
  <si>
    <t>C-E</t>
  </si>
  <si>
    <t>Plastik,tatal</t>
  </si>
  <si>
    <t>6;5</t>
  </si>
  <si>
    <t>E;D,E</t>
  </si>
  <si>
    <t>Platik,kayu,benang</t>
  </si>
  <si>
    <t>Plastik,kayu,benang</t>
  </si>
  <si>
    <t>Tatal,plastik,benang</t>
  </si>
  <si>
    <t>A-E</t>
  </si>
  <si>
    <t>Platik,Kayu,Benang</t>
  </si>
  <si>
    <t>3-4</t>
  </si>
  <si>
    <t>A-B</t>
  </si>
  <si>
    <t>Platik,tali,kayu</t>
  </si>
  <si>
    <t>Plastik.Tali.Tatal</t>
  </si>
  <si>
    <t>6-7</t>
  </si>
  <si>
    <t>Plastik.tatal</t>
  </si>
  <si>
    <t>C-D</t>
  </si>
  <si>
    <t>Plastik.tali</t>
  </si>
  <si>
    <t>plastik,benang</t>
  </si>
  <si>
    <t>Tali,Plastik</t>
  </si>
  <si>
    <t>E-D</t>
  </si>
  <si>
    <t>D-E</t>
  </si>
  <si>
    <t>Plastik,Tatal,Tali</t>
  </si>
  <si>
    <t>Plastik,Tali</t>
  </si>
  <si>
    <t>Plastik,Tali,Tatal</t>
  </si>
  <si>
    <t>9/10</t>
  </si>
  <si>
    <t>Plastik,Tatal</t>
  </si>
  <si>
    <t>Platik,benang,Tatal</t>
  </si>
  <si>
    <t>Plastik,Tali,tatal</t>
  </si>
  <si>
    <t>Plastik,Kayu</t>
  </si>
  <si>
    <t>Tatal,Plastik,Tali</t>
  </si>
  <si>
    <t>7-8</t>
  </si>
  <si>
    <t>Plastik,Tali,Benang</t>
  </si>
  <si>
    <t>Plastik,Tali,Kayu</t>
  </si>
  <si>
    <t>10-14</t>
  </si>
  <si>
    <t>Kayu,Plastik,Benang</t>
  </si>
  <si>
    <t>Plastik,Tatal,Benang</t>
  </si>
  <si>
    <t>Tatal,Plastik,Benang</t>
  </si>
  <si>
    <t>Kayu,Tali,Plastik</t>
  </si>
  <si>
    <t>A-C</t>
  </si>
  <si>
    <t>P</t>
  </si>
  <si>
    <t>O</t>
  </si>
  <si>
    <t>plastik, benang</t>
  </si>
  <si>
    <t>1-2</t>
  </si>
  <si>
    <t>D-C</t>
  </si>
  <si>
    <t>plastik, tali, tatal</t>
  </si>
  <si>
    <t>1-3</t>
  </si>
  <si>
    <t>E-A,A</t>
  </si>
  <si>
    <t>3-6</t>
  </si>
  <si>
    <t>8-12</t>
  </si>
  <si>
    <t>plastik, tali</t>
  </si>
  <si>
    <t>1, 2</t>
  </si>
  <si>
    <t>plastik dan tatal</t>
  </si>
  <si>
    <t>plastik, serangga, tatal</t>
  </si>
  <si>
    <t>plastik dan tali</t>
  </si>
  <si>
    <t>plastik, tali, tatal, kain</t>
  </si>
  <si>
    <t>B-C</t>
  </si>
  <si>
    <t>B-E</t>
  </si>
  <si>
    <t>Summary Report</t>
  </si>
  <si>
    <t>Raw Material</t>
  </si>
  <si>
    <t>Wet Process</t>
  </si>
  <si>
    <t>Ampaian</t>
  </si>
  <si>
    <t>Dry Process</t>
  </si>
  <si>
    <t>Finisgood</t>
  </si>
  <si>
    <t>Laboratory</t>
  </si>
  <si>
    <t>Quality Control</t>
  </si>
  <si>
    <t>Status</t>
  </si>
  <si>
    <t>Keterangan</t>
  </si>
  <si>
    <t>CATATAN PRODUK YANG TIDAK SESUAI - Gabungan (FRM.OQC.05.01.00) | Divisi: Quality Control</t>
  </si>
  <si>
    <t>No</t>
  </si>
  <si>
    <t>Tanggal</t>
  </si>
  <si>
    <t>Nomor Lot</t>
  </si>
  <si>
    <t>Nomor Produksi</t>
  </si>
  <si>
    <t>Jenis/SIR</t>
  </si>
  <si>
    <t>Faktor Ketidaksesuaian</t>
  </si>
  <si>
    <t>Kategori</t>
  </si>
  <si>
    <t>Nomor Corrective Action</t>
  </si>
  <si>
    <t>Berat (Kg)</t>
  </si>
  <si>
    <t>Jumlah Bale</t>
  </si>
  <si>
    <t>Foto Sumber</t>
  </si>
  <si>
    <t>Catatan Transkripsi</t>
  </si>
  <si>
    <t>004</t>
  </si>
  <si>
    <t>Kontaminasi Cat</t>
  </si>
  <si>
    <t>Kontaminasi</t>
  </si>
  <si>
    <t>LKS 01 DRY</t>
  </si>
  <si>
    <t>002</t>
  </si>
  <si>
    <t>Metal Serbuk</t>
  </si>
  <si>
    <t>LKS 02 DRY</t>
  </si>
  <si>
    <t>Tulisan bale tertimpa (terbaca 8/6); disesuaikan 210kg=6 bale</t>
  </si>
  <si>
    <t>003</t>
  </si>
  <si>
    <t>Metal Padat</t>
  </si>
  <si>
    <t>LKS 03 DRY</t>
  </si>
  <si>
    <t>Ditulis 1B (70kg biasanya 2 bale)</t>
  </si>
  <si>
    <t>LKS 04 DRY</t>
  </si>
  <si>
    <t>LKS 05 DRY</t>
  </si>
  <si>
    <t>001</t>
  </si>
  <si>
    <t>Biskuit (Berjamur)</t>
  </si>
  <si>
    <t>Biskuit / Jamur</t>
  </si>
  <si>
    <t>LKS 06 DRY</t>
  </si>
  <si>
    <t>LKS 07 DRY</t>
  </si>
  <si>
    <t>LKS 08 DRY</t>
  </si>
  <si>
    <t>Nomor LKS terbaca '00', diasumsikan 08</t>
  </si>
  <si>
    <t>LKS 09 DRY</t>
  </si>
  <si>
    <t>005</t>
  </si>
  <si>
    <t>LKS 10 DRY</t>
  </si>
  <si>
    <t>Batch tertulis 'A', diasumsikan 4</t>
  </si>
  <si>
    <t>Hasil cacahan mesin shredder besar / diluar standar</t>
  </si>
  <si>
    <t>Lainnya</t>
  </si>
  <si>
    <t>LKS 11 DRY</t>
  </si>
  <si>
    <t>LKS 12 DRY</t>
  </si>
  <si>
    <t>LKS 13 DRY</t>
  </si>
  <si>
    <t>LKS 14 DRY</t>
  </si>
  <si>
    <t>Biskuit berjamur</t>
  </si>
  <si>
    <t>LKS 15 DRY</t>
  </si>
  <si>
    <t>1 Trolly</t>
  </si>
  <si>
    <t>Nomor produksi tidak diisi</t>
  </si>
  <si>
    <t>007</t>
  </si>
  <si>
    <t>Nomor produksi tercoret/kurang jelas</t>
  </si>
  <si>
    <t>006</t>
  </si>
  <si>
    <t>008</t>
  </si>
  <si>
    <t>White Spot (WIS)</t>
  </si>
  <si>
    <t>White Spot</t>
  </si>
  <si>
    <t>LKS 17 DRY</t>
  </si>
  <si>
    <t>009</t>
  </si>
  <si>
    <t>LKS 16 DRY</t>
  </si>
  <si>
    <t>LKS 18 DRY</t>
  </si>
  <si>
    <t>010</t>
  </si>
  <si>
    <t>011</t>
  </si>
  <si>
    <t>LKS 19 DRY</t>
  </si>
  <si>
    <t>Nomor produksi kurang jelas</t>
  </si>
  <si>
    <t>012</t>
  </si>
  <si>
    <t>013</t>
  </si>
  <si>
    <t>LKS 20 DRY</t>
  </si>
  <si>
    <t>014</t>
  </si>
  <si>
    <t>LKS 21 DRY</t>
  </si>
  <si>
    <t>LKS 22 DRY</t>
  </si>
  <si>
    <t>016</t>
  </si>
  <si>
    <t>015</t>
  </si>
  <si>
    <t>017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</si>
  <si>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</si>
  <si>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LKS 24 DRY</t>
  </si>
  <si>
    <t>018</t>
  </si>
  <si>
    <t>Dryer B</t>
  </si>
  <si>
    <t>MY out spec</t>
  </si>
  <si>
    <t>MY Out Spec</t>
  </si>
  <si>
    <t>LKS 23 DRY</t>
  </si>
  <si>
    <t>Out spec buyer Belshtmen</t>
  </si>
  <si>
    <t>Jam 15:00</t>
  </si>
  <si>
    <t>LKS 25 DRY</t>
  </si>
  <si>
    <t>Jam 12:30</t>
  </si>
  <si>
    <t>LKS 26 DRY</t>
  </si>
  <si>
    <t>LKS 27 DRY</t>
  </si>
  <si>
    <t>Kontaminasi Plastik</t>
  </si>
  <si>
    <t>LKS 28 DRY</t>
  </si>
  <si>
    <t>Batch 6</t>
  </si>
  <si>
    <t>LKS 29 DRY</t>
  </si>
  <si>
    <t>LKS 30 DRY</t>
  </si>
  <si>
    <t>Out spec Buyer Belshtmen</t>
  </si>
  <si>
    <t>LKS 31 DRY</t>
  </si>
  <si>
    <t>LKS 32 DRY</t>
  </si>
  <si>
    <t>LKS 33 DRY</t>
  </si>
  <si>
    <t>LKS 34 DRY</t>
  </si>
  <si>
    <t>LKS 35 DRY</t>
  </si>
  <si>
    <t>Biskuit Kontaminasi</t>
  </si>
  <si>
    <t>LKS 36 DRY</t>
  </si>
  <si>
    <t>6 BH Bilbuis</t>
  </si>
  <si>
    <t>LKS 37 DRY</t>
  </si>
  <si>
    <t>LKS 38 DRY</t>
  </si>
  <si>
    <t>LKS 39 DRY</t>
  </si>
  <si>
    <t>LKS 40 DRY</t>
  </si>
  <si>
    <t>LKS 41 DRY</t>
  </si>
  <si>
    <t>LKS 42 DRY</t>
  </si>
  <si>
    <t>LKS 43 DRY</t>
  </si>
  <si>
    <t>LKS 44 DRY</t>
  </si>
  <si>
    <t>LKS 45 DRY</t>
  </si>
  <si>
    <t>LKS 46 DRY</t>
  </si>
  <si>
    <t>020</t>
  </si>
  <si>
    <t>021</t>
  </si>
  <si>
    <t>LKS 47 DRY</t>
  </si>
  <si>
    <t>LKS 48 DRY</t>
  </si>
  <si>
    <t>Nomor LKS terbaca '40', diasumsikan 48</t>
  </si>
  <si>
    <t>022</t>
  </si>
  <si>
    <t>LKS 49 DRY</t>
  </si>
  <si>
    <t>LKS 50 DRY</t>
  </si>
  <si>
    <t>LKS 51 DRY</t>
  </si>
  <si>
    <t>LKS 52 DRY</t>
  </si>
  <si>
    <t>023</t>
  </si>
  <si>
    <t>024</t>
  </si>
  <si>
    <t>LKS 53 DRY</t>
  </si>
  <si>
    <t>Keterangan ditulis '4 kg' (diasumsikan 4 bale)</t>
  </si>
  <si>
    <t>LKS 54 DRY</t>
  </si>
  <si>
    <t>019</t>
  </si>
  <si>
    <t>Karantina</t>
  </si>
  <si>
    <t>Tulisan kurang jelas (terbaca 'Karanna')</t>
  </si>
  <si>
    <t>LKS 55 DRY</t>
  </si>
  <si>
    <t>Batch kosong, diasumsikan 10</t>
  </si>
  <si>
    <t>LKS 56 DRY</t>
  </si>
  <si>
    <t>LKS 57 DRY</t>
  </si>
  <si>
    <t>025</t>
  </si>
  <si>
    <t>Jamur di Cake</t>
  </si>
  <si>
    <t>LKS 58 DRY</t>
  </si>
  <si>
    <t>LKS 59 DRY</t>
  </si>
  <si>
    <t>LKS 60 DRY</t>
  </si>
  <si>
    <t>LKS 61 DRY</t>
  </si>
  <si>
    <t>LKS 62 DRY</t>
  </si>
  <si>
    <t>027</t>
  </si>
  <si>
    <t>026</t>
  </si>
  <si>
    <t>028</t>
  </si>
  <si>
    <t>Nomor produksi terbaca '0261', diasumsikan 028</t>
  </si>
  <si>
    <t>LKS 63 DRY</t>
  </si>
  <si>
    <t>Nomor produksi kurang jelas, diasumsikan 028</t>
  </si>
  <si>
    <t>LKS 64 DRY</t>
  </si>
  <si>
    <t>029</t>
  </si>
  <si>
    <t>030</t>
  </si>
  <si>
    <t>LKS 65 DRY</t>
  </si>
  <si>
    <t>031</t>
  </si>
  <si>
    <t>LKS 66 DRY</t>
  </si>
  <si>
    <t>032</t>
  </si>
  <si>
    <t>033</t>
  </si>
  <si>
    <t>Hasil cacahan shredder diluar std</t>
  </si>
  <si>
    <t>LKS 67 DRY</t>
  </si>
  <si>
    <t>Batch 12</t>
  </si>
  <si>
    <t>LKS 68 DRY</t>
  </si>
  <si>
    <t>034</t>
  </si>
  <si>
    <t>Crumb dari Bak screen</t>
  </si>
  <si>
    <t>LKS 69 DRY</t>
  </si>
  <si>
    <t>LKS 70 DRY</t>
  </si>
  <si>
    <t>LKS 71 DRY</t>
  </si>
  <si>
    <t>035</t>
  </si>
  <si>
    <t>Nomor produksi kosong</t>
  </si>
  <si>
    <t>LKS 72 DRY</t>
  </si>
  <si>
    <t>LKS 73 DRY</t>
  </si>
  <si>
    <t>036</t>
  </si>
  <si>
    <t>TOTAL</t>
  </si>
  <si>
    <t>Data Produksi</t>
  </si>
  <si>
    <t>Ash (%)</t>
  </si>
  <si>
    <t>VM (%)</t>
  </si>
  <si>
    <t>N</t>
  </si>
  <si>
    <t>Mooney Viscosity</t>
  </si>
  <si>
    <t>Belshina/Internal</t>
  </si>
  <si>
    <t>Min</t>
  </si>
  <si>
    <t>Max</t>
  </si>
  <si>
    <t>Internal</t>
  </si>
  <si>
    <t>75.0-84.0</t>
  </si>
  <si>
    <t>WS</t>
  </si>
  <si>
    <t>SNI</t>
  </si>
  <si>
    <t>32-38</t>
  </si>
  <si>
    <t>68-76</t>
  </si>
  <si>
    <t>Total</t>
  </si>
  <si>
    <t>Production / Quality Control Double Check</t>
  </si>
  <si>
    <t>Date of Dry Process</t>
  </si>
  <si>
    <t xml:space="preserve">Uraian Reject (Production) </t>
  </si>
  <si>
    <t>No Pallet (Reject)</t>
  </si>
  <si>
    <t>Solution</t>
  </si>
  <si>
    <t>Action</t>
  </si>
  <si>
    <t>Result Laboratory (Awal)</t>
  </si>
  <si>
    <t>Tanggal Awal</t>
  </si>
  <si>
    <t>Tanggal Akhir</t>
  </si>
  <si>
    <t>Date of Analyst</t>
  </si>
  <si>
    <t>Lot No</t>
  </si>
  <si>
    <t>Pallet No</t>
  </si>
  <si>
    <t>Jamur (Biskuit)</t>
  </si>
  <si>
    <t>28; 4</t>
  </si>
  <si>
    <t>M. Serbuk</t>
  </si>
  <si>
    <t>28;4</t>
  </si>
  <si>
    <t>M. Padat</t>
  </si>
  <si>
    <t>27;28;1;2;3;10;9;11;12</t>
  </si>
  <si>
    <t>5;6</t>
  </si>
  <si>
    <t>5;7</t>
  </si>
  <si>
    <t>6;7;1;2</t>
  </si>
  <si>
    <t>6;7;1;3</t>
  </si>
  <si>
    <t>3;9;10</t>
  </si>
  <si>
    <t>3;9;10;11</t>
  </si>
  <si>
    <t>9;11</t>
  </si>
  <si>
    <t>11;12;13</t>
  </si>
  <si>
    <t>11;12</t>
  </si>
  <si>
    <t>OK</t>
  </si>
  <si>
    <t>Reject</t>
  </si>
  <si>
    <t>Re-Test</t>
  </si>
  <si>
    <t>Dry Process / Laboratory</t>
  </si>
  <si>
    <t>Quality Control (I)</t>
  </si>
  <si>
    <t>Quality Control (II) / Before Wrapping / PDI II</t>
  </si>
  <si>
    <t>Finish Good / Gudang</t>
  </si>
  <si>
    <t>Days</t>
  </si>
  <si>
    <t>Dryer Machine No</t>
  </si>
  <si>
    <t>Result Laboratory (Re-Test) / All Re-Test Date</t>
  </si>
  <si>
    <t>Pre Deliver Inspection (PDI)</t>
  </si>
  <si>
    <t>Date of Re-Test</t>
  </si>
  <si>
    <t>Tanggal PDI</t>
  </si>
  <si>
    <t>Jamur</t>
  </si>
  <si>
    <t>Pallet</t>
  </si>
  <si>
    <t>Packing</t>
  </si>
  <si>
    <t>BA-QC</t>
  </si>
  <si>
    <t>Hal</t>
  </si>
  <si>
    <t>No (Produksi / Awal)</t>
  </si>
  <si>
    <t>No (Export / Akhir)</t>
  </si>
  <si>
    <t>BA-FG/QC</t>
  </si>
  <si>
    <t>Buyer</t>
  </si>
  <si>
    <t>VM</t>
  </si>
  <si>
    <t>Solusi</t>
  </si>
  <si>
    <t>Plan</t>
  </si>
  <si>
    <t>No Lot</t>
  </si>
  <si>
    <t>No Pallet</t>
  </si>
  <si>
    <t>Ok</t>
  </si>
  <si>
    <t>Belshina</t>
  </si>
  <si>
    <t>RnD (Oxalid Acid)</t>
  </si>
  <si>
    <t>Re-Condition</t>
  </si>
  <si>
    <t>29/5; 23/7/2026</t>
  </si>
  <si>
    <t>76.5; 90</t>
  </si>
  <si>
    <t>73.5; 86</t>
  </si>
  <si>
    <t>76; 85</t>
  </si>
  <si>
    <t>25/5; 23/7/2026</t>
  </si>
  <si>
    <t>68.5; 82</t>
  </si>
  <si>
    <t>74; 87</t>
  </si>
  <si>
    <t>BA-005/QC</t>
  </si>
  <si>
    <t>Sortir</t>
  </si>
  <si>
    <t>BA-003/FG</t>
  </si>
  <si>
    <t>Alokasi No</t>
  </si>
  <si>
    <t>66.5; 78</t>
  </si>
  <si>
    <t>38; 38</t>
  </si>
  <si>
    <t>25; 28.1</t>
  </si>
  <si>
    <t>65.8; 74</t>
  </si>
  <si>
    <t>75; 84</t>
  </si>
  <si>
    <t>30/5; 23/7/2026</t>
  </si>
  <si>
    <t>74.5; 81</t>
  </si>
  <si>
    <t>77; 89</t>
  </si>
  <si>
    <t>73; 80</t>
  </si>
  <si>
    <t>74; 88</t>
  </si>
  <si>
    <t>73.5; 83</t>
  </si>
  <si>
    <t>76; 82</t>
  </si>
  <si>
    <t>71.5; 78</t>
  </si>
  <si>
    <t>73; 72</t>
  </si>
  <si>
    <t>68.5; 86</t>
  </si>
  <si>
    <t>75; 78</t>
  </si>
  <si>
    <t>74; 84</t>
  </si>
  <si>
    <t>75; 86</t>
  </si>
  <si>
    <t>74; 74</t>
  </si>
  <si>
    <t>73;79</t>
  </si>
  <si>
    <t>BA-002/FG</t>
  </si>
  <si>
    <t>74.5;79</t>
  </si>
  <si>
    <t>74.5; 84</t>
  </si>
  <si>
    <t>76.5; 83</t>
  </si>
  <si>
    <t>78; 82</t>
  </si>
  <si>
    <t>79; 87</t>
  </si>
  <si>
    <t>78.5; 85</t>
  </si>
  <si>
    <t>MV Variatif</t>
  </si>
  <si>
    <t xml:space="preserve">Dekat Genangan Air </t>
  </si>
  <si>
    <t>41; 46</t>
  </si>
  <si>
    <t>29; 29</t>
  </si>
  <si>
    <t>70.7; 63</t>
  </si>
  <si>
    <t>77; 85</t>
  </si>
  <si>
    <t>BA-003/QC</t>
  </si>
  <si>
    <t>6/6; 23/7/2026</t>
  </si>
  <si>
    <t>80.5; 84</t>
  </si>
  <si>
    <t>8/6; 23/7/2026</t>
  </si>
  <si>
    <t>80.5; 88</t>
  </si>
  <si>
    <t>6/6; 26/6; 23/7/2026</t>
  </si>
  <si>
    <t>47; 47; 49</t>
  </si>
  <si>
    <t>32; 32; 32.8</t>
  </si>
  <si>
    <t>68.1; 68.1; 67</t>
  </si>
  <si>
    <t>80; 85</t>
  </si>
  <si>
    <t>72.5; 90</t>
  </si>
  <si>
    <t>9/6; 23/7/2026</t>
  </si>
  <si>
    <t>26/6; 23/7/2026</t>
  </si>
  <si>
    <t>47; 47</t>
  </si>
  <si>
    <t>32.1; 32</t>
  </si>
  <si>
    <t>68.2; 68</t>
  </si>
  <si>
    <t>Re-Process</t>
  </si>
  <si>
    <t>BA-002/QC</t>
  </si>
  <si>
    <t>Mix Pallet 005-0032</t>
  </si>
  <si>
    <t>Kontaminasi + Pallet</t>
  </si>
  <si>
    <t>48; 48</t>
  </si>
  <si>
    <t>30; 35</t>
  </si>
  <si>
    <t>62.5; 73</t>
  </si>
  <si>
    <t>5; 6; 30/6/2026</t>
  </si>
  <si>
    <t>82.2; 84.5; 83.5; 88</t>
  </si>
  <si>
    <t>10; 23/7/2026</t>
  </si>
  <si>
    <t>82.5; 90</t>
  </si>
  <si>
    <t>11; 23/7/2026</t>
  </si>
  <si>
    <t>84.5; 91</t>
  </si>
  <si>
    <t>22,30/6/2026</t>
  </si>
  <si>
    <t>86; 85; 88</t>
  </si>
  <si>
    <t>BA-004/QC</t>
  </si>
  <si>
    <t>VM / Jamur</t>
  </si>
  <si>
    <t>85; 87</t>
  </si>
  <si>
    <t>82; 86; 84</t>
  </si>
  <si>
    <t>19/6; 23/7/2026</t>
  </si>
  <si>
    <t>86; 90</t>
  </si>
  <si>
    <t>82; 89</t>
  </si>
  <si>
    <t>6; 23/7/2026</t>
  </si>
  <si>
    <t>78.5; 93</t>
  </si>
  <si>
    <t>81; 91</t>
  </si>
  <si>
    <t>81.25; 82; 87</t>
  </si>
  <si>
    <t>78;92</t>
  </si>
  <si>
    <t>76.5;87</t>
  </si>
  <si>
    <t>78; 89</t>
  </si>
  <si>
    <t>81; 78</t>
  </si>
  <si>
    <t>79; 91</t>
  </si>
  <si>
    <t>78; 84</t>
  </si>
  <si>
    <t>79; 90</t>
  </si>
  <si>
    <t>35-36</t>
  </si>
  <si>
    <t>P0, PRI</t>
  </si>
  <si>
    <t>TAICHUNG</t>
  </si>
  <si>
    <t>49-50</t>
  </si>
  <si>
    <t>OUTSPEC</t>
  </si>
  <si>
    <t>P0, PRI, Dirt</t>
  </si>
  <si>
    <t>P0, PRI, VM</t>
  </si>
  <si>
    <t>11-12</t>
  </si>
  <si>
    <t>66-67</t>
  </si>
  <si>
    <t xml:space="preserve">Lab, Re-Test, PDI </t>
  </si>
  <si>
    <t>PDI</t>
  </si>
  <si>
    <t>Awal</t>
  </si>
  <si>
    <t>± 0.01</t>
  </si>
  <si>
    <t>maks 0.80</t>
  </si>
  <si>
    <t>± 1</t>
  </si>
  <si>
    <t>min 65</t>
  </si>
  <si>
    <t>Akhir</t>
  </si>
  <si>
    <t>maks 0.57</t>
  </si>
  <si>
    <t>turun 10</t>
  </si>
  <si>
    <t>naik 5</t>
  </si>
  <si>
    <t>Laboratory / Quality Control</t>
  </si>
  <si>
    <t>Quality Control (III)</t>
  </si>
  <si>
    <t>Finish Good / Eksport</t>
  </si>
  <si>
    <t>Result Laboratory (Re-Test / Akhir)</t>
  </si>
  <si>
    <t>Date of Analysis</t>
  </si>
  <si>
    <t>Raw Data / Lab (RoA)</t>
  </si>
  <si>
    <t>Cross-Check (RoA-Awal/re-test)</t>
  </si>
  <si>
    <t>Packing Condition</t>
  </si>
  <si>
    <t>CoQ</t>
  </si>
  <si>
    <t>CoA</t>
  </si>
  <si>
    <t>Test Result</t>
  </si>
  <si>
    <t>Result of Analysis</t>
  </si>
  <si>
    <t>Cert No</t>
  </si>
  <si>
    <t>Date of Analyst (Re-test)</t>
  </si>
  <si>
    <t>BA-001/QC</t>
  </si>
  <si>
    <t>Palet Bale Jamur Dipilih antara G/NG</t>
  </si>
  <si>
    <t>R</t>
  </si>
  <si>
    <t>17 - 25 -Jul-2026</t>
  </si>
  <si>
    <t>17-24th July 2026</t>
  </si>
  <si>
    <t>22nd July - 08th Sept 2026</t>
  </si>
  <si>
    <t>23rd July - 10th Sept 2026</t>
  </si>
  <si>
    <t>22nd July - 14th Sept 2026</t>
  </si>
  <si>
    <t>11th Sept - 16th Sept 2026</t>
  </si>
  <si>
    <t>16th Sept - 18th Sept 2026</t>
  </si>
  <si>
    <t>Month</t>
  </si>
  <si>
    <t>Contract No</t>
  </si>
  <si>
    <t>Shipping Instruction No</t>
  </si>
  <si>
    <t>Destination</t>
  </si>
  <si>
    <t>Unit</t>
  </si>
  <si>
    <t>Weight (Kgs)</t>
  </si>
  <si>
    <t>Closing Date</t>
  </si>
  <si>
    <t>No Produksi (Sample)</t>
  </si>
  <si>
    <t>Date of Production (PBS)</t>
  </si>
  <si>
    <t>Date of Stuffing Site</t>
  </si>
  <si>
    <t>Date of Analysis (Lab)</t>
  </si>
  <si>
    <t>Date of Cert</t>
  </si>
  <si>
    <t>No CoQ</t>
  </si>
  <si>
    <t>No CoA</t>
  </si>
  <si>
    <t>No Test Result</t>
  </si>
  <si>
    <t>Lo No</t>
  </si>
  <si>
    <t>Jenis Doc</t>
  </si>
  <si>
    <t>Cecklist</t>
  </si>
  <si>
    <t>July</t>
  </si>
  <si>
    <t>s/d</t>
  </si>
  <si>
    <t>Sample</t>
  </si>
  <si>
    <t>Dikirim ke Bu Tatyana untuk Buyer</t>
  </si>
  <si>
    <t>Ukko Corporation</t>
  </si>
  <si>
    <t>Taiwan</t>
  </si>
  <si>
    <t>Sample for Ukko Corporation</t>
  </si>
  <si>
    <t>MOP260730</t>
  </si>
  <si>
    <t>CV Mitra Olindo Pratama</t>
  </si>
  <si>
    <t>Wooden</t>
  </si>
  <si>
    <t>Medan</t>
  </si>
  <si>
    <t>Original</t>
  </si>
  <si>
    <t>MOP260731</t>
  </si>
  <si>
    <t>Loose Bale</t>
  </si>
  <si>
    <t>August</t>
  </si>
  <si>
    <t>MOP260803</t>
  </si>
  <si>
    <t>MOP260804</t>
  </si>
  <si>
    <t>Sample for Ukko Corporation (Kirim Ulang)</t>
  </si>
  <si>
    <t>Gajah Tunggal</t>
  </si>
  <si>
    <t>Indonesia</t>
  </si>
  <si>
    <t>Sample for Gajah Tunggal, Tbk</t>
  </si>
  <si>
    <t>MOP260811</t>
  </si>
  <si>
    <t>MOP260810</t>
  </si>
  <si>
    <t>PI260814</t>
  </si>
  <si>
    <t>PT Perdamaian Indonesia</t>
  </si>
  <si>
    <t>Mojokerto</t>
  </si>
  <si>
    <t>Sample CoA</t>
  </si>
  <si>
    <t>Dikirim ke Pak Darmawan untuk Buyer</t>
  </si>
  <si>
    <t>MOP260821</t>
  </si>
  <si>
    <t>Jakarta</t>
  </si>
  <si>
    <t>MOP260828</t>
  </si>
  <si>
    <t>Medan-Jakarta</t>
  </si>
  <si>
    <t>September</t>
  </si>
  <si>
    <t>MOP260901</t>
  </si>
  <si>
    <t>Export</t>
  </si>
  <si>
    <t xml:space="preserve"> </t>
  </si>
  <si>
    <t>26001/SI/PBS/IX/2026</t>
  </si>
  <si>
    <t>Sincercrene International Corp</t>
  </si>
  <si>
    <t>Taichung, Taiwan</t>
  </si>
  <si>
    <t>MOP260917</t>
  </si>
  <si>
    <t>MOP260922</t>
  </si>
  <si>
    <t>MOP260923</t>
  </si>
  <si>
    <t>MOP260924</t>
  </si>
  <si>
    <t>MOP260925</t>
  </si>
  <si>
    <t>Standard</t>
  </si>
  <si>
    <t>Mexhine / Process</t>
  </si>
  <si>
    <t>Product</t>
  </si>
  <si>
    <t>DRC RM</t>
  </si>
  <si>
    <t>Bokar</t>
  </si>
  <si>
    <t>Pre-Breaker (PB)</t>
  </si>
  <si>
    <t>Slab Cutter (SC)</t>
  </si>
  <si>
    <t>Hammer Mill (HM)</t>
  </si>
  <si>
    <t>Shredder 1 (SH1)</t>
  </si>
  <si>
    <t>Creeper 8 (CP8)</t>
  </si>
  <si>
    <t>Specification / Tolerance</t>
  </si>
  <si>
    <r>
      <t>5</t>
    </r>
    <r>
      <rPr>
        <sz val="11"/>
        <color theme="1"/>
        <rFont val="Calibri"/>
        <family val="2"/>
      </rPr>
      <t>±1mm</t>
    </r>
  </si>
  <si>
    <t>maks. 200mm</t>
  </si>
  <si>
    <t>maks. 150mm</t>
  </si>
  <si>
    <t>maks. 100mm</t>
  </si>
  <si>
    <r>
      <t>10</t>
    </r>
    <r>
      <rPr>
        <sz val="11"/>
        <color theme="1"/>
        <rFont val="Calibri"/>
        <family val="2"/>
      </rPr>
      <t>±2mm</t>
    </r>
  </si>
  <si>
    <t>Cacahan SC</t>
  </si>
  <si>
    <t>Cacahan PB</t>
  </si>
  <si>
    <t>Cacahan HM</t>
  </si>
  <si>
    <t>Cacahan SH1</t>
  </si>
  <si>
    <t>Blanket Basah</t>
  </si>
  <si>
    <t>Blanket Kering</t>
  </si>
  <si>
    <t>Shredder 2 (SH2)</t>
  </si>
  <si>
    <t>Cacahan SH2</t>
  </si>
  <si>
    <t>Feeding Station &amp; Trolley</t>
  </si>
  <si>
    <t>Crumb</t>
  </si>
  <si>
    <r>
      <t xml:space="preserve">DRC </t>
    </r>
    <r>
      <rPr>
        <sz val="11"/>
        <color theme="1"/>
        <rFont val="Calibri"/>
        <family val="2"/>
      </rPr>
      <t>≥ 90%</t>
    </r>
    <r>
      <rPr>
        <sz val="11"/>
        <color theme="1"/>
        <rFont val="Calibri"/>
        <family val="2"/>
        <scheme val="minor"/>
      </rPr>
      <t>; &lt; 90%, izin manager/direksi</t>
    </r>
  </si>
  <si>
    <t>DRC Ampaian</t>
  </si>
  <si>
    <t xml:space="preserve">min. 30 (SIR20); min. 30 (SIR10)     </t>
  </si>
  <si>
    <t>maks. 0.16% (SIR20); maks. 0.08% (SIR10)</t>
  </si>
  <si>
    <t xml:space="preserve">min. 40 (SIR20); min. 50 (SIR10)  </t>
  </si>
  <si>
    <t>min. 65 (internal)</t>
  </si>
  <si>
    <t>Cake/Biscuit</t>
  </si>
  <si>
    <t>min. 65 (internal); Buyer Standard</t>
  </si>
  <si>
    <t>Date of Export</t>
  </si>
  <si>
    <t>Ash</t>
  </si>
  <si>
    <t>Bale/Pallet</t>
  </si>
  <si>
    <t>maks. 1.00% (SIR20); maks. 0.75% (SIR10)</t>
  </si>
  <si>
    <t>maks. 0.80% (SIR20); maks. 0.80% (SIR10)</t>
  </si>
  <si>
    <t>maks. 0.60% (SIR20); maks. 0.60% (SIR10)</t>
  </si>
  <si>
    <t>Kontaminasi, WS, Metal (MP/MS), Jamur, Hasil Uji Lab, Pallet, Packing</t>
  </si>
  <si>
    <t>Good / Not Good</t>
  </si>
  <si>
    <t>Alokasi Pengiriman</t>
  </si>
  <si>
    <t>Produk Good</t>
  </si>
  <si>
    <t>No Export</t>
  </si>
  <si>
    <t>Dokumen Export</t>
  </si>
  <si>
    <t>CoQ, CoQ, TR, and RoA, Sampel (request Buyer)</t>
  </si>
  <si>
    <t>Dokumen</t>
  </si>
  <si>
    <t>SIR10</t>
  </si>
  <si>
    <t>SIR20</t>
  </si>
  <si>
    <t>SNI 1903</t>
  </si>
  <si>
    <t>Dirt %</t>
  </si>
  <si>
    <t>Ash %</t>
  </si>
  <si>
    <t>VM %</t>
  </si>
  <si>
    <t>75-88 (dest)</t>
  </si>
  <si>
    <t>70-83 (manuf)</t>
  </si>
  <si>
    <t>Kamma Tyres</t>
  </si>
  <si>
    <t>0.20 (Tar 0.15)</t>
  </si>
  <si>
    <t>1.00 (Tar 0.80)</t>
  </si>
  <si>
    <t>0.80 [cp,cpk &gt; 1.33]</t>
  </si>
  <si>
    <t>30 - 50 mm [cp,cpk &gt; 1.67]</t>
  </si>
  <si>
    <t>55 [cp,cpk &gt; 1.67]</t>
  </si>
  <si>
    <t>73 - 93 (OOO - H3ГШ)</t>
  </si>
  <si>
    <t>73 - 88 (ПAO - HKШ)</t>
  </si>
  <si>
    <t>PT GAJAH TUNGGAL, Tbk</t>
  </si>
  <si>
    <t>Int (PBS)</t>
  </si>
  <si>
    <t>PI261012-01/DO/X/2026</t>
  </si>
  <si>
    <t>MOP261013-01/DO/X/2026</t>
  </si>
  <si>
    <t>October</t>
  </si>
  <si>
    <t>Produk Sesuai</t>
  </si>
  <si>
    <t>Produk Tidak Sesuai</t>
  </si>
  <si>
    <t>Total Produk</t>
  </si>
  <si>
    <t>P0 &gt; 30</t>
  </si>
  <si>
    <t>P0 &lt; 30</t>
  </si>
  <si>
    <t>PRI &gt; 65</t>
  </si>
  <si>
    <t>PRI &lt; 65</t>
  </si>
  <si>
    <t>4-6</t>
  </si>
  <si>
    <t>8-9</t>
  </si>
  <si>
    <t>10-11</t>
  </si>
  <si>
    <t>12-13</t>
  </si>
  <si>
    <t>14-15</t>
  </si>
  <si>
    <t>15-17</t>
  </si>
  <si>
    <t>28-4</t>
  </si>
  <si>
    <t>17-18</t>
  </si>
  <si>
    <t>18-19</t>
  </si>
  <si>
    <t>19-20</t>
  </si>
  <si>
    <t>20-22</t>
  </si>
  <si>
    <t>23-24</t>
  </si>
  <si>
    <t>24-25</t>
  </si>
  <si>
    <t>25-26</t>
  </si>
  <si>
    <t>26-27</t>
  </si>
  <si>
    <t>27-28</t>
  </si>
  <si>
    <t>28-29</t>
  </si>
  <si>
    <t>30-31</t>
  </si>
  <si>
    <t>31-32</t>
  </si>
  <si>
    <t>32-33</t>
  </si>
  <si>
    <t>34-35</t>
  </si>
  <si>
    <t>36-37</t>
  </si>
  <si>
    <t>38-39</t>
  </si>
  <si>
    <t>39-40</t>
  </si>
  <si>
    <t>41-42</t>
  </si>
  <si>
    <t>43-44</t>
  </si>
  <si>
    <t>455-46</t>
  </si>
  <si>
    <t>46-48</t>
  </si>
  <si>
    <t>48-49</t>
  </si>
  <si>
    <t>50-51</t>
  </si>
  <si>
    <t>51-52</t>
  </si>
  <si>
    <t>53-54</t>
  </si>
  <si>
    <t>54-55</t>
  </si>
  <si>
    <t>55-56</t>
  </si>
  <si>
    <t>56-57</t>
  </si>
  <si>
    <t>57-58</t>
  </si>
  <si>
    <t>58-59</t>
  </si>
  <si>
    <t>60-62</t>
  </si>
  <si>
    <t>64-65</t>
  </si>
  <si>
    <t>65-66</t>
  </si>
  <si>
    <t>67-68</t>
  </si>
  <si>
    <t>68-69</t>
  </si>
  <si>
    <t>69-71</t>
  </si>
  <si>
    <t>71-73</t>
  </si>
  <si>
    <t>73-74</t>
  </si>
  <si>
    <t>74-75</t>
  </si>
  <si>
    <t>76-77</t>
  </si>
  <si>
    <t>12-14</t>
  </si>
  <si>
    <t>Total Belum di PDI</t>
  </si>
  <si>
    <t>Total Barang Ready</t>
  </si>
  <si>
    <t>Tanggal Analisa (Terakhir)</t>
  </si>
  <si>
    <t>plastik, tatal, dan benang</t>
  </si>
  <si>
    <t>plastik, tali, dan tatal</t>
  </si>
  <si>
    <t>Standart Ketebalan Cacahan Mesin (mm)</t>
  </si>
  <si>
    <t>SH.1 (5 ± 1 mm)</t>
  </si>
  <si>
    <t>CP8 (10 ± 2 mm)</t>
  </si>
  <si>
    <t>Min-SC</t>
  </si>
  <si>
    <t>Max-SC</t>
  </si>
  <si>
    <t>Min-PB</t>
  </si>
  <si>
    <t>Max-PB</t>
  </si>
  <si>
    <t>Min-HM</t>
  </si>
  <si>
    <t>Max-HM</t>
  </si>
  <si>
    <t>Min-SH.1</t>
  </si>
  <si>
    <t>Max-SH.1</t>
  </si>
  <si>
    <t>Min-CP8</t>
  </si>
  <si>
    <t>Max-CP8</t>
  </si>
  <si>
    <t>PB (Maks 150 mm)</t>
  </si>
  <si>
    <t>SC (Maks 200 mm)</t>
  </si>
  <si>
    <t>HM (Maks 100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</si>
</sst>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#,##0.000"/>
    <numFmt numFmtId="167" formatCode="0.000"/>
    <numFmt numFmtId="168" formatCode="_-* #,##0.0_-;\-* #,##0.0_-;_-* &quot;-&quot;??_-;_-@_-"/>
    <numFmt numFmtId="169" formatCode="0000"/>
    <numFmt numFmtId="170" formatCode="dd\-mmm\-yyyy"/>
    <numFmt numFmtId="171" formatCode="0.0"/>
    <numFmt numFmtId="172" formatCode="#,##0.0"/>
    <numFmt numFmtId="173" formatCode="[$-409]d\-mmm;@"/>
    <numFmt numFmtId="174" formatCode="_(* #,##0.0_);_(* \(#,##0.0\);_(* &quot;-&quot;??_);_(@_)"/>
    <numFmt numFmtId="175" formatCode="0.0000"/>
    <numFmt numFmtId="176" formatCode="[$-409]d\-mmm\-yyyy;@"/>
    <numFmt numFmtId="177" formatCode="000"/>
    <numFmt numFmtId="178" formatCode="00"/>
    <numFmt numFmtId="179" formatCode="\A000"/>
    <numFmt numFmtId="180" formatCode="[$-409]d\-mmm\-yy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Calibri"/>
      <family val="2"/>
    </font>
    <font>
      <sz val="10"/>
      <name val="Wingdings 2"/>
      <family val="1"/>
      <charset val="2"/>
    </font>
    <font>
      <sz val="10"/>
      <color rgb="FFFF0000"/>
      <name val="Calibri"/>
      <family val="2"/>
      <scheme val="minor"/>
    </font>
    <font>
      <b/>
      <sz val="13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C000"/>
      <name val="Calibri"/>
      <family val="2"/>
      <scheme val="minor"/>
    </font>
    <font>
      <sz val="12"/>
      <color rgb="FFFFC000"/>
      <name val="Calibri"/>
      <family val="2"/>
      <scheme val="minor"/>
    </font>
    <font>
      <sz val="11"/>
      <color rgb="FFFFC000"/>
      <name val="Wingdings 2"/>
      <family val="1"/>
      <charset val="2"/>
    </font>
    <font>
      <sz val="11"/>
      <color theme="1"/>
      <name val="Wingdings 2"/>
      <family val="1"/>
      <charset val="2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Wingdings 2"/>
      <family val="1"/>
      <charset val="2"/>
    </font>
    <font>
      <sz val="11"/>
      <color rgb="FFFF1111"/>
      <name val="Calibri"/>
      <family val="2"/>
      <scheme val="minor"/>
    </font>
    <font>
      <sz val="12"/>
      <color rgb="FFFF1111"/>
      <name val="Calibri"/>
      <family val="2"/>
      <scheme val="minor"/>
    </font>
    <font>
      <sz val="11"/>
      <color rgb="FFFF1111"/>
      <name val="Wingdings 2"/>
      <family val="1"/>
      <charset val="2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15" fillId="0" borderId="0"/>
  </cellStyleXfs>
  <cellXfs count="551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vertical="center"/>
    </xf>
    <xf numFmtId="2" fontId="0" fillId="0" borderId="1" xfId="0" applyNumberFormat="1" applyBorder="1"/>
    <xf numFmtId="9" fontId="1" fillId="0" borderId="1" xfId="2" applyFont="1" applyBorder="1"/>
    <xf numFmtId="0" fontId="0" fillId="0" borderId="1" xfId="0" applyBorder="1" applyAlignment="1">
      <alignment vertical="center"/>
    </xf>
    <xf numFmtId="165" fontId="0" fillId="0" borderId="1" xfId="0" applyNumberFormat="1" applyBorder="1"/>
    <xf numFmtId="2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vertical="center"/>
    </xf>
    <xf numFmtId="9" fontId="0" fillId="0" borderId="1" xfId="2" applyFont="1" applyBorder="1"/>
    <xf numFmtId="165" fontId="0" fillId="0" borderId="1" xfId="1" applyNumberFormat="1" applyFont="1" applyBorder="1"/>
    <xf numFmtId="2" fontId="0" fillId="0" borderId="1" xfId="2" applyNumberFormat="1" applyFont="1" applyBorder="1"/>
    <xf numFmtId="0" fontId="0" fillId="0" borderId="1" xfId="0" quotePrefix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3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169" fontId="2" fillId="2" borderId="2" xfId="0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0" fontId="0" fillId="0" borderId="1" xfId="0" applyNumberFormat="1" applyBorder="1" applyAlignment="1">
      <alignment vertical="center"/>
    </xf>
    <xf numFmtId="165" fontId="1" fillId="0" borderId="1" xfId="1" applyNumberFormat="1" applyFont="1" applyBorder="1" applyAlignment="1">
      <alignment vertical="center"/>
    </xf>
    <xf numFmtId="43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167" fontId="1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169" fontId="2" fillId="5" borderId="6" xfId="0" applyNumberFormat="1" applyFont="1" applyFill="1" applyBorder="1" applyAlignment="1">
      <alignment horizontal="center" vertical="center" wrapText="1"/>
    </xf>
    <xf numFmtId="169" fontId="2" fillId="5" borderId="7" xfId="0" applyNumberFormat="1" applyFont="1" applyFill="1" applyBorder="1" applyAlignment="1">
      <alignment horizontal="center" vertical="center" wrapText="1"/>
    </xf>
    <xf numFmtId="169" fontId="2" fillId="5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0" fontId="7" fillId="0" borderId="1" xfId="0" quotePrefix="1" applyNumberFormat="1" applyFont="1" applyBorder="1" applyAlignment="1">
      <alignment horizontal="center" vertical="center"/>
    </xf>
    <xf numFmtId="172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73" fontId="8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5" fontId="9" fillId="0" borderId="1" xfId="1" applyNumberFormat="1" applyFont="1" applyFill="1" applyBorder="1" applyAlignment="1">
      <alignment horizontal="center" vertical="center"/>
    </xf>
    <xf numFmtId="174" fontId="9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74" fontId="4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74" fontId="0" fillId="0" borderId="1" xfId="1" applyNumberFormat="1" applyFont="1" applyFill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0" fontId="8" fillId="0" borderId="0" xfId="0" applyFont="1" applyAlignment="1">
      <alignment vertical="center"/>
    </xf>
    <xf numFmtId="173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vertical="center"/>
    </xf>
    <xf numFmtId="3" fontId="7" fillId="6" borderId="1" xfId="0" applyNumberFormat="1" applyFont="1" applyFill="1" applyBorder="1" applyAlignment="1">
      <alignment horizontal="center" vertical="center"/>
    </xf>
    <xf numFmtId="172" fontId="7" fillId="6" borderId="1" xfId="0" applyNumberFormat="1" applyFont="1" applyFill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74" fontId="9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74" fontId="4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74" fontId="0" fillId="0" borderId="1" xfId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73" fontId="8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70" fontId="8" fillId="0" borderId="1" xfId="0" quotePrefix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5" fontId="7" fillId="0" borderId="1" xfId="0" applyNumberFormat="1" applyFont="1" applyBorder="1" applyAlignment="1">
      <alignment horizontal="center" vertical="center"/>
    </xf>
    <xf numFmtId="172" fontId="10" fillId="0" borderId="1" xfId="0" applyNumberFormat="1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12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2" fillId="0" borderId="0" xfId="0" applyFont="1"/>
    <xf numFmtId="0" fontId="13" fillId="0" borderId="0" xfId="0" applyFont="1"/>
    <xf numFmtId="0" fontId="14" fillId="7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/>
    </xf>
    <xf numFmtId="0" fontId="15" fillId="0" borderId="9" xfId="0" applyFont="1" applyBorder="1" applyAlignment="1">
      <alignment vertical="center"/>
    </xf>
    <xf numFmtId="3" fontId="15" fillId="0" borderId="9" xfId="0" applyNumberFormat="1" applyFont="1" applyBorder="1" applyAlignment="1">
      <alignment vertical="center"/>
    </xf>
    <xf numFmtId="0" fontId="15" fillId="0" borderId="9" xfId="0" applyFont="1" applyBorder="1" applyAlignment="1">
      <alignment vertical="center" wrapText="1"/>
    </xf>
    <xf numFmtId="176" fontId="0" fillId="0" borderId="5" xfId="0" applyNumberFormat="1" applyBorder="1" applyAlignment="1">
      <alignment horizontal="center" wrapText="1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quotePrefix="1" applyNumberForma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6" fontId="0" fillId="0" borderId="5" xfId="0" applyNumberFormat="1" applyBorder="1" applyAlignment="1">
      <alignment vertical="center"/>
    </xf>
    <xf numFmtId="177" fontId="0" fillId="0" borderId="1" xfId="0" applyNumberFormat="1" applyBorder="1" applyAlignment="1">
      <alignment horizontal="center"/>
    </xf>
    <xf numFmtId="177" fontId="0" fillId="0" borderId="11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170" fontId="18" fillId="0" borderId="1" xfId="4" applyNumberFormat="1" applyFont="1" applyBorder="1" applyAlignment="1">
      <alignment horizontal="center"/>
    </xf>
    <xf numFmtId="167" fontId="0" fillId="0" borderId="1" xfId="0" applyNumberFormat="1" applyBorder="1"/>
    <xf numFmtId="171" fontId="0" fillId="0" borderId="1" xfId="0" applyNumberFormat="1" applyBorder="1"/>
    <xf numFmtId="171" fontId="0" fillId="0" borderId="1" xfId="0" applyNumberFormat="1" applyBorder="1" applyAlignment="1">
      <alignment horizontal="center"/>
    </xf>
    <xf numFmtId="0" fontId="0" fillId="0" borderId="1" xfId="0" applyBorder="1"/>
    <xf numFmtId="176" fontId="0" fillId="0" borderId="1" xfId="0" quotePrefix="1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center"/>
    </xf>
    <xf numFmtId="178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177" fontId="0" fillId="0" borderId="1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0" fontId="18" fillId="0" borderId="1" xfId="4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" fontId="0" fillId="0" borderId="6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6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19" fillId="0" borderId="1" xfId="0" applyFont="1" applyBorder="1"/>
    <xf numFmtId="0" fontId="19" fillId="0" borderId="5" xfId="0" applyFont="1" applyBorder="1" applyAlignment="1">
      <alignment horizontal="center"/>
    </xf>
    <xf numFmtId="176" fontId="19" fillId="0" borderId="5" xfId="0" applyNumberFormat="1" applyFont="1" applyBorder="1" applyAlignment="1">
      <alignment horizontal="right" vertical="center"/>
    </xf>
    <xf numFmtId="1" fontId="0" fillId="0" borderId="5" xfId="0" applyNumberForma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70" fontId="20" fillId="0" borderId="11" xfId="4" applyNumberFormat="1" applyFont="1" applyBorder="1" applyAlignment="1">
      <alignment horizontal="center"/>
    </xf>
    <xf numFmtId="170" fontId="20" fillId="0" borderId="14" xfId="4" applyNumberFormat="1" applyFont="1" applyBorder="1" applyAlignment="1">
      <alignment horizontal="center"/>
    </xf>
    <xf numFmtId="170" fontId="20" fillId="0" borderId="15" xfId="4" applyNumberFormat="1" applyFont="1" applyBorder="1" applyAlignment="1">
      <alignment horizontal="center"/>
    </xf>
    <xf numFmtId="177" fontId="19" fillId="0" borderId="5" xfId="0" applyNumberFormat="1" applyFont="1" applyBorder="1" applyAlignment="1">
      <alignment horizontal="center"/>
    </xf>
    <xf numFmtId="169" fontId="19" fillId="0" borderId="5" xfId="0" applyNumberFormat="1" applyFont="1" applyBorder="1" applyAlignment="1">
      <alignment horizontal="center"/>
    </xf>
    <xf numFmtId="167" fontId="19" fillId="0" borderId="5" xfId="0" applyNumberFormat="1" applyFont="1" applyBorder="1"/>
    <xf numFmtId="2" fontId="19" fillId="0" borderId="5" xfId="0" applyNumberFormat="1" applyFont="1" applyBorder="1"/>
    <xf numFmtId="171" fontId="19" fillId="0" borderId="5" xfId="0" applyNumberFormat="1" applyFont="1" applyBorder="1"/>
    <xf numFmtId="171" fontId="19" fillId="0" borderId="5" xfId="0" applyNumberFormat="1" applyFont="1" applyBorder="1" applyAlignment="1">
      <alignment horizontal="center"/>
    </xf>
    <xf numFmtId="0" fontId="19" fillId="0" borderId="5" xfId="0" applyFont="1" applyBorder="1"/>
    <xf numFmtId="176" fontId="19" fillId="0" borderId="5" xfId="0" applyNumberFormat="1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/>
    </xf>
    <xf numFmtId="169" fontId="19" fillId="0" borderId="1" xfId="0" applyNumberFormat="1" applyFont="1" applyBorder="1" applyAlignment="1">
      <alignment horizontal="center"/>
    </xf>
    <xf numFmtId="167" fontId="19" fillId="0" borderId="1" xfId="0" applyNumberFormat="1" applyFont="1" applyBorder="1"/>
    <xf numFmtId="2" fontId="19" fillId="0" borderId="1" xfId="0" applyNumberFormat="1" applyFont="1" applyBorder="1"/>
    <xf numFmtId="171" fontId="19" fillId="0" borderId="1" xfId="0" applyNumberFormat="1" applyFont="1" applyBorder="1"/>
    <xf numFmtId="171" fontId="19" fillId="0" borderId="1" xfId="0" applyNumberFormat="1" applyFont="1" applyBorder="1" applyAlignment="1">
      <alignment horizontal="center" vertical="center"/>
    </xf>
    <xf numFmtId="176" fontId="19" fillId="0" borderId="5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76" fontId="0" fillId="0" borderId="5" xfId="0" applyNumberFormat="1" applyBorder="1"/>
    <xf numFmtId="170" fontId="19" fillId="0" borderId="1" xfId="0" applyNumberFormat="1" applyFont="1" applyBorder="1"/>
    <xf numFmtId="177" fontId="19" fillId="0" borderId="1" xfId="0" applyNumberFormat="1" applyFont="1" applyBorder="1"/>
    <xf numFmtId="0" fontId="21" fillId="0" borderId="1" xfId="0" applyFont="1" applyBorder="1"/>
    <xf numFmtId="179" fontId="19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8" borderId="1" xfId="0" applyFill="1" applyBorder="1"/>
    <xf numFmtId="0" fontId="0" fillId="8" borderId="1" xfId="0" quotePrefix="1" applyFill="1" applyBorder="1" applyAlignment="1">
      <alignment horizontal="center" vertical="center"/>
    </xf>
    <xf numFmtId="176" fontId="0" fillId="8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170" fontId="18" fillId="8" borderId="6" xfId="4" applyNumberFormat="1" applyFont="1" applyFill="1" applyBorder="1" applyAlignment="1">
      <alignment horizontal="center"/>
    </xf>
    <xf numFmtId="170" fontId="18" fillId="8" borderId="7" xfId="4" applyNumberFormat="1" applyFont="1" applyFill="1" applyBorder="1" applyAlignment="1">
      <alignment horizontal="center"/>
    </xf>
    <xf numFmtId="170" fontId="18" fillId="8" borderId="8" xfId="4" applyNumberFormat="1" applyFont="1" applyFill="1" applyBorder="1" applyAlignment="1">
      <alignment horizontal="center"/>
    </xf>
    <xf numFmtId="169" fontId="0" fillId="8" borderId="1" xfId="0" applyNumberFormat="1" applyFill="1" applyBorder="1" applyAlignment="1">
      <alignment horizontal="center"/>
    </xf>
    <xf numFmtId="167" fontId="0" fillId="8" borderId="1" xfId="0" applyNumberFormat="1" applyFill="1" applyBorder="1"/>
    <xf numFmtId="2" fontId="0" fillId="8" borderId="1" xfId="0" applyNumberFormat="1" applyFill="1" applyBorder="1"/>
    <xf numFmtId="171" fontId="0" fillId="8" borderId="1" xfId="0" applyNumberFormat="1" applyFill="1" applyBorder="1"/>
    <xf numFmtId="171" fontId="0" fillId="8" borderId="1" xfId="0" applyNumberFormat="1" applyFill="1" applyBorder="1" applyAlignment="1">
      <alignment horizontal="center"/>
    </xf>
    <xf numFmtId="0" fontId="0" fillId="8" borderId="5" xfId="0" applyFill="1" applyBorder="1"/>
    <xf numFmtId="176" fontId="0" fillId="8" borderId="5" xfId="0" applyNumberFormat="1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/>
    </xf>
    <xf numFmtId="171" fontId="23" fillId="8" borderId="1" xfId="0" applyNumberFormat="1" applyFont="1" applyFill="1" applyBorder="1" applyAlignment="1">
      <alignment horizontal="center" vertical="center"/>
    </xf>
    <xf numFmtId="176" fontId="0" fillId="8" borderId="5" xfId="0" applyNumberFormat="1" applyFill="1" applyBorder="1" applyAlignment="1">
      <alignment horizontal="center"/>
    </xf>
    <xf numFmtId="176" fontId="0" fillId="8" borderId="5" xfId="0" applyNumberFormat="1" applyFill="1" applyBorder="1"/>
    <xf numFmtId="0" fontId="0" fillId="8" borderId="1" xfId="0" applyFill="1" applyBorder="1" applyAlignment="1">
      <alignment horizontal="center"/>
    </xf>
    <xf numFmtId="170" fontId="0" fillId="8" borderId="1" xfId="0" applyNumberFormat="1" applyFill="1" applyBorder="1"/>
    <xf numFmtId="177" fontId="0" fillId="8" borderId="1" xfId="0" applyNumberFormat="1" applyFill="1" applyBorder="1"/>
    <xf numFmtId="0" fontId="22" fillId="8" borderId="1" xfId="0" applyFont="1" applyFill="1" applyBorder="1"/>
    <xf numFmtId="179" fontId="0" fillId="8" borderId="1" xfId="0" applyNumberFormat="1" applyFill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right" vertical="center"/>
    </xf>
    <xf numFmtId="170" fontId="0" fillId="8" borderId="1" xfId="0" applyNumberForma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/>
    </xf>
    <xf numFmtId="170" fontId="24" fillId="0" borderId="6" xfId="4" applyNumberFormat="1" applyFont="1" applyBorder="1" applyAlignment="1">
      <alignment horizontal="center"/>
    </xf>
    <xf numFmtId="170" fontId="24" fillId="0" borderId="7" xfId="4" applyNumberFormat="1" applyFont="1" applyBorder="1" applyAlignment="1">
      <alignment horizontal="center"/>
    </xf>
    <xf numFmtId="170" fontId="24" fillId="0" borderId="8" xfId="4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/>
    <xf numFmtId="2" fontId="4" fillId="0" borderId="1" xfId="0" applyNumberFormat="1" applyFont="1" applyBorder="1"/>
    <xf numFmtId="171" fontId="4" fillId="0" borderId="1" xfId="0" applyNumberFormat="1" applyFont="1" applyBorder="1"/>
    <xf numFmtId="171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76" fontId="4" fillId="0" borderId="5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176" fontId="4" fillId="0" borderId="5" xfId="0" applyNumberFormat="1" applyFont="1" applyBorder="1"/>
    <xf numFmtId="0" fontId="4" fillId="0" borderId="5" xfId="0" applyFont="1" applyBorder="1"/>
    <xf numFmtId="170" fontId="4" fillId="0" borderId="1" xfId="0" applyNumberFormat="1" applyFont="1" applyBorder="1"/>
    <xf numFmtId="177" fontId="4" fillId="0" borderId="1" xfId="0" applyNumberFormat="1" applyFont="1" applyBorder="1"/>
    <xf numFmtId="0" fontId="25" fillId="0" borderId="1" xfId="0" applyFont="1" applyBorder="1"/>
    <xf numFmtId="179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8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170" fontId="4" fillId="8" borderId="1" xfId="0" applyNumberFormat="1" applyFont="1" applyFill="1" applyBorder="1" applyAlignment="1">
      <alignment horizontal="right" vertical="center"/>
    </xf>
    <xf numFmtId="170" fontId="24" fillId="8" borderId="6" xfId="4" applyNumberFormat="1" applyFont="1" applyFill="1" applyBorder="1" applyAlignment="1">
      <alignment horizontal="center"/>
    </xf>
    <xf numFmtId="170" fontId="24" fillId="8" borderId="7" xfId="4" applyNumberFormat="1" applyFont="1" applyFill="1" applyBorder="1" applyAlignment="1">
      <alignment horizontal="center"/>
    </xf>
    <xf numFmtId="170" fontId="24" fillId="8" borderId="8" xfId="4" applyNumberFormat="1" applyFont="1" applyFill="1" applyBorder="1" applyAlignment="1">
      <alignment horizontal="center"/>
    </xf>
    <xf numFmtId="169" fontId="4" fillId="8" borderId="1" xfId="0" applyNumberFormat="1" applyFont="1" applyFill="1" applyBorder="1" applyAlignment="1">
      <alignment horizontal="center"/>
    </xf>
    <xf numFmtId="167" fontId="4" fillId="8" borderId="1" xfId="0" applyNumberFormat="1" applyFont="1" applyFill="1" applyBorder="1"/>
    <xf numFmtId="2" fontId="4" fillId="8" borderId="1" xfId="0" applyNumberFormat="1" applyFont="1" applyFill="1" applyBorder="1"/>
    <xf numFmtId="171" fontId="4" fillId="8" borderId="1" xfId="0" applyNumberFormat="1" applyFont="1" applyFill="1" applyBorder="1"/>
    <xf numFmtId="171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/>
    <xf numFmtId="176" fontId="4" fillId="8" borderId="5" xfId="0" applyNumberFormat="1" applyFont="1" applyFill="1" applyBorder="1" applyAlignment="1">
      <alignment horizontal="center" vertical="center"/>
    </xf>
    <xf numFmtId="177" fontId="4" fillId="8" borderId="1" xfId="0" applyNumberFormat="1" applyFont="1" applyFill="1" applyBorder="1" applyAlignment="1">
      <alignment horizontal="center"/>
    </xf>
    <xf numFmtId="171" fontId="4" fillId="8" borderId="1" xfId="0" applyNumberFormat="1" applyFont="1" applyFill="1" applyBorder="1" applyAlignment="1">
      <alignment horizontal="center" vertical="center"/>
    </xf>
    <xf numFmtId="176" fontId="4" fillId="8" borderId="5" xfId="0" applyNumberFormat="1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176" fontId="4" fillId="8" borderId="5" xfId="0" applyNumberFormat="1" applyFont="1" applyFill="1" applyBorder="1"/>
    <xf numFmtId="0" fontId="4" fillId="8" borderId="5" xfId="0" applyFont="1" applyFill="1" applyBorder="1"/>
    <xf numFmtId="170" fontId="4" fillId="8" borderId="1" xfId="0" applyNumberFormat="1" applyFont="1" applyFill="1" applyBorder="1"/>
    <xf numFmtId="177" fontId="4" fillId="8" borderId="1" xfId="0" applyNumberFormat="1" applyFont="1" applyFill="1" applyBorder="1"/>
    <xf numFmtId="0" fontId="25" fillId="8" borderId="1" xfId="0" applyFont="1" applyFill="1" applyBorder="1"/>
    <xf numFmtId="179" fontId="4" fillId="8" borderId="1" xfId="0" applyNumberFormat="1" applyFont="1" applyFill="1" applyBorder="1" applyAlignment="1">
      <alignment horizontal="center"/>
    </xf>
    <xf numFmtId="0" fontId="26" fillId="8" borderId="1" xfId="0" applyFont="1" applyFill="1" applyBorder="1" applyAlignment="1">
      <alignment horizontal="right" vertical="center"/>
    </xf>
    <xf numFmtId="0" fontId="26" fillId="8" borderId="1" xfId="0" applyFont="1" applyFill="1" applyBorder="1" applyAlignment="1">
      <alignment horizontal="center" vertical="center"/>
    </xf>
    <xf numFmtId="170" fontId="26" fillId="8" borderId="1" xfId="0" applyNumberFormat="1" applyFont="1" applyFill="1" applyBorder="1" applyAlignment="1">
      <alignment horizontal="right" vertical="center"/>
    </xf>
    <xf numFmtId="170" fontId="27" fillId="8" borderId="6" xfId="4" applyNumberFormat="1" applyFont="1" applyFill="1" applyBorder="1" applyAlignment="1">
      <alignment horizontal="center"/>
    </xf>
    <xf numFmtId="170" fontId="27" fillId="8" borderId="7" xfId="4" applyNumberFormat="1" applyFont="1" applyFill="1" applyBorder="1" applyAlignment="1">
      <alignment horizontal="center"/>
    </xf>
    <xf numFmtId="170" fontId="27" fillId="8" borderId="8" xfId="4" applyNumberFormat="1" applyFont="1" applyFill="1" applyBorder="1" applyAlignment="1">
      <alignment horizontal="center"/>
    </xf>
    <xf numFmtId="169" fontId="26" fillId="8" borderId="1" xfId="0" applyNumberFormat="1" applyFont="1" applyFill="1" applyBorder="1" applyAlignment="1">
      <alignment horizontal="center"/>
    </xf>
    <xf numFmtId="167" fontId="26" fillId="8" borderId="1" xfId="0" applyNumberFormat="1" applyFont="1" applyFill="1" applyBorder="1"/>
    <xf numFmtId="2" fontId="26" fillId="8" borderId="1" xfId="0" applyNumberFormat="1" applyFont="1" applyFill="1" applyBorder="1"/>
    <xf numFmtId="171" fontId="26" fillId="8" borderId="1" xfId="0" applyNumberFormat="1" applyFont="1" applyFill="1" applyBorder="1"/>
    <xf numFmtId="171" fontId="26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76" fontId="26" fillId="8" borderId="5" xfId="0" applyNumberFormat="1" applyFont="1" applyFill="1" applyBorder="1" applyAlignment="1">
      <alignment horizontal="center" vertical="center"/>
    </xf>
    <xf numFmtId="177" fontId="26" fillId="8" borderId="1" xfId="0" applyNumberFormat="1" applyFont="1" applyFill="1" applyBorder="1" applyAlignment="1">
      <alignment horizontal="center"/>
    </xf>
    <xf numFmtId="176" fontId="26" fillId="8" borderId="5" xfId="0" applyNumberFormat="1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176" fontId="26" fillId="8" borderId="5" xfId="0" applyNumberFormat="1" applyFont="1" applyFill="1" applyBorder="1"/>
    <xf numFmtId="0" fontId="26" fillId="8" borderId="5" xfId="0" applyFont="1" applyFill="1" applyBorder="1"/>
    <xf numFmtId="170" fontId="26" fillId="8" borderId="1" xfId="0" applyNumberFormat="1" applyFont="1" applyFill="1" applyBorder="1"/>
    <xf numFmtId="177" fontId="26" fillId="8" borderId="1" xfId="0" applyNumberFormat="1" applyFont="1" applyFill="1" applyBorder="1"/>
    <xf numFmtId="0" fontId="28" fillId="8" borderId="1" xfId="0" applyFont="1" applyFill="1" applyBorder="1"/>
    <xf numFmtId="179" fontId="26" fillId="8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76" fontId="0" fillId="8" borderId="1" xfId="0" applyNumberFormat="1" applyFill="1" applyBorder="1" applyAlignment="1">
      <alignment horizontal="center"/>
    </xf>
    <xf numFmtId="2" fontId="23" fillId="8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/>
    </xf>
    <xf numFmtId="176" fontId="0" fillId="8" borderId="1" xfId="0" applyNumberFormat="1" applyFill="1" applyBorder="1" applyAlignment="1">
      <alignment horizontal="center" vertical="center"/>
    </xf>
    <xf numFmtId="170" fontId="0" fillId="0" borderId="1" xfId="0" applyNumberFormat="1" applyBorder="1" applyAlignment="1">
      <alignment horizontal="right" vertical="center"/>
    </xf>
    <xf numFmtId="170" fontId="18" fillId="0" borderId="6" xfId="4" applyNumberFormat="1" applyFont="1" applyBorder="1" applyAlignment="1">
      <alignment horizontal="center"/>
    </xf>
    <xf numFmtId="170" fontId="18" fillId="0" borderId="7" xfId="4" applyNumberFormat="1" applyFont="1" applyBorder="1" applyAlignment="1">
      <alignment horizontal="center"/>
    </xf>
    <xf numFmtId="170" fontId="18" fillId="0" borderId="8" xfId="4" applyNumberFormat="1" applyFont="1" applyBorder="1" applyAlignment="1">
      <alignment horizontal="center"/>
    </xf>
    <xf numFmtId="171" fontId="23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0" fillId="0" borderId="5" xfId="0" applyBorder="1"/>
    <xf numFmtId="169" fontId="0" fillId="0" borderId="1" xfId="0" quotePrefix="1" applyNumberFormat="1" applyBorder="1" applyAlignment="1">
      <alignment horizontal="center"/>
    </xf>
    <xf numFmtId="170" fontId="0" fillId="0" borderId="1" xfId="0" applyNumberFormat="1" applyBorder="1"/>
    <xf numFmtId="177" fontId="0" fillId="0" borderId="1" xfId="0" applyNumberFormat="1" applyBorder="1"/>
    <xf numFmtId="0" fontId="22" fillId="0" borderId="1" xfId="0" applyFont="1" applyBorder="1"/>
    <xf numFmtId="179" fontId="0" fillId="0" borderId="1" xfId="0" applyNumberFormat="1" applyBorder="1" applyAlignment="1">
      <alignment horizontal="center"/>
    </xf>
    <xf numFmtId="176" fontId="4" fillId="8" borderId="1" xfId="0" applyNumberFormat="1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/>
    </xf>
    <xf numFmtId="0" fontId="19" fillId="8" borderId="1" xfId="0" applyFont="1" applyFill="1" applyBorder="1" applyAlignment="1">
      <alignment horizontal="right" vertical="center"/>
    </xf>
    <xf numFmtId="0" fontId="19" fillId="8" borderId="1" xfId="0" applyFont="1" applyFill="1" applyBorder="1" applyAlignment="1">
      <alignment horizontal="center" vertical="center"/>
    </xf>
    <xf numFmtId="170" fontId="19" fillId="8" borderId="1" xfId="0" applyNumberFormat="1" applyFont="1" applyFill="1" applyBorder="1" applyAlignment="1">
      <alignment horizontal="right" vertical="center"/>
    </xf>
    <xf numFmtId="170" fontId="20" fillId="8" borderId="6" xfId="4" applyNumberFormat="1" applyFont="1" applyFill="1" applyBorder="1" applyAlignment="1">
      <alignment horizontal="center"/>
    </xf>
    <xf numFmtId="170" fontId="20" fillId="8" borderId="7" xfId="4" applyNumberFormat="1" applyFont="1" applyFill="1" applyBorder="1" applyAlignment="1">
      <alignment horizontal="center"/>
    </xf>
    <xf numFmtId="170" fontId="20" fillId="8" borderId="8" xfId="4" applyNumberFormat="1" applyFont="1" applyFill="1" applyBorder="1" applyAlignment="1">
      <alignment horizontal="center"/>
    </xf>
    <xf numFmtId="169" fontId="19" fillId="8" borderId="1" xfId="0" applyNumberFormat="1" applyFont="1" applyFill="1" applyBorder="1" applyAlignment="1">
      <alignment horizontal="center"/>
    </xf>
    <xf numFmtId="167" fontId="19" fillId="8" borderId="1" xfId="0" applyNumberFormat="1" applyFont="1" applyFill="1" applyBorder="1"/>
    <xf numFmtId="2" fontId="19" fillId="8" borderId="1" xfId="0" applyNumberFormat="1" applyFont="1" applyFill="1" applyBorder="1"/>
    <xf numFmtId="171" fontId="19" fillId="8" borderId="1" xfId="0" applyNumberFormat="1" applyFont="1" applyFill="1" applyBorder="1"/>
    <xf numFmtId="171" fontId="19" fillId="8" borderId="1" xfId="0" applyNumberFormat="1" applyFont="1" applyFill="1" applyBorder="1" applyAlignment="1">
      <alignment horizontal="center"/>
    </xf>
    <xf numFmtId="0" fontId="19" fillId="8" borderId="1" xfId="0" applyFont="1" applyFill="1" applyBorder="1"/>
    <xf numFmtId="176" fontId="19" fillId="8" borderId="1" xfId="0" applyNumberFormat="1" applyFont="1" applyFill="1" applyBorder="1" applyAlignment="1">
      <alignment horizontal="center" vertical="center"/>
    </xf>
    <xf numFmtId="177" fontId="19" fillId="8" borderId="1" xfId="0" applyNumberFormat="1" applyFont="1" applyFill="1" applyBorder="1" applyAlignment="1">
      <alignment horizontal="center"/>
    </xf>
    <xf numFmtId="176" fontId="19" fillId="8" borderId="1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176" fontId="19" fillId="8" borderId="5" xfId="0" applyNumberFormat="1" applyFont="1" applyFill="1" applyBorder="1"/>
    <xf numFmtId="0" fontId="19" fillId="8" borderId="5" xfId="0" applyFont="1" applyFill="1" applyBorder="1"/>
    <xf numFmtId="170" fontId="19" fillId="8" borderId="1" xfId="0" applyNumberFormat="1" applyFont="1" applyFill="1" applyBorder="1"/>
    <xf numFmtId="177" fontId="19" fillId="8" borderId="1" xfId="0" applyNumberFormat="1" applyFont="1" applyFill="1" applyBorder="1"/>
    <xf numFmtId="0" fontId="21" fillId="8" borderId="1" xfId="0" applyFont="1" applyFill="1" applyBorder="1"/>
    <xf numFmtId="179" fontId="19" fillId="8" borderId="1" xfId="0" applyNumberFormat="1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 vertical="center"/>
    </xf>
    <xf numFmtId="171" fontId="19" fillId="8" borderId="1" xfId="0" applyNumberFormat="1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26" fillId="8" borderId="1" xfId="0" applyNumberFormat="1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vertical="center"/>
    </xf>
    <xf numFmtId="176" fontId="26" fillId="8" borderId="1" xfId="0" applyNumberFormat="1" applyFont="1" applyFill="1" applyBorder="1" applyAlignment="1">
      <alignment horizontal="center" vertical="center"/>
    </xf>
    <xf numFmtId="176" fontId="0" fillId="8" borderId="1" xfId="0" applyNumberFormat="1" applyFill="1" applyBorder="1"/>
    <xf numFmtId="0" fontId="0" fillId="9" borderId="0" xfId="0" applyFill="1"/>
    <xf numFmtId="0" fontId="0" fillId="8" borderId="1" xfId="0" quotePrefix="1" applyFill="1" applyBorder="1" applyAlignment="1">
      <alignment horizontal="right"/>
    </xf>
    <xf numFmtId="180" fontId="0" fillId="8" borderId="1" xfId="0" applyNumberFormat="1" applyFill="1" applyBorder="1"/>
    <xf numFmtId="180" fontId="0" fillId="8" borderId="1" xfId="0" applyNumberFormat="1" applyFill="1" applyBorder="1" applyAlignment="1">
      <alignment horizontal="center"/>
    </xf>
    <xf numFmtId="170" fontId="18" fillId="8" borderId="8" xfId="4" applyNumberFormat="1" applyFont="1" applyFill="1" applyBorder="1" applyAlignment="1">
      <alignment horizontal="right"/>
    </xf>
    <xf numFmtId="170" fontId="18" fillId="0" borderId="8" xfId="4" applyNumberFormat="1" applyFont="1" applyBorder="1" applyAlignment="1">
      <alignment horizontal="right"/>
    </xf>
    <xf numFmtId="170" fontId="18" fillId="8" borderId="8" xfId="4" applyNumberFormat="1" applyFont="1" applyFill="1" applyBorder="1" applyAlignment="1">
      <alignment horizontal="right" vertical="center"/>
    </xf>
    <xf numFmtId="170" fontId="18" fillId="0" borderId="8" xfId="4" applyNumberFormat="1" applyFont="1" applyBorder="1" applyAlignment="1">
      <alignment horizontal="right" vertical="center"/>
    </xf>
    <xf numFmtId="180" fontId="0" fillId="0" borderId="1" xfId="0" applyNumberFormat="1" applyBorder="1"/>
    <xf numFmtId="176" fontId="0" fillId="8" borderId="1" xfId="0" applyNumberFormat="1" applyFill="1" applyBorder="1" applyAlignment="1">
      <alignment horizontal="right"/>
    </xf>
    <xf numFmtId="2" fontId="3" fillId="8" borderId="1" xfId="0" applyNumberFormat="1" applyFont="1" applyFill="1" applyBorder="1"/>
    <xf numFmtId="171" fontId="3" fillId="8" borderId="1" xfId="0" applyNumberFormat="1" applyFont="1" applyFill="1" applyBorder="1"/>
    <xf numFmtId="2" fontId="23" fillId="8" borderId="1" xfId="0" applyNumberFormat="1" applyFont="1" applyFill="1" applyBorder="1"/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9" fontId="0" fillId="8" borderId="8" xfId="0" applyNumberFormat="1" applyFill="1" applyBorder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9" fontId="0" fillId="0" borderId="8" xfId="0" applyNumberFormat="1" applyBorder="1" applyAlignment="1">
      <alignment horizontal="center"/>
    </xf>
    <xf numFmtId="171" fontId="3" fillId="0" borderId="1" xfId="0" applyNumberFormat="1" applyFont="1" applyBorder="1"/>
    <xf numFmtId="2" fontId="23" fillId="0" borderId="1" xfId="0" applyNumberFormat="1" applyFont="1" applyBorder="1"/>
    <xf numFmtId="2" fontId="3" fillId="0" borderId="1" xfId="0" applyNumberFormat="1" applyFont="1" applyBorder="1"/>
    <xf numFmtId="0" fontId="0" fillId="0" borderId="1" xfId="0" quotePrefix="1" applyBorder="1"/>
    <xf numFmtId="170" fontId="29" fillId="0" borderId="1" xfId="0" applyNumberFormat="1" applyFont="1" applyBorder="1" applyAlignment="1">
      <alignment vertical="center"/>
    </xf>
    <xf numFmtId="0" fontId="3" fillId="0" borderId="1" xfId="0" applyFont="1" applyBorder="1"/>
    <xf numFmtId="176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177" fontId="0" fillId="0" borderId="0" xfId="0" applyNumberFormat="1"/>
    <xf numFmtId="0" fontId="22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167" fontId="0" fillId="0" borderId="0" xfId="0" applyNumberFormat="1"/>
    <xf numFmtId="2" fontId="0" fillId="0" borderId="0" xfId="0" applyNumberFormat="1"/>
    <xf numFmtId="171" fontId="0" fillId="0" borderId="0" xfId="0" applyNumberFormat="1"/>
    <xf numFmtId="171" fontId="0" fillId="0" borderId="0" xfId="0" applyNumberFormat="1" applyAlignment="1">
      <alignment horizontal="right"/>
    </xf>
    <xf numFmtId="171" fontId="0" fillId="0" borderId="0" xfId="0" applyNumberFormat="1" applyAlignment="1">
      <alignment horizontal="center"/>
    </xf>
    <xf numFmtId="0" fontId="31" fillId="0" borderId="0" xfId="0" applyFont="1" applyAlignment="1">
      <alignment horizontal="center"/>
    </xf>
    <xf numFmtId="171" fontId="0" fillId="0" borderId="0" xfId="0" quotePrefix="1" applyNumberFormat="1" applyAlignment="1">
      <alignment horizontal="right"/>
    </xf>
    <xf numFmtId="171" fontId="0" fillId="0" borderId="0" xfId="0" quotePrefix="1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77" fontId="0" fillId="0" borderId="5" xfId="0" applyNumberForma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right" vertical="center"/>
    </xf>
    <xf numFmtId="170" fontId="19" fillId="0" borderId="1" xfId="0" applyNumberFormat="1" applyFont="1" applyBorder="1" applyAlignment="1">
      <alignment vertical="center"/>
    </xf>
    <xf numFmtId="170" fontId="20" fillId="0" borderId="8" xfId="4" applyNumberFormat="1" applyFont="1" applyBorder="1" applyAlignment="1">
      <alignment horizontal="center"/>
    </xf>
    <xf numFmtId="171" fontId="19" fillId="0" borderId="1" xfId="0" applyNumberFormat="1" applyFon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70" fontId="4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right" vertical="center"/>
    </xf>
    <xf numFmtId="170" fontId="0" fillId="9" borderId="1" xfId="0" applyNumberFormat="1" applyFill="1" applyBorder="1" applyAlignment="1">
      <alignment vertical="center"/>
    </xf>
    <xf numFmtId="170" fontId="18" fillId="9" borderId="8" xfId="4" applyNumberFormat="1" applyFont="1" applyFill="1" applyBorder="1" applyAlignment="1">
      <alignment horizontal="center"/>
    </xf>
    <xf numFmtId="177" fontId="0" fillId="9" borderId="1" xfId="0" applyNumberFormat="1" applyFill="1" applyBorder="1" applyAlignment="1">
      <alignment horizontal="center"/>
    </xf>
    <xf numFmtId="169" fontId="0" fillId="9" borderId="1" xfId="0" applyNumberFormat="1" applyFill="1" applyBorder="1" applyAlignment="1">
      <alignment horizontal="center"/>
    </xf>
    <xf numFmtId="167" fontId="0" fillId="9" borderId="1" xfId="0" applyNumberFormat="1" applyFill="1" applyBorder="1"/>
    <xf numFmtId="2" fontId="0" fillId="9" borderId="1" xfId="0" applyNumberFormat="1" applyFill="1" applyBorder="1"/>
    <xf numFmtId="171" fontId="0" fillId="9" borderId="1" xfId="0" applyNumberFormat="1" applyFill="1" applyBorder="1"/>
    <xf numFmtId="171" fontId="0" fillId="9" borderId="1" xfId="0" applyNumberFormat="1" applyFill="1" applyBorder="1" applyAlignment="1">
      <alignment horizontal="center"/>
    </xf>
    <xf numFmtId="2" fontId="23" fillId="6" borderId="1" xfId="0" applyNumberFormat="1" applyFont="1" applyFill="1" applyBorder="1" applyAlignment="1">
      <alignment horizontal="center" vertical="center"/>
    </xf>
    <xf numFmtId="171" fontId="23" fillId="6" borderId="6" xfId="0" applyNumberFormat="1" applyFont="1" applyFill="1" applyBorder="1" applyAlignment="1">
      <alignment horizontal="center" vertical="center"/>
    </xf>
    <xf numFmtId="171" fontId="0" fillId="6" borderId="6" xfId="0" applyNumberFormat="1" applyFill="1" applyBorder="1" applyAlignment="1">
      <alignment horizontal="center" vertical="center"/>
    </xf>
    <xf numFmtId="171" fontId="23" fillId="10" borderId="1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165" fontId="0" fillId="11" borderId="1" xfId="1" applyNumberFormat="1" applyFont="1" applyFill="1" applyBorder="1" applyAlignment="1">
      <alignment horizontal="right" vertical="center"/>
    </xf>
    <xf numFmtId="176" fontId="0" fillId="11" borderId="1" xfId="0" applyNumberFormat="1" applyFill="1" applyBorder="1" applyAlignment="1">
      <alignment horizontal="center" vertical="center"/>
    </xf>
    <xf numFmtId="165" fontId="0" fillId="11" borderId="1" xfId="1" applyNumberFormat="1" applyFont="1" applyFill="1" applyBorder="1" applyAlignment="1">
      <alignment horizontal="center" vertical="center"/>
    </xf>
    <xf numFmtId="179" fontId="0" fillId="11" borderId="1" xfId="0" applyNumberFormat="1" applyFill="1" applyBorder="1" applyAlignment="1">
      <alignment horizontal="center" vertical="center"/>
    </xf>
    <xf numFmtId="169" fontId="0" fillId="11" borderId="1" xfId="0" applyNumberFormat="1" applyFill="1" applyBorder="1" applyAlignment="1">
      <alignment horizontal="center" vertical="center"/>
    </xf>
    <xf numFmtId="177" fontId="0" fillId="11" borderId="1" xfId="0" applyNumberForma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65" fontId="0" fillId="12" borderId="1" xfId="1" applyNumberFormat="1" applyFon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center" vertical="center"/>
    </xf>
    <xf numFmtId="165" fontId="0" fillId="12" borderId="1" xfId="1" applyNumberFormat="1" applyFont="1" applyFill="1" applyBorder="1" applyAlignment="1">
      <alignment horizontal="center" vertical="center"/>
    </xf>
    <xf numFmtId="179" fontId="0" fillId="12" borderId="1" xfId="0" applyNumberFormat="1" applyFill="1" applyBorder="1" applyAlignment="1">
      <alignment horizontal="center" vertical="center"/>
    </xf>
    <xf numFmtId="169" fontId="0" fillId="12" borderId="1" xfId="0" applyNumberFormat="1" applyFill="1" applyBorder="1" applyAlignment="1">
      <alignment horizontal="center" vertical="center"/>
    </xf>
    <xf numFmtId="177" fontId="0" fillId="12" borderId="1" xfId="0" applyNumberForma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170" fontId="0" fillId="12" borderId="1" xfId="0" applyNumberFormat="1" applyFill="1" applyBorder="1"/>
    <xf numFmtId="165" fontId="0" fillId="0" borderId="1" xfId="1" applyNumberFormat="1" applyFont="1" applyBorder="1" applyAlignment="1">
      <alignment horizontal="right" vertical="center"/>
    </xf>
    <xf numFmtId="169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0" fontId="18" fillId="0" borderId="1" xfId="5" applyNumberFormat="1" applyFont="1" applyBorder="1" applyAlignment="1">
      <alignment horizontal="right"/>
    </xf>
    <xf numFmtId="170" fontId="23" fillId="0" borderId="1" xfId="5" applyNumberFormat="1" applyFont="1" applyBorder="1" applyAlignment="1">
      <alignment horizontal="right"/>
    </xf>
    <xf numFmtId="170" fontId="0" fillId="0" borderId="0" xfId="0" applyNumberForma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170" fontId="0" fillId="8" borderId="1" xfId="0" applyNumberForma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5" fontId="0" fillId="13" borderId="1" xfId="1" applyNumberFormat="1" applyFont="1" applyFill="1" applyBorder="1" applyAlignment="1">
      <alignment horizontal="right" vertical="center"/>
    </xf>
    <xf numFmtId="176" fontId="0" fillId="13" borderId="1" xfId="0" applyNumberFormat="1" applyFill="1" applyBorder="1" applyAlignment="1">
      <alignment horizontal="center" vertical="center"/>
    </xf>
    <xf numFmtId="177" fontId="0" fillId="13" borderId="1" xfId="0" applyNumberFormat="1" applyFill="1" applyBorder="1" applyAlignment="1">
      <alignment horizontal="center" vertical="center"/>
    </xf>
    <xf numFmtId="169" fontId="0" fillId="13" borderId="1" xfId="0" applyNumberFormat="1" applyFill="1" applyBorder="1" applyAlignment="1">
      <alignment horizontal="center" vertical="center"/>
    </xf>
    <xf numFmtId="179" fontId="0" fillId="13" borderId="1" xfId="0" applyNumberForma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3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65" fontId="4" fillId="13" borderId="1" xfId="1" applyNumberFormat="1" applyFont="1" applyFill="1" applyBorder="1" applyAlignment="1">
      <alignment horizontal="right" vertical="center"/>
    </xf>
    <xf numFmtId="176" fontId="4" fillId="13" borderId="1" xfId="0" applyNumberFormat="1" applyFont="1" applyFill="1" applyBorder="1" applyAlignment="1">
      <alignment horizontal="center" vertical="center"/>
    </xf>
    <xf numFmtId="177" fontId="4" fillId="13" borderId="1" xfId="0" applyNumberFormat="1" applyFont="1" applyFill="1" applyBorder="1" applyAlignment="1">
      <alignment horizontal="center" vertical="center"/>
    </xf>
    <xf numFmtId="169" fontId="4" fillId="13" borderId="1" xfId="0" applyNumberFormat="1" applyFont="1" applyFill="1" applyBorder="1" applyAlignment="1">
      <alignment horizontal="center" vertical="center"/>
    </xf>
    <xf numFmtId="179" fontId="4" fillId="13" borderId="1" xfId="0" applyNumberFormat="1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65" fontId="0" fillId="0" borderId="0" xfId="1" applyNumberFormat="1" applyFont="1"/>
    <xf numFmtId="16" fontId="0" fillId="8" borderId="1" xfId="0" quotePrefix="1" applyNumberFormat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0" fillId="8" borderId="1" xfId="0" quotePrefix="1" applyFill="1" applyBorder="1" applyAlignment="1">
      <alignment horizontal="right" vertical="center"/>
    </xf>
    <xf numFmtId="174" fontId="4" fillId="0" borderId="1" xfId="1" applyNumberFormat="1" applyFont="1" applyBorder="1" applyAlignment="1">
      <alignment horizontal="right" vertical="center"/>
    </xf>
    <xf numFmtId="16" fontId="0" fillId="0" borderId="1" xfId="0" quotePrefix="1" applyNumberFormat="1" applyBorder="1"/>
    <xf numFmtId="0" fontId="0" fillId="0" borderId="0" xfId="0" quotePrefix="1"/>
    <xf numFmtId="0" fontId="8" fillId="0" borderId="1" xfId="0" applyFont="1" applyBorder="1" applyAlignment="1">
      <alignment vertical="center"/>
    </xf>
    <xf numFmtId="3" fontId="12" fillId="0" borderId="1" xfId="0" applyNumberFormat="1" applyFont="1" applyBorder="1" applyAlignment="1">
      <alignment horizontal="left" vertical="center"/>
    </xf>
    <xf numFmtId="3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72" fontId="7" fillId="0" borderId="19" xfId="0" applyNumberFormat="1" applyFont="1" applyBorder="1" applyAlignment="1">
      <alignment horizontal="center" vertical="center"/>
    </xf>
    <xf numFmtId="171" fontId="9" fillId="0" borderId="1" xfId="0" applyNumberFormat="1" applyFont="1" applyBorder="1" applyAlignment="1">
      <alignment horizontal="center" vertical="center"/>
    </xf>
    <xf numFmtId="1" fontId="0" fillId="8" borderId="5" xfId="0" applyNumberForma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right" vertical="center"/>
    </xf>
    <xf numFmtId="177" fontId="0" fillId="8" borderId="1" xfId="0" applyNumberFormat="1" applyFill="1" applyBorder="1" applyAlignment="1">
      <alignment horizontal="center" vertical="center"/>
    </xf>
    <xf numFmtId="0" fontId="0" fillId="8" borderId="1" xfId="0" quotePrefix="1" applyFill="1" applyBorder="1"/>
    <xf numFmtId="170" fontId="29" fillId="8" borderId="1" xfId="0" applyNumberFormat="1" applyFont="1" applyFill="1" applyBorder="1" applyAlignment="1">
      <alignment vertical="center"/>
    </xf>
    <xf numFmtId="2" fontId="0" fillId="8" borderId="1" xfId="0" applyNumberFormat="1" applyFill="1" applyBorder="1" applyAlignment="1">
      <alignment horizontal="center"/>
    </xf>
    <xf numFmtId="0" fontId="3" fillId="8" borderId="1" xfId="0" applyFont="1" applyFill="1" applyBorder="1"/>
    <xf numFmtId="171" fontId="8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9" fillId="0" borderId="0" xfId="0" applyFont="1" applyFill="1"/>
    <xf numFmtId="0" fontId="0" fillId="0" borderId="0" xfId="0" applyFill="1"/>
    <xf numFmtId="0" fontId="4" fillId="0" borderId="0" xfId="0" applyFont="1" applyFill="1"/>
    <xf numFmtId="0" fontId="26" fillId="0" borderId="0" xfId="0" applyFont="1" applyFill="1"/>
  </cellXfs>
  <cellStyles count="6">
    <cellStyle name="Comma" xfId="1" builtinId="3"/>
    <cellStyle name="Comma 2" xfId="3" xr:uid="{5ADDFECC-146D-459C-9997-1F48815779F6}"/>
    <cellStyle name="Normal" xfId="0" builtinId="0"/>
    <cellStyle name="Normal 14" xfId="4" xr:uid="{61B1ED62-3F6B-455A-BB30-4B61630B7D02}"/>
    <cellStyle name="Normal 2" xfId="5" xr:uid="{A77F0A7E-2A86-4703-A1CA-EFAFD45CA1DA}"/>
    <cellStyle name="Percent" xfId="2" builtinId="5"/>
  </cellStyles>
  <dxfs count="70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FCA31"/>
      <color rgb="FFF1E8A5"/>
      <color rgb="FFCB6F9D"/>
      <color rgb="FFFD55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Wet!$P$3</c:f>
              <c:strCache>
                <c:ptCount val="1"/>
                <c:pt idx="0">
                  <c:v>SC (Maks 200 mm)</c:v>
                </c:pt>
              </c:strCache>
            </c:strRef>
          </c:tx>
          <c:spPr>
            <a:ln w="28575" cap="rnd">
              <a:solidFill>
                <a:srgbClr val="FD55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D5591"/>
              </a:solidFill>
              <a:ln w="9525">
                <a:solidFill>
                  <a:srgbClr val="FD5591"/>
                </a:solidFill>
              </a:ln>
              <a:effectLst/>
            </c:spPr>
          </c:marker>
          <c:cat>
            <c:numRef>
              <c:f>Wet!$C$2:$C$82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Wet!$E$3:$E$86</c:f>
              <c:numCache>
                <c:formatCode>_-* #,##0.00_-;\-* #,##0.00_-;_-* "-"??_-;_-@_-</c:formatCode>
                <c:ptCount val="84"/>
                <c:pt idx="0">
                  <c:v>148.03</c:v>
                </c:pt>
                <c:pt idx="1">
                  <c:v>105.75</c:v>
                </c:pt>
                <c:pt idx="2">
                  <c:v>109.61</c:v>
                </c:pt>
                <c:pt idx="3">
                  <c:v>124.57</c:v>
                </c:pt>
                <c:pt idx="4">
                  <c:v>119</c:v>
                </c:pt>
                <c:pt idx="5">
                  <c:v>133.26</c:v>
                </c:pt>
                <c:pt idx="6">
                  <c:v>138.38</c:v>
                </c:pt>
                <c:pt idx="7">
                  <c:v>116.16</c:v>
                </c:pt>
                <c:pt idx="8">
                  <c:v>154.94999999999999</c:v>
                </c:pt>
                <c:pt idx="9">
                  <c:v>113.19</c:v>
                </c:pt>
                <c:pt idx="10">
                  <c:v>152.57</c:v>
                </c:pt>
                <c:pt idx="11">
                  <c:v>147.26</c:v>
                </c:pt>
                <c:pt idx="12">
                  <c:v>132.36000000000001</c:v>
                </c:pt>
                <c:pt idx="13">
                  <c:v>144.9</c:v>
                </c:pt>
                <c:pt idx="14">
                  <c:v>152.31</c:v>
                </c:pt>
                <c:pt idx="15">
                  <c:v>157.94999999999999</c:v>
                </c:pt>
                <c:pt idx="16">
                  <c:v>157.68</c:v>
                </c:pt>
                <c:pt idx="17">
                  <c:v>164.06</c:v>
                </c:pt>
                <c:pt idx="18">
                  <c:v>161.51</c:v>
                </c:pt>
                <c:pt idx="19">
                  <c:v>171.71</c:v>
                </c:pt>
                <c:pt idx="20">
                  <c:v>143.71</c:v>
                </c:pt>
                <c:pt idx="21">
                  <c:v>164.26</c:v>
                </c:pt>
                <c:pt idx="22">
                  <c:v>159.88</c:v>
                </c:pt>
                <c:pt idx="23">
                  <c:v>150.21</c:v>
                </c:pt>
                <c:pt idx="24">
                  <c:v>143.25</c:v>
                </c:pt>
                <c:pt idx="25">
                  <c:v>122.84</c:v>
                </c:pt>
                <c:pt idx="26">
                  <c:v>138.4</c:v>
                </c:pt>
                <c:pt idx="27">
                  <c:v>138.4</c:v>
                </c:pt>
                <c:pt idx="28">
                  <c:v>129.6</c:v>
                </c:pt>
                <c:pt idx="29">
                  <c:v>145.94</c:v>
                </c:pt>
                <c:pt idx="30">
                  <c:v>130.19999999999999</c:v>
                </c:pt>
                <c:pt idx="31">
                  <c:v>143.80000000000001</c:v>
                </c:pt>
                <c:pt idx="32">
                  <c:v>135.16</c:v>
                </c:pt>
                <c:pt idx="33">
                  <c:v>103.05</c:v>
                </c:pt>
                <c:pt idx="34">
                  <c:v>141.93</c:v>
                </c:pt>
                <c:pt idx="35">
                  <c:v>125.8</c:v>
                </c:pt>
                <c:pt idx="36">
                  <c:v>139.41999999999999</c:v>
                </c:pt>
                <c:pt idx="37">
                  <c:v>146.04</c:v>
                </c:pt>
                <c:pt idx="38">
                  <c:v>131.99</c:v>
                </c:pt>
                <c:pt idx="39">
                  <c:v>139.96</c:v>
                </c:pt>
                <c:pt idx="40">
                  <c:v>148.97</c:v>
                </c:pt>
                <c:pt idx="41">
                  <c:v>148.97</c:v>
                </c:pt>
                <c:pt idx="42">
                  <c:v>146.73500000000001</c:v>
                </c:pt>
                <c:pt idx="43">
                  <c:v>140.72999999999999</c:v>
                </c:pt>
                <c:pt idx="44">
                  <c:v>152.51</c:v>
                </c:pt>
                <c:pt idx="45">
                  <c:v>152.51</c:v>
                </c:pt>
                <c:pt idx="46">
                  <c:v>138.21</c:v>
                </c:pt>
                <c:pt idx="47">
                  <c:v>144.74</c:v>
                </c:pt>
                <c:pt idx="48">
                  <c:v>163</c:v>
                </c:pt>
                <c:pt idx="49">
                  <c:v>141.44</c:v>
                </c:pt>
                <c:pt idx="50">
                  <c:v>175.86</c:v>
                </c:pt>
                <c:pt idx="51" formatCode="0.00">
                  <c:v>131.86750000000001</c:v>
                </c:pt>
                <c:pt idx="52" formatCode="0.00">
                  <c:v>140.84</c:v>
                </c:pt>
                <c:pt idx="53" formatCode="0.00">
                  <c:v>129.59500000000003</c:v>
                </c:pt>
                <c:pt idx="54" formatCode="0.00">
                  <c:v>124.3125</c:v>
                </c:pt>
                <c:pt idx="55" formatCode="0.00">
                  <c:v>146.29500000000002</c:v>
                </c:pt>
                <c:pt idx="56" formatCode="0.00">
                  <c:v>157.53</c:v>
                </c:pt>
                <c:pt idx="57" formatCode="0.00">
                  <c:v>155.745</c:v>
                </c:pt>
                <c:pt idx="58" formatCode="0.00">
                  <c:v>158.38499999999999</c:v>
                </c:pt>
                <c:pt idx="59" formatCode="0.00">
                  <c:v>152.28</c:v>
                </c:pt>
                <c:pt idx="60" formatCode="0.00">
                  <c:v>123.80000000000001</c:v>
                </c:pt>
                <c:pt idx="61" formatCode="0.00">
                  <c:v>133.73750000000001</c:v>
                </c:pt>
                <c:pt idx="62" formatCode="0.00">
                  <c:v>141.4425</c:v>
                </c:pt>
                <c:pt idx="63" formatCode="0.00">
                  <c:v>151.505</c:v>
                </c:pt>
                <c:pt idx="64" formatCode="0.00">
                  <c:v>133.08333333333334</c:v>
                </c:pt>
                <c:pt idx="65" formatCode="0.00">
                  <c:v>144.39499999999998</c:v>
                </c:pt>
                <c:pt idx="66" formatCode="0.00">
                  <c:v>145.87</c:v>
                </c:pt>
                <c:pt idx="67" formatCode="0.00">
                  <c:v>133.01</c:v>
                </c:pt>
                <c:pt idx="69" formatCode="0.00">
                  <c:v>149.66</c:v>
                </c:pt>
                <c:pt idx="70" formatCode="0.00">
                  <c:v>139.90750000000003</c:v>
                </c:pt>
                <c:pt idx="71" formatCode="0.00">
                  <c:v>147.685</c:v>
                </c:pt>
                <c:pt idx="72" formatCode="0.00">
                  <c:v>144.52500000000001</c:v>
                </c:pt>
                <c:pt idx="73" formatCode="0.00">
                  <c:v>148.08666666666667</c:v>
                </c:pt>
                <c:pt idx="74" formatCode="0.00">
                  <c:v>154.88499999999999</c:v>
                </c:pt>
                <c:pt idx="75" formatCode="0.00">
                  <c:v>150.465</c:v>
                </c:pt>
                <c:pt idx="76" formatCode="0.00">
                  <c:v>145.3175</c:v>
                </c:pt>
                <c:pt idx="77" formatCode="0.00">
                  <c:v>157.1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1-4D1C-8491-6965F5A4EDA4}"/>
            </c:ext>
          </c:extLst>
        </c:ser>
        <c:ser>
          <c:idx val="2"/>
          <c:order val="1"/>
          <c:tx>
            <c:strRef>
              <c:f>Wet!$Q$4:$Q$5</c:f>
              <c:strCache>
                <c:ptCount val="2"/>
                <c:pt idx="0">
                  <c:v>Max-SC</c:v>
                </c:pt>
                <c:pt idx="1">
                  <c:v>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Wet!$C$2:$C$82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Wet!$Q$5:$Q$93</c:f>
              <c:numCache>
                <c:formatCode>General</c:formatCode>
                <c:ptCount val="89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81-4D1C-8491-6965F5A4EDA4}"/>
            </c:ext>
          </c:extLst>
        </c:ser>
        <c:ser>
          <c:idx val="1"/>
          <c:order val="2"/>
          <c:tx>
            <c:strRef>
              <c:f>Wet!$P$4</c:f>
              <c:strCache>
                <c:ptCount val="1"/>
                <c:pt idx="0">
                  <c:v>Min-SC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Wet!$C$2:$C$82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Wet!$P$5:$P$96</c:f>
              <c:numCache>
                <c:formatCode>General</c:formatCode>
                <c:ptCount val="9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1-4D1C-8491-6965F5A4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41728"/>
        <c:axId val="1778544128"/>
      </c:lineChart>
      <c:catAx>
        <c:axId val="1453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44128"/>
        <c:crosses val="autoZero"/>
        <c:auto val="1"/>
        <c:lblAlgn val="ctr"/>
        <c:lblOffset val="100"/>
        <c:noMultiLvlLbl val="0"/>
      </c:catAx>
      <c:valAx>
        <c:axId val="1778544128"/>
        <c:scaling>
          <c:orientation val="minMax"/>
          <c:max val="2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417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D559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792251886209412E-2"/>
          <c:y val="7.3578407019389572E-2"/>
          <c:w val="0.95932810968987048"/>
          <c:h val="0.87358464803245461"/>
        </c:manualLayout>
      </c:layout>
      <c:lineChart>
        <c:grouping val="standard"/>
        <c:varyColors val="0"/>
        <c:ser>
          <c:idx val="0"/>
          <c:order val="0"/>
          <c:tx>
            <c:strRef>
              <c:f>Wet!$R$3</c:f>
              <c:strCache>
                <c:ptCount val="1"/>
                <c:pt idx="0">
                  <c:v>PB (Maks 150 mm)</c:v>
                </c:pt>
              </c:strCache>
            </c:strRef>
          </c:tx>
          <c:spPr>
            <a:ln w="28575" cap="rnd">
              <a:solidFill>
                <a:srgbClr val="DFCA3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D5591"/>
              </a:solidFill>
              <a:ln w="9525">
                <a:solidFill>
                  <a:srgbClr val="FD5591"/>
                </a:solidFill>
              </a:ln>
              <a:effectLst/>
            </c:spPr>
          </c:marker>
          <c:dPt>
            <c:idx val="67"/>
            <c:marker>
              <c:symbol val="circle"/>
              <c:size val="5"/>
              <c:spPr>
                <a:solidFill>
                  <a:srgbClr val="FD5591"/>
                </a:solidFill>
                <a:ln w="9525">
                  <a:solidFill>
                    <a:srgbClr val="FD5591"/>
                  </a:solidFill>
                </a:ln>
                <a:effectLst/>
              </c:spPr>
            </c:marker>
            <c:bubble3D val="0"/>
            <c:spPr>
              <a:ln w="28575" cap="rnd" cmpd="sng">
                <a:solidFill>
                  <a:srgbClr val="DFCA3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B1-4751-AAD9-3664234FB592}"/>
              </c:ext>
            </c:extLst>
          </c:dPt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Wet!$F$2:$F$85</c:f>
              <c:numCache>
                <c:formatCode>_-* #,##0.00_-;\-* #,##0.00_-;_-* "-"??_-;_-@_-</c:formatCode>
                <c:ptCount val="84"/>
                <c:pt idx="0">
                  <c:v>97.58</c:v>
                </c:pt>
                <c:pt idx="1">
                  <c:v>91.21</c:v>
                </c:pt>
                <c:pt idx="2">
                  <c:v>91.02</c:v>
                </c:pt>
                <c:pt idx="3">
                  <c:v>111.44</c:v>
                </c:pt>
                <c:pt idx="4">
                  <c:v>103.47</c:v>
                </c:pt>
                <c:pt idx="5">
                  <c:v>92.67</c:v>
                </c:pt>
                <c:pt idx="6">
                  <c:v>78.83</c:v>
                </c:pt>
                <c:pt idx="7">
                  <c:v>73.290000000000006</c:v>
                </c:pt>
                <c:pt idx="8">
                  <c:v>90.27</c:v>
                </c:pt>
                <c:pt idx="9">
                  <c:v>97.85</c:v>
                </c:pt>
                <c:pt idx="10">
                  <c:v>89.69</c:v>
                </c:pt>
                <c:pt idx="11">
                  <c:v>92.63</c:v>
                </c:pt>
                <c:pt idx="12">
                  <c:v>97.46</c:v>
                </c:pt>
                <c:pt idx="13">
                  <c:v>89.25</c:v>
                </c:pt>
                <c:pt idx="14">
                  <c:v>90.92</c:v>
                </c:pt>
                <c:pt idx="15">
                  <c:v>89.58</c:v>
                </c:pt>
                <c:pt idx="16">
                  <c:v>97.36</c:v>
                </c:pt>
                <c:pt idx="17">
                  <c:v>81.180000000000007</c:v>
                </c:pt>
                <c:pt idx="18">
                  <c:v>90.49</c:v>
                </c:pt>
                <c:pt idx="19">
                  <c:v>75.09</c:v>
                </c:pt>
                <c:pt idx="20">
                  <c:v>96.14</c:v>
                </c:pt>
                <c:pt idx="21">
                  <c:v>72.3</c:v>
                </c:pt>
                <c:pt idx="22">
                  <c:v>77.52</c:v>
                </c:pt>
                <c:pt idx="23">
                  <c:v>79.47</c:v>
                </c:pt>
                <c:pt idx="24">
                  <c:v>84.69</c:v>
                </c:pt>
                <c:pt idx="25">
                  <c:v>96.11</c:v>
                </c:pt>
                <c:pt idx="26">
                  <c:v>84.57</c:v>
                </c:pt>
                <c:pt idx="27">
                  <c:v>54.11</c:v>
                </c:pt>
                <c:pt idx="28">
                  <c:v>54.11</c:v>
                </c:pt>
                <c:pt idx="29">
                  <c:v>88</c:v>
                </c:pt>
                <c:pt idx="30">
                  <c:v>72.900000000000006</c:v>
                </c:pt>
                <c:pt idx="31">
                  <c:v>78.11</c:v>
                </c:pt>
                <c:pt idx="32">
                  <c:v>93.55</c:v>
                </c:pt>
                <c:pt idx="33">
                  <c:v>89.63</c:v>
                </c:pt>
                <c:pt idx="34">
                  <c:v>94.57</c:v>
                </c:pt>
                <c:pt idx="35">
                  <c:v>78.12</c:v>
                </c:pt>
                <c:pt idx="36">
                  <c:v>76.28</c:v>
                </c:pt>
                <c:pt idx="37">
                  <c:v>70.290000000000006</c:v>
                </c:pt>
                <c:pt idx="38">
                  <c:v>76.78</c:v>
                </c:pt>
                <c:pt idx="39">
                  <c:v>83.23</c:v>
                </c:pt>
                <c:pt idx="40">
                  <c:v>89.48</c:v>
                </c:pt>
                <c:pt idx="41">
                  <c:v>73.13</c:v>
                </c:pt>
                <c:pt idx="42">
                  <c:v>73.13</c:v>
                </c:pt>
                <c:pt idx="43">
                  <c:v>80.680000000000007</c:v>
                </c:pt>
                <c:pt idx="44">
                  <c:v>82.75</c:v>
                </c:pt>
                <c:pt idx="45">
                  <c:v>80.98</c:v>
                </c:pt>
                <c:pt idx="46">
                  <c:v>80.98</c:v>
                </c:pt>
                <c:pt idx="47">
                  <c:v>86.1</c:v>
                </c:pt>
                <c:pt idx="48" formatCode="_-* #,##0.0_-;\-* #,##0.0_-;_-* &quot;-&quot;??_-;_-@_-">
                  <c:v>82.5</c:v>
                </c:pt>
                <c:pt idx="49">
                  <c:v>84.16</c:v>
                </c:pt>
                <c:pt idx="50">
                  <c:v>85.66</c:v>
                </c:pt>
                <c:pt idx="51">
                  <c:v>105.16</c:v>
                </c:pt>
                <c:pt idx="52" formatCode="0.00">
                  <c:v>92.997500000000002</c:v>
                </c:pt>
                <c:pt idx="53" formatCode="0.00">
                  <c:v>89.674999999999997</c:v>
                </c:pt>
                <c:pt idx="54" formatCode="0.00">
                  <c:v>73.87</c:v>
                </c:pt>
                <c:pt idx="55" formatCode="0.00">
                  <c:v>76.275000000000006</c:v>
                </c:pt>
                <c:pt idx="56" formatCode="0.00">
                  <c:v>78.657499999999999</c:v>
                </c:pt>
                <c:pt idx="57" formatCode="0.00">
                  <c:v>79.800000000000011</c:v>
                </c:pt>
                <c:pt idx="58" formatCode="0.00">
                  <c:v>65.084999999999994</c:v>
                </c:pt>
                <c:pt idx="59" formatCode="0.00">
                  <c:v>70.84</c:v>
                </c:pt>
                <c:pt idx="60" formatCode="0.00">
                  <c:v>74.033333333333346</c:v>
                </c:pt>
                <c:pt idx="61" formatCode="0.00">
                  <c:v>79.004999999999995</c:v>
                </c:pt>
                <c:pt idx="62" formatCode="0.00">
                  <c:v>72.577500000000001</c:v>
                </c:pt>
                <c:pt idx="63" formatCode="0.00">
                  <c:v>71.364999999999995</c:v>
                </c:pt>
                <c:pt idx="64" formatCode="0.00">
                  <c:v>85.2</c:v>
                </c:pt>
                <c:pt idx="65" formatCode="0.00">
                  <c:v>87.856666666666669</c:v>
                </c:pt>
                <c:pt idx="66" formatCode="0.00">
                  <c:v>86.91</c:v>
                </c:pt>
                <c:pt idx="67" formatCode="0.00">
                  <c:v>78.720000000000013</c:v>
                </c:pt>
                <c:pt idx="68" formatCode="0.00">
                  <c:v>101.56</c:v>
                </c:pt>
                <c:pt idx="69" formatCode="0.00">
                  <c:v>101.54</c:v>
                </c:pt>
                <c:pt idx="70" formatCode="0.00">
                  <c:v>66.375</c:v>
                </c:pt>
                <c:pt idx="71" formatCode="0.00">
                  <c:v>83.477500000000006</c:v>
                </c:pt>
                <c:pt idx="72" formatCode="0.00">
                  <c:v>80.739999999999995</c:v>
                </c:pt>
                <c:pt idx="73" formatCode="0.00">
                  <c:v>87.210000000000008</c:v>
                </c:pt>
                <c:pt idx="74" formatCode="0.00">
                  <c:v>101.24333333333334</c:v>
                </c:pt>
                <c:pt idx="75" formatCode="0.00">
                  <c:v>88.710000000000008</c:v>
                </c:pt>
                <c:pt idx="76" formatCode="0.00">
                  <c:v>85.114999999999995</c:v>
                </c:pt>
                <c:pt idx="77" formatCode="0.00">
                  <c:v>73.017499999999998</c:v>
                </c:pt>
                <c:pt idx="78" formatCode="0.00">
                  <c:v>74.53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1-4751-AAD9-3664234FB592}"/>
            </c:ext>
          </c:extLst>
        </c:ser>
        <c:ser>
          <c:idx val="2"/>
          <c:order val="1"/>
          <c:tx>
            <c:strRef>
              <c:f>Wet!$S$4</c:f>
              <c:strCache>
                <c:ptCount val="1"/>
                <c:pt idx="0">
                  <c:v>Max-PB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Wet!$S$5:$S$95</c:f>
              <c:numCache>
                <c:formatCode>General</c:formatCode>
                <c:ptCount val="91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1-4751-AAD9-3664234FB592}"/>
            </c:ext>
          </c:extLst>
        </c:ser>
        <c:ser>
          <c:idx val="1"/>
          <c:order val="2"/>
          <c:tx>
            <c:strRef>
              <c:f>Wet!$R$4</c:f>
              <c:strCache>
                <c:ptCount val="1"/>
                <c:pt idx="0">
                  <c:v>Min-PB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Wet!$R$5:$R$96</c:f>
              <c:numCache>
                <c:formatCode>General</c:formatCode>
                <c:ptCount val="9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1-4751-AAD9-3664234F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41728"/>
        <c:axId val="1778544128"/>
      </c:lineChart>
      <c:catAx>
        <c:axId val="1453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44128"/>
        <c:crosses val="autoZero"/>
        <c:auto val="1"/>
        <c:lblAlgn val="ctr"/>
        <c:lblOffset val="100"/>
        <c:noMultiLvlLbl val="0"/>
      </c:catAx>
      <c:valAx>
        <c:axId val="1778544128"/>
        <c:scaling>
          <c:orientation val="minMax"/>
          <c:max val="1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41728"/>
        <c:crosses val="autoZero"/>
        <c:crossBetween val="between"/>
        <c:majorUnit val="10"/>
      </c:valAx>
      <c:spPr>
        <a:noFill/>
        <a:ln>
          <a:solidFill>
            <a:srgbClr val="FD559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52282017549403E-2"/>
          <c:y val="7.7772103629215147E-2"/>
          <c:w val="0.95932810968987048"/>
          <c:h val="0.87358464803245461"/>
        </c:manualLayout>
      </c:layout>
      <c:lineChart>
        <c:grouping val="standard"/>
        <c:varyColors val="0"/>
        <c:ser>
          <c:idx val="0"/>
          <c:order val="0"/>
          <c:tx>
            <c:strRef>
              <c:f>Wet!$T$3</c:f>
              <c:strCache>
                <c:ptCount val="1"/>
                <c:pt idx="0">
                  <c:v>HM (Maks 100 mm)</c:v>
                </c:pt>
              </c:strCache>
            </c:strRef>
          </c:tx>
          <c:spPr>
            <a:ln w="28575" cap="rnd">
              <a:solidFill>
                <a:srgbClr val="CB6F9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D5591"/>
              </a:solidFill>
              <a:ln w="9525">
                <a:solidFill>
                  <a:srgbClr val="FD5591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Wet!$G$2:$G$85</c:f>
              <c:numCache>
                <c:formatCode>_-* #,##0.00_-;\-* #,##0.00_-;_-* "-"??_-;_-@_-</c:formatCode>
                <c:ptCount val="84"/>
                <c:pt idx="0">
                  <c:v>42.91</c:v>
                </c:pt>
                <c:pt idx="1">
                  <c:v>44.34</c:v>
                </c:pt>
                <c:pt idx="2">
                  <c:v>28.46</c:v>
                </c:pt>
                <c:pt idx="3">
                  <c:v>35.33</c:v>
                </c:pt>
                <c:pt idx="4">
                  <c:v>38.06</c:v>
                </c:pt>
                <c:pt idx="5">
                  <c:v>61.09</c:v>
                </c:pt>
                <c:pt idx="6">
                  <c:v>36.72</c:v>
                </c:pt>
                <c:pt idx="7">
                  <c:v>40.21</c:v>
                </c:pt>
                <c:pt idx="8">
                  <c:v>37.4</c:v>
                </c:pt>
                <c:pt idx="9">
                  <c:v>41.38</c:v>
                </c:pt>
                <c:pt idx="10">
                  <c:v>53.04</c:v>
                </c:pt>
                <c:pt idx="11">
                  <c:v>42.22</c:v>
                </c:pt>
                <c:pt idx="12">
                  <c:v>51.92</c:v>
                </c:pt>
                <c:pt idx="13">
                  <c:v>47.19</c:v>
                </c:pt>
                <c:pt idx="14">
                  <c:v>48.21</c:v>
                </c:pt>
                <c:pt idx="15">
                  <c:v>57.13</c:v>
                </c:pt>
                <c:pt idx="16">
                  <c:v>46.69</c:v>
                </c:pt>
                <c:pt idx="17">
                  <c:v>70.86</c:v>
                </c:pt>
                <c:pt idx="18">
                  <c:v>42.05</c:v>
                </c:pt>
                <c:pt idx="19">
                  <c:v>50.14</c:v>
                </c:pt>
                <c:pt idx="20">
                  <c:v>42.91</c:v>
                </c:pt>
                <c:pt idx="21">
                  <c:v>57.59</c:v>
                </c:pt>
                <c:pt idx="22">
                  <c:v>36.56</c:v>
                </c:pt>
                <c:pt idx="23">
                  <c:v>46.02</c:v>
                </c:pt>
                <c:pt idx="24">
                  <c:v>51.2</c:v>
                </c:pt>
                <c:pt idx="25">
                  <c:v>52.26</c:v>
                </c:pt>
                <c:pt idx="26">
                  <c:v>46.43</c:v>
                </c:pt>
                <c:pt idx="27">
                  <c:v>38.58</c:v>
                </c:pt>
                <c:pt idx="28">
                  <c:v>38.58</c:v>
                </c:pt>
                <c:pt idx="29">
                  <c:v>45.9</c:v>
                </c:pt>
                <c:pt idx="30">
                  <c:v>39.979999999999997</c:v>
                </c:pt>
                <c:pt idx="31">
                  <c:v>47.38</c:v>
                </c:pt>
                <c:pt idx="32">
                  <c:v>41.95</c:v>
                </c:pt>
                <c:pt idx="33">
                  <c:v>37.26</c:v>
                </c:pt>
                <c:pt idx="34">
                  <c:v>50.14</c:v>
                </c:pt>
                <c:pt idx="35">
                  <c:v>45.68</c:v>
                </c:pt>
                <c:pt idx="36">
                  <c:v>41.81</c:v>
                </c:pt>
                <c:pt idx="37">
                  <c:v>42.41</c:v>
                </c:pt>
                <c:pt idx="38">
                  <c:v>41.22</c:v>
                </c:pt>
                <c:pt idx="39">
                  <c:v>41.48</c:v>
                </c:pt>
                <c:pt idx="40">
                  <c:v>89.48</c:v>
                </c:pt>
                <c:pt idx="41">
                  <c:v>40.549999999999997</c:v>
                </c:pt>
                <c:pt idx="42">
                  <c:v>40.549999999999997</c:v>
                </c:pt>
                <c:pt idx="43">
                  <c:v>39.42</c:v>
                </c:pt>
                <c:pt idx="44">
                  <c:v>45.8</c:v>
                </c:pt>
                <c:pt idx="45">
                  <c:v>31.18</c:v>
                </c:pt>
                <c:pt idx="46">
                  <c:v>31.18</c:v>
                </c:pt>
                <c:pt idx="47">
                  <c:v>42.13</c:v>
                </c:pt>
                <c:pt idx="48">
                  <c:v>38</c:v>
                </c:pt>
                <c:pt idx="49">
                  <c:v>39.79</c:v>
                </c:pt>
                <c:pt idx="50">
                  <c:v>43.69</c:v>
                </c:pt>
                <c:pt idx="51">
                  <c:v>42.62</c:v>
                </c:pt>
                <c:pt idx="52" formatCode="0.00">
                  <c:v>43.532499999999999</c:v>
                </c:pt>
                <c:pt idx="53" formatCode="0.00">
                  <c:v>50.902500000000003</c:v>
                </c:pt>
                <c:pt idx="54" formatCode="0.00">
                  <c:v>41.286666666666669</c:v>
                </c:pt>
                <c:pt idx="55" formatCode="0.00">
                  <c:v>44.082499999999996</c:v>
                </c:pt>
                <c:pt idx="56" formatCode="0.00">
                  <c:v>47.427500000000002</c:v>
                </c:pt>
                <c:pt idx="57" formatCode="0.00">
                  <c:v>46.653333333333329</c:v>
                </c:pt>
                <c:pt idx="58" formatCode="0.00">
                  <c:v>46.4925</c:v>
                </c:pt>
                <c:pt idx="59" formatCode="0.00">
                  <c:v>41.165000000000006</c:v>
                </c:pt>
                <c:pt idx="60" formatCode="0.00">
                  <c:v>52.836666666666666</c:v>
                </c:pt>
                <c:pt idx="61" formatCode="0.00">
                  <c:v>34.549999999999997</c:v>
                </c:pt>
                <c:pt idx="62" formatCode="0.00">
                  <c:v>47.877499999999998</c:v>
                </c:pt>
                <c:pt idx="63" formatCode="0.00">
                  <c:v>47.232500000000002</c:v>
                </c:pt>
                <c:pt idx="64" formatCode="0.00">
                  <c:v>49.802500000000002</c:v>
                </c:pt>
                <c:pt idx="65" formatCode="0.00">
                  <c:v>47.133333333333333</c:v>
                </c:pt>
                <c:pt idx="66" formatCode="0.00">
                  <c:v>41.620000000000005</c:v>
                </c:pt>
                <c:pt idx="67" formatCode="0.00">
                  <c:v>45.91</c:v>
                </c:pt>
                <c:pt idx="68" formatCode="0.00">
                  <c:v>50.355000000000004</c:v>
                </c:pt>
                <c:pt idx="69" formatCode="0.00">
                  <c:v>43.86</c:v>
                </c:pt>
                <c:pt idx="70" formatCode="0.00">
                  <c:v>39.314999999999998</c:v>
                </c:pt>
                <c:pt idx="71" formatCode="0.00">
                  <c:v>44.907499999999999</c:v>
                </c:pt>
                <c:pt idx="72" formatCode="0.00">
                  <c:v>40.855000000000004</c:v>
                </c:pt>
                <c:pt idx="73" formatCode="0.00">
                  <c:v>41.847500000000004</c:v>
                </c:pt>
                <c:pt idx="74" formatCode="0.00">
                  <c:v>40.369999999999997</c:v>
                </c:pt>
                <c:pt idx="75" formatCode="0.00">
                  <c:v>48.024999999999999</c:v>
                </c:pt>
                <c:pt idx="76" formatCode="0.00">
                  <c:v>47.185000000000002</c:v>
                </c:pt>
                <c:pt idx="77" formatCode="0.00">
                  <c:v>56.512500000000003</c:v>
                </c:pt>
                <c:pt idx="78" formatCode="0.00">
                  <c:v>49.924999999999997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0-45F4-9D64-268F25F742C9}"/>
            </c:ext>
          </c:extLst>
        </c:ser>
        <c:ser>
          <c:idx val="2"/>
          <c:order val="1"/>
          <c:tx>
            <c:strRef>
              <c:f>Wet!$U$4</c:f>
              <c:strCache>
                <c:ptCount val="1"/>
                <c:pt idx="0">
                  <c:v>Max-HM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Wet!$U$5:$U$95</c:f>
              <c:numCache>
                <c:formatCode>General</c:formatCode>
                <c:ptCount val="9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0-45F4-9D64-268F25F742C9}"/>
            </c:ext>
          </c:extLst>
        </c:ser>
        <c:ser>
          <c:idx val="1"/>
          <c:order val="2"/>
          <c:tx>
            <c:strRef>
              <c:f>Wet!$T$4</c:f>
              <c:strCache>
                <c:ptCount val="1"/>
                <c:pt idx="0">
                  <c:v>Min-HM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Wet!$T$5:$T$95</c:f>
              <c:numCache>
                <c:formatCode>General</c:formatCode>
                <c:ptCount val="9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50-45F4-9D64-268F25F74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41728"/>
        <c:axId val="1778544128"/>
      </c:lineChart>
      <c:catAx>
        <c:axId val="1453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44128"/>
        <c:crosses val="autoZero"/>
        <c:auto val="1"/>
        <c:lblAlgn val="ctr"/>
        <c:lblOffset val="100"/>
        <c:noMultiLvlLbl val="0"/>
      </c:catAx>
      <c:valAx>
        <c:axId val="1778544128"/>
        <c:scaling>
          <c:orientation val="minMax"/>
          <c:max val="12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41728"/>
        <c:crosses val="autoZero"/>
        <c:crossBetween val="between"/>
        <c:majorUnit val="10"/>
      </c:valAx>
      <c:spPr>
        <a:noFill/>
        <a:ln>
          <a:solidFill>
            <a:srgbClr val="FD559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SH</a:t>
            </a:r>
            <a:r>
              <a:rPr lang="en-ID" baseline="0"/>
              <a:t> 1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3.1052282017549403E-2"/>
          <c:y val="7.7772103629215147E-2"/>
          <c:w val="0.95932810968987048"/>
          <c:h val="0.87358464803245461"/>
        </c:manualLayout>
      </c:layout>
      <c:lineChart>
        <c:grouping val="standard"/>
        <c:varyColors val="0"/>
        <c:ser>
          <c:idx val="0"/>
          <c:order val="0"/>
          <c:tx>
            <c:strRef>
              <c:f>Wet!$V$3</c:f>
              <c:strCache>
                <c:ptCount val="1"/>
                <c:pt idx="0">
                  <c:v>SH.1 (5 ± 1 mm)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D5591"/>
              </a:solidFill>
              <a:ln w="9525">
                <a:solidFill>
                  <a:srgbClr val="FD5591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Wet!$H$2:$H$84</c:f>
              <c:numCache>
                <c:formatCode>_-* #,##0.00_-;\-* #,##0.00_-;_-* "-"??_-;_-@_-</c:formatCode>
                <c:ptCount val="83"/>
                <c:pt idx="0">
                  <c:v>18.71</c:v>
                </c:pt>
                <c:pt idx="1">
                  <c:v>15.9</c:v>
                </c:pt>
                <c:pt idx="2">
                  <c:v>13.46</c:v>
                </c:pt>
                <c:pt idx="3">
                  <c:v>17.95</c:v>
                </c:pt>
                <c:pt idx="4">
                  <c:v>20.91</c:v>
                </c:pt>
                <c:pt idx="5">
                  <c:v>19.27</c:v>
                </c:pt>
                <c:pt idx="6">
                  <c:v>18.940000000000001</c:v>
                </c:pt>
                <c:pt idx="7">
                  <c:v>16.27</c:v>
                </c:pt>
                <c:pt idx="8">
                  <c:v>20.5</c:v>
                </c:pt>
                <c:pt idx="9">
                  <c:v>18.23</c:v>
                </c:pt>
                <c:pt idx="10">
                  <c:v>18</c:v>
                </c:pt>
                <c:pt idx="11">
                  <c:v>17.53</c:v>
                </c:pt>
                <c:pt idx="12">
                  <c:v>29.75</c:v>
                </c:pt>
                <c:pt idx="13">
                  <c:v>21.59</c:v>
                </c:pt>
                <c:pt idx="14">
                  <c:v>31.37</c:v>
                </c:pt>
                <c:pt idx="15">
                  <c:v>20.76</c:v>
                </c:pt>
                <c:pt idx="16">
                  <c:v>20.7</c:v>
                </c:pt>
                <c:pt idx="17">
                  <c:v>20.61</c:v>
                </c:pt>
                <c:pt idx="18">
                  <c:v>29.86</c:v>
                </c:pt>
                <c:pt idx="19">
                  <c:v>22.59</c:v>
                </c:pt>
                <c:pt idx="20">
                  <c:v>28.34</c:v>
                </c:pt>
                <c:pt idx="21">
                  <c:v>18.260000000000002</c:v>
                </c:pt>
                <c:pt idx="22">
                  <c:v>21.89</c:v>
                </c:pt>
                <c:pt idx="23">
                  <c:v>19.64</c:v>
                </c:pt>
                <c:pt idx="24">
                  <c:v>16.649999999999999</c:v>
                </c:pt>
                <c:pt idx="25">
                  <c:v>13.75</c:v>
                </c:pt>
                <c:pt idx="26">
                  <c:v>15.65</c:v>
                </c:pt>
                <c:pt idx="27">
                  <c:v>32.03</c:v>
                </c:pt>
                <c:pt idx="28">
                  <c:v>32.03</c:v>
                </c:pt>
                <c:pt idx="29">
                  <c:v>16.43</c:v>
                </c:pt>
                <c:pt idx="30">
                  <c:v>14.71</c:v>
                </c:pt>
                <c:pt idx="31">
                  <c:v>16.62</c:v>
                </c:pt>
                <c:pt idx="32">
                  <c:v>19.920000000000002</c:v>
                </c:pt>
                <c:pt idx="33">
                  <c:v>11.16</c:v>
                </c:pt>
                <c:pt idx="34">
                  <c:v>10.6</c:v>
                </c:pt>
                <c:pt idx="35">
                  <c:v>19</c:v>
                </c:pt>
                <c:pt idx="36">
                  <c:v>10.45</c:v>
                </c:pt>
                <c:pt idx="37">
                  <c:v>12.17</c:v>
                </c:pt>
                <c:pt idx="38">
                  <c:v>10.73</c:v>
                </c:pt>
                <c:pt idx="39">
                  <c:v>16.25</c:v>
                </c:pt>
                <c:pt idx="40">
                  <c:v>12.18</c:v>
                </c:pt>
                <c:pt idx="41">
                  <c:v>11.15</c:v>
                </c:pt>
                <c:pt idx="42">
                  <c:v>11.15</c:v>
                </c:pt>
                <c:pt idx="43">
                  <c:v>13.68</c:v>
                </c:pt>
                <c:pt idx="44">
                  <c:v>13.98</c:v>
                </c:pt>
                <c:pt idx="45">
                  <c:v>10.74</c:v>
                </c:pt>
                <c:pt idx="46">
                  <c:v>10.74</c:v>
                </c:pt>
                <c:pt idx="47">
                  <c:v>14.16</c:v>
                </c:pt>
                <c:pt idx="48">
                  <c:v>18.43</c:v>
                </c:pt>
                <c:pt idx="49">
                  <c:v>15.48</c:v>
                </c:pt>
                <c:pt idx="50">
                  <c:v>11.74</c:v>
                </c:pt>
                <c:pt idx="51">
                  <c:v>12.82</c:v>
                </c:pt>
                <c:pt idx="52" formatCode="0.00">
                  <c:v>15.002500000000001</c:v>
                </c:pt>
                <c:pt idx="53" formatCode="0.00">
                  <c:v>13.99</c:v>
                </c:pt>
                <c:pt idx="54" formatCode="0.00">
                  <c:v>18.37</c:v>
                </c:pt>
                <c:pt idx="55" formatCode="0.00">
                  <c:v>16.6875</c:v>
                </c:pt>
                <c:pt idx="56" formatCode="0.00">
                  <c:v>17.66</c:v>
                </c:pt>
                <c:pt idx="57" formatCode="0.00">
                  <c:v>15.703333333333333</c:v>
                </c:pt>
                <c:pt idx="58" formatCode="0.00">
                  <c:v>14.62</c:v>
                </c:pt>
                <c:pt idx="59" formatCode="0.00">
                  <c:v>16.78</c:v>
                </c:pt>
                <c:pt idx="60" formatCode="0.00">
                  <c:v>17.653333333333332</c:v>
                </c:pt>
                <c:pt idx="61" formatCode="0.00">
                  <c:v>16.07</c:v>
                </c:pt>
                <c:pt idx="62" formatCode="0.00">
                  <c:v>20.9025</c:v>
                </c:pt>
                <c:pt idx="63" formatCode="0.00">
                  <c:v>20.572500000000002</c:v>
                </c:pt>
                <c:pt idx="64" formatCode="0.00">
                  <c:v>20.982500000000002</c:v>
                </c:pt>
                <c:pt idx="65" formatCode="0.00">
                  <c:v>18.83666666666667</c:v>
                </c:pt>
                <c:pt idx="66" formatCode="0.00">
                  <c:v>14.715</c:v>
                </c:pt>
                <c:pt idx="67" formatCode="0.00">
                  <c:v>20.063333333333336</c:v>
                </c:pt>
                <c:pt idx="68" formatCode="0.00">
                  <c:v>29.62</c:v>
                </c:pt>
                <c:pt idx="69" formatCode="0.00">
                  <c:v>24.76</c:v>
                </c:pt>
                <c:pt idx="70" formatCode="0.00">
                  <c:v>15.09</c:v>
                </c:pt>
                <c:pt idx="71" formatCode="0.00">
                  <c:v>19.602499999999999</c:v>
                </c:pt>
                <c:pt idx="72" formatCode="0.00">
                  <c:v>16.357500000000002</c:v>
                </c:pt>
                <c:pt idx="73" formatCode="0.00">
                  <c:v>15.969999999999999</c:v>
                </c:pt>
                <c:pt idx="74" formatCode="0.00">
                  <c:v>16.653333333333332</c:v>
                </c:pt>
                <c:pt idx="75" formatCode="0.00">
                  <c:v>16.695</c:v>
                </c:pt>
                <c:pt idx="76" formatCode="0.00">
                  <c:v>21.064999999999998</c:v>
                </c:pt>
                <c:pt idx="77" formatCode="0.00">
                  <c:v>22.282499999999999</c:v>
                </c:pt>
                <c:pt idx="78" formatCode="0.00">
                  <c:v>24.68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E2-4147-A594-CDB45F0278EB}"/>
            </c:ext>
          </c:extLst>
        </c:ser>
        <c:ser>
          <c:idx val="2"/>
          <c:order val="1"/>
          <c:tx>
            <c:strRef>
              <c:f>Wet!$W$4</c:f>
              <c:strCache>
                <c:ptCount val="1"/>
                <c:pt idx="0">
                  <c:v>Max-SH.1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Wet!$W$5:$W$95</c:f>
              <c:numCache>
                <c:formatCode>General</c:formatCode>
                <c:ptCount val="9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E2-4147-A594-CDB45F0278EB}"/>
            </c:ext>
          </c:extLst>
        </c:ser>
        <c:ser>
          <c:idx val="1"/>
          <c:order val="2"/>
          <c:tx>
            <c:strRef>
              <c:f>Wet!$V$4</c:f>
              <c:strCache>
                <c:ptCount val="1"/>
                <c:pt idx="0">
                  <c:v>Min-SH.1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Wet!$V$5:$V$95</c:f>
              <c:numCache>
                <c:formatCode>General</c:formatCode>
                <c:ptCount val="9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E2-4147-A594-CDB45F027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41728"/>
        <c:axId val="1778544128"/>
      </c:lineChart>
      <c:catAx>
        <c:axId val="1453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44128"/>
        <c:crosses val="autoZero"/>
        <c:auto val="1"/>
        <c:lblAlgn val="ctr"/>
        <c:lblOffset val="100"/>
        <c:noMultiLvlLbl val="0"/>
      </c:catAx>
      <c:valAx>
        <c:axId val="1778544128"/>
        <c:scaling>
          <c:orientation val="minMax"/>
          <c:max val="4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41728"/>
        <c:crosses val="autoZero"/>
        <c:crossBetween val="between"/>
        <c:majorUnit val="2"/>
      </c:valAx>
      <c:spPr>
        <a:noFill/>
        <a:ln>
          <a:solidFill>
            <a:srgbClr val="FD559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CP 8</a:t>
            </a:r>
          </a:p>
        </c:rich>
      </c:tx>
      <c:layout>
        <c:manualLayout>
          <c:xMode val="edge"/>
          <c:yMode val="edge"/>
          <c:x val="0.48689510449335921"/>
          <c:y val="1.2581089829476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3.1052282017549403E-2"/>
          <c:y val="7.7772103629215147E-2"/>
          <c:w val="0.95932810968987048"/>
          <c:h val="0.87358464803245461"/>
        </c:manualLayout>
      </c:layout>
      <c:lineChart>
        <c:grouping val="standard"/>
        <c:varyColors val="0"/>
        <c:ser>
          <c:idx val="0"/>
          <c:order val="0"/>
          <c:tx>
            <c:strRef>
              <c:f>Wet!$X$3</c:f>
              <c:strCache>
                <c:ptCount val="1"/>
                <c:pt idx="0">
                  <c:v>CP8 (10 ± 2 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D5591"/>
              </a:solidFill>
              <a:ln w="9525">
                <a:solidFill>
                  <a:srgbClr val="FD5591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Wet!$I$2:$I$84</c:f>
              <c:numCache>
                <c:formatCode>_-* #,##0.00_-;\-* #,##0.00_-;_-* "-"??_-;_-@_-</c:formatCode>
                <c:ptCount val="83"/>
                <c:pt idx="0">
                  <c:v>15.5</c:v>
                </c:pt>
                <c:pt idx="1">
                  <c:v>14.1</c:v>
                </c:pt>
                <c:pt idx="2">
                  <c:v>15.49</c:v>
                </c:pt>
                <c:pt idx="3">
                  <c:v>14.68</c:v>
                </c:pt>
                <c:pt idx="4">
                  <c:v>15.38</c:v>
                </c:pt>
                <c:pt idx="5">
                  <c:v>13.45</c:v>
                </c:pt>
                <c:pt idx="6">
                  <c:v>14.9</c:v>
                </c:pt>
                <c:pt idx="7">
                  <c:v>16.399999999999999</c:v>
                </c:pt>
                <c:pt idx="8">
                  <c:v>14.69</c:v>
                </c:pt>
                <c:pt idx="9">
                  <c:v>14.65</c:v>
                </c:pt>
                <c:pt idx="10">
                  <c:v>14.8</c:v>
                </c:pt>
                <c:pt idx="11">
                  <c:v>13.48</c:v>
                </c:pt>
                <c:pt idx="12">
                  <c:v>14.2</c:v>
                </c:pt>
                <c:pt idx="13">
                  <c:v>12.98</c:v>
                </c:pt>
                <c:pt idx="14">
                  <c:v>19.97</c:v>
                </c:pt>
                <c:pt idx="15">
                  <c:v>17.66</c:v>
                </c:pt>
                <c:pt idx="16">
                  <c:v>19.2</c:v>
                </c:pt>
                <c:pt idx="17">
                  <c:v>18.420000000000002</c:v>
                </c:pt>
                <c:pt idx="18">
                  <c:v>20.2</c:v>
                </c:pt>
                <c:pt idx="19">
                  <c:v>19.46</c:v>
                </c:pt>
                <c:pt idx="20">
                  <c:v>18.59</c:v>
                </c:pt>
                <c:pt idx="21">
                  <c:v>17.739999999999998</c:v>
                </c:pt>
                <c:pt idx="22">
                  <c:v>18.28</c:v>
                </c:pt>
                <c:pt idx="23">
                  <c:v>17.84</c:v>
                </c:pt>
                <c:pt idx="24">
                  <c:v>16.7</c:v>
                </c:pt>
                <c:pt idx="25">
                  <c:v>19.170000000000002</c:v>
                </c:pt>
                <c:pt idx="26">
                  <c:v>15.57</c:v>
                </c:pt>
                <c:pt idx="27">
                  <c:v>32.770000000000003</c:v>
                </c:pt>
                <c:pt idx="28">
                  <c:v>32.770000000000003</c:v>
                </c:pt>
                <c:pt idx="29">
                  <c:v>16.63</c:v>
                </c:pt>
                <c:pt idx="30">
                  <c:v>17.670000000000002</c:v>
                </c:pt>
                <c:pt idx="31">
                  <c:v>17.829999999999998</c:v>
                </c:pt>
                <c:pt idx="32">
                  <c:v>16.18</c:v>
                </c:pt>
                <c:pt idx="33">
                  <c:v>14.51</c:v>
                </c:pt>
                <c:pt idx="34">
                  <c:v>15.61</c:v>
                </c:pt>
                <c:pt idx="35">
                  <c:v>13.31</c:v>
                </c:pt>
                <c:pt idx="36">
                  <c:v>14.6</c:v>
                </c:pt>
                <c:pt idx="37">
                  <c:v>14.78</c:v>
                </c:pt>
                <c:pt idx="38">
                  <c:v>17.21</c:v>
                </c:pt>
                <c:pt idx="39">
                  <c:v>15.94</c:v>
                </c:pt>
                <c:pt idx="40">
                  <c:v>17.39</c:v>
                </c:pt>
                <c:pt idx="41">
                  <c:v>15.38</c:v>
                </c:pt>
                <c:pt idx="42">
                  <c:v>15.38</c:v>
                </c:pt>
                <c:pt idx="43">
                  <c:v>15.65</c:v>
                </c:pt>
                <c:pt idx="44">
                  <c:v>17.68</c:v>
                </c:pt>
                <c:pt idx="45">
                  <c:v>14.62</c:v>
                </c:pt>
                <c:pt idx="46">
                  <c:v>14.62</c:v>
                </c:pt>
                <c:pt idx="47">
                  <c:v>20.88</c:v>
                </c:pt>
                <c:pt idx="48">
                  <c:v>15.13</c:v>
                </c:pt>
                <c:pt idx="49">
                  <c:v>16.579999999999998</c:v>
                </c:pt>
                <c:pt idx="50">
                  <c:v>14.88</c:v>
                </c:pt>
                <c:pt idx="51">
                  <c:v>15.47</c:v>
                </c:pt>
                <c:pt idx="52" formatCode="0.00">
                  <c:v>14.56</c:v>
                </c:pt>
                <c:pt idx="53" formatCode="0.00">
                  <c:v>17.761428571428571</c:v>
                </c:pt>
                <c:pt idx="54" formatCode="0.00">
                  <c:v>13.766</c:v>
                </c:pt>
                <c:pt idx="55" formatCode="0.00">
                  <c:v>14.452000000000002</c:v>
                </c:pt>
                <c:pt idx="56" formatCode="0.00">
                  <c:v>14.29857142857143</c:v>
                </c:pt>
                <c:pt idx="57" formatCode="0.00">
                  <c:v>16.350000000000001</c:v>
                </c:pt>
                <c:pt idx="58" formatCode="0.00">
                  <c:v>12.69</c:v>
                </c:pt>
                <c:pt idx="59" formatCode="0.00">
                  <c:v>14.188750000000001</c:v>
                </c:pt>
                <c:pt idx="60" formatCode="0.00">
                  <c:v>15.454999999999998</c:v>
                </c:pt>
                <c:pt idx="61" formatCode="0.00">
                  <c:v>14.9025</c:v>
                </c:pt>
                <c:pt idx="62" formatCode="0.00">
                  <c:v>15.281666666666668</c:v>
                </c:pt>
                <c:pt idx="63" formatCode="0.00">
                  <c:v>16.595000000000002</c:v>
                </c:pt>
                <c:pt idx="64" formatCode="0.00">
                  <c:v>17.216666666666665</c:v>
                </c:pt>
                <c:pt idx="65" formatCode="0.00">
                  <c:v>15.479999999999999</c:v>
                </c:pt>
                <c:pt idx="66" formatCode="0.00">
                  <c:v>15.699999999999998</c:v>
                </c:pt>
                <c:pt idx="67" formatCode="0.00">
                  <c:v>14.218</c:v>
                </c:pt>
                <c:pt idx="68" formatCode="0.00">
                  <c:v>17.596666666666668</c:v>
                </c:pt>
                <c:pt idx="69" formatCode="0.00">
                  <c:v>17.3</c:v>
                </c:pt>
                <c:pt idx="70" formatCode="0.00">
                  <c:v>16.326666666666668</c:v>
                </c:pt>
                <c:pt idx="71" formatCode="0.00">
                  <c:v>17.681666666666668</c:v>
                </c:pt>
                <c:pt idx="72" formatCode="0.00">
                  <c:v>14.248571428571427</c:v>
                </c:pt>
                <c:pt idx="73" formatCode="0.00">
                  <c:v>13.398333333333333</c:v>
                </c:pt>
                <c:pt idx="74" formatCode="0.00">
                  <c:v>12.932857142857143</c:v>
                </c:pt>
                <c:pt idx="75" formatCode="0.00">
                  <c:v>14.4925</c:v>
                </c:pt>
                <c:pt idx="76" formatCode="0.00">
                  <c:v>13.261666666666668</c:v>
                </c:pt>
                <c:pt idx="77" formatCode="0.00">
                  <c:v>13.910000000000002</c:v>
                </c:pt>
                <c:pt idx="78" formatCode="0.00">
                  <c:v>12.8775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E8-4D01-9CA7-6A64729885D2}"/>
            </c:ext>
          </c:extLst>
        </c:ser>
        <c:ser>
          <c:idx val="2"/>
          <c:order val="1"/>
          <c:tx>
            <c:strRef>
              <c:f>Wet!$Y$4</c:f>
              <c:strCache>
                <c:ptCount val="1"/>
                <c:pt idx="0">
                  <c:v>Max-CP8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Wet!$Y$5:$Y$95</c:f>
              <c:numCache>
                <c:formatCode>General</c:formatCode>
                <c:ptCount val="9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E8-4D01-9CA7-6A64729885D2}"/>
            </c:ext>
          </c:extLst>
        </c:ser>
        <c:ser>
          <c:idx val="1"/>
          <c:order val="2"/>
          <c:tx>
            <c:strRef>
              <c:f>Wet!$X$4</c:f>
              <c:strCache>
                <c:ptCount val="1"/>
                <c:pt idx="0">
                  <c:v>Min-CP8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Wet!$C$2:$C$86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70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Wet!$X$5:$X$95</c:f>
              <c:numCache>
                <c:formatCode>General</c:formatCode>
                <c:ptCount val="9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E8-4D01-9CA7-6A647298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41728"/>
        <c:axId val="1778544128"/>
      </c:lineChart>
      <c:catAx>
        <c:axId val="1453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44128"/>
        <c:crosses val="autoZero"/>
        <c:auto val="1"/>
        <c:lblAlgn val="ctr"/>
        <c:lblOffset val="100"/>
        <c:noMultiLvlLbl val="0"/>
      </c:catAx>
      <c:valAx>
        <c:axId val="1778544128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41728"/>
        <c:crosses val="autoZero"/>
        <c:crossBetween val="between"/>
        <c:majorUnit val="2"/>
      </c:valAx>
      <c:spPr>
        <a:noFill/>
        <a:ln>
          <a:solidFill>
            <a:srgbClr val="FD559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113107</xdr:colOff>
      <xdr:row>3</xdr:row>
      <xdr:rowOff>75009</xdr:rowOff>
    </xdr:from>
    <xdr:to>
      <xdr:col>64</xdr:col>
      <xdr:colOff>83343</xdr:colOff>
      <xdr:row>35</xdr:row>
      <xdr:rowOff>35718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22D82-510A-10B4-E468-57668AF62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35719</xdr:colOff>
      <xdr:row>39</xdr:row>
      <xdr:rowOff>0</xdr:rowOff>
    </xdr:from>
    <xdr:to>
      <xdr:col>64</xdr:col>
      <xdr:colOff>5955</xdr:colOff>
      <xdr:row>70</xdr:row>
      <xdr:rowOff>151209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CFF006-9B43-489B-B450-6E827027C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73</xdr:row>
      <xdr:rowOff>0</xdr:rowOff>
    </xdr:from>
    <xdr:to>
      <xdr:col>63</xdr:col>
      <xdr:colOff>422674</xdr:colOff>
      <xdr:row>104</xdr:row>
      <xdr:rowOff>151209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7666E6-2662-4B15-86F3-A669A1725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107</xdr:row>
      <xdr:rowOff>0</xdr:rowOff>
    </xdr:from>
    <xdr:to>
      <xdr:col>63</xdr:col>
      <xdr:colOff>422674</xdr:colOff>
      <xdr:row>138</xdr:row>
      <xdr:rowOff>151209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C97A8C-0BEB-4384-8E6E-97DE14C67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141</xdr:row>
      <xdr:rowOff>0</xdr:rowOff>
    </xdr:from>
    <xdr:to>
      <xdr:col>63</xdr:col>
      <xdr:colOff>422674</xdr:colOff>
      <xdr:row>172</xdr:row>
      <xdr:rowOff>151209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6E45F0-55A8-4C0B-AF0A-2B9CA6937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rris Fadhilla Said" id="{E358F9F8-7ADA-40F1-8536-CF1977D19401}" userId="f13323e7f1bb8c0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R15" dT="2026-07-08T07:32:04.23" personId="{E358F9F8-7ADA-40F1-8536-CF1977D19401}" id="{0CD0E118-7B7E-4CC9-8972-ACB451011051}">
    <text>2 Metal, 39 Jamur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6009-0949-426B-B05C-1A1CEB9BF472}">
  <dimension ref="A1:M29"/>
  <sheetViews>
    <sheetView workbookViewId="0">
      <selection activeCell="F10" sqref="F10"/>
    </sheetView>
  </sheetViews>
  <sheetFormatPr defaultRowHeight="14.5"/>
  <cols>
    <col min="1" max="1" width="13.453125" style="110" bestFit="1" customWidth="1"/>
    <col min="2" max="2" width="21.7265625" bestFit="1" customWidth="1"/>
    <col min="3" max="3" width="41.453125" customWidth="1"/>
    <col min="4" max="4" width="15.1796875" bestFit="1" customWidth="1"/>
    <col min="5" max="5" width="15.1796875" customWidth="1"/>
    <col min="6" max="6" width="10.453125" bestFit="1" customWidth="1"/>
    <col min="7" max="10" width="5.453125" bestFit="1" customWidth="1"/>
    <col min="11" max="11" width="12.54296875" bestFit="1" customWidth="1"/>
    <col min="12" max="12" width="22.7265625" bestFit="1" customWidth="1"/>
    <col min="13" max="13" width="21.81640625" bestFit="1" customWidth="1"/>
  </cols>
  <sheetData>
    <row r="1" spans="1:4">
      <c r="A1" s="110" t="s">
        <v>688</v>
      </c>
    </row>
    <row r="3" spans="1:4" s="110" customFormat="1">
      <c r="A3" s="374"/>
      <c r="B3" s="374" t="s">
        <v>689</v>
      </c>
      <c r="C3" s="374" t="s">
        <v>698</v>
      </c>
      <c r="D3" s="374" t="s">
        <v>690</v>
      </c>
    </row>
    <row r="4" spans="1:4">
      <c r="A4" s="374" t="s">
        <v>241</v>
      </c>
      <c r="B4" s="141" t="s">
        <v>691</v>
      </c>
      <c r="C4" s="141" t="s">
        <v>175</v>
      </c>
      <c r="D4" s="141" t="s">
        <v>692</v>
      </c>
    </row>
    <row r="5" spans="1:4">
      <c r="A5" s="500" t="s">
        <v>242</v>
      </c>
      <c r="B5" s="141" t="s">
        <v>694</v>
      </c>
      <c r="C5" s="141" t="s">
        <v>700</v>
      </c>
      <c r="D5" s="141" t="s">
        <v>704</v>
      </c>
    </row>
    <row r="6" spans="1:4">
      <c r="A6" s="501"/>
      <c r="B6" s="141" t="s">
        <v>693</v>
      </c>
      <c r="C6" s="141" t="s">
        <v>701</v>
      </c>
      <c r="D6" s="141" t="s">
        <v>705</v>
      </c>
    </row>
    <row r="7" spans="1:4">
      <c r="A7" s="501"/>
      <c r="B7" s="141" t="s">
        <v>695</v>
      </c>
      <c r="C7" s="141" t="s">
        <v>702</v>
      </c>
      <c r="D7" s="141" t="s">
        <v>706</v>
      </c>
    </row>
    <row r="8" spans="1:4">
      <c r="A8" s="501"/>
      <c r="B8" s="141" t="s">
        <v>696</v>
      </c>
      <c r="C8" s="141" t="s">
        <v>699</v>
      </c>
      <c r="D8" s="141" t="s">
        <v>707</v>
      </c>
    </row>
    <row r="9" spans="1:4">
      <c r="A9" s="506"/>
      <c r="B9" s="141" t="s">
        <v>697</v>
      </c>
      <c r="C9" s="141" t="s">
        <v>703</v>
      </c>
      <c r="D9" s="141" t="s">
        <v>708</v>
      </c>
    </row>
    <row r="10" spans="1:4">
      <c r="A10" s="500" t="s">
        <v>243</v>
      </c>
      <c r="B10" s="141" t="s">
        <v>715</v>
      </c>
      <c r="C10" s="141" t="s">
        <v>714</v>
      </c>
      <c r="D10" s="141" t="s">
        <v>709</v>
      </c>
    </row>
    <row r="11" spans="1:4">
      <c r="A11" s="501"/>
      <c r="B11" s="141" t="s">
        <v>142</v>
      </c>
      <c r="C11" s="442" t="s">
        <v>717</v>
      </c>
      <c r="D11" s="141" t="s">
        <v>709</v>
      </c>
    </row>
    <row r="12" spans="1:4">
      <c r="A12" s="501"/>
      <c r="B12" s="141" t="s">
        <v>61</v>
      </c>
      <c r="C12" s="442" t="s">
        <v>716</v>
      </c>
      <c r="D12" s="141" t="s">
        <v>709</v>
      </c>
    </row>
    <row r="13" spans="1:4">
      <c r="A13" s="501"/>
      <c r="B13" s="141" t="s">
        <v>63</v>
      </c>
      <c r="C13" s="442" t="s">
        <v>718</v>
      </c>
      <c r="D13" s="141" t="s">
        <v>709</v>
      </c>
    </row>
    <row r="14" spans="1:4">
      <c r="A14" s="506"/>
      <c r="B14" s="141" t="s">
        <v>64</v>
      </c>
      <c r="C14" s="442" t="s">
        <v>719</v>
      </c>
      <c r="D14" s="141" t="s">
        <v>709</v>
      </c>
    </row>
    <row r="15" spans="1:4">
      <c r="A15" s="500" t="s">
        <v>244</v>
      </c>
      <c r="B15" s="141" t="s">
        <v>710</v>
      </c>
      <c r="C15" s="141" t="s">
        <v>699</v>
      </c>
      <c r="D15" s="141" t="s">
        <v>711</v>
      </c>
    </row>
    <row r="16" spans="1:4">
      <c r="A16" s="501"/>
      <c r="B16" s="141" t="s">
        <v>712</v>
      </c>
      <c r="C16" s="141" t="s">
        <v>175</v>
      </c>
      <c r="D16" s="141" t="s">
        <v>713</v>
      </c>
    </row>
    <row r="17" spans="1:13">
      <c r="A17" s="501"/>
      <c r="B17" s="141" t="s">
        <v>61</v>
      </c>
      <c r="C17" s="442" t="s">
        <v>716</v>
      </c>
      <c r="D17" s="141" t="s">
        <v>720</v>
      </c>
    </row>
    <row r="18" spans="1:13">
      <c r="A18" s="501"/>
      <c r="B18" s="141" t="s">
        <v>63</v>
      </c>
      <c r="C18" s="442" t="s">
        <v>718</v>
      </c>
      <c r="D18" s="141" t="s">
        <v>720</v>
      </c>
      <c r="F18" s="504"/>
      <c r="G18" s="502" t="s">
        <v>753</v>
      </c>
      <c r="H18" s="503"/>
      <c r="I18" s="502" t="s">
        <v>738</v>
      </c>
      <c r="J18" s="503"/>
      <c r="K18" s="376" t="s">
        <v>486</v>
      </c>
      <c r="L18" s="376" t="s">
        <v>744</v>
      </c>
      <c r="M18" s="376" t="s">
        <v>752</v>
      </c>
    </row>
    <row r="19" spans="1:13">
      <c r="A19" s="506"/>
      <c r="B19" s="141" t="s">
        <v>64</v>
      </c>
      <c r="C19" s="442" t="s">
        <v>721</v>
      </c>
      <c r="D19" s="141" t="s">
        <v>720</v>
      </c>
      <c r="F19" s="505"/>
      <c r="G19" s="376" t="s">
        <v>736</v>
      </c>
      <c r="H19" s="376" t="s">
        <v>737</v>
      </c>
      <c r="I19" s="376" t="s">
        <v>736</v>
      </c>
      <c r="J19" s="376" t="s">
        <v>737</v>
      </c>
      <c r="K19" s="376" t="s">
        <v>737</v>
      </c>
      <c r="L19" s="376" t="s">
        <v>737</v>
      </c>
      <c r="M19" s="376" t="s">
        <v>737</v>
      </c>
    </row>
    <row r="20" spans="1:13">
      <c r="A20" s="500" t="s">
        <v>246</v>
      </c>
      <c r="B20" s="141" t="s">
        <v>142</v>
      </c>
      <c r="C20" s="442" t="s">
        <v>717</v>
      </c>
      <c r="D20" s="141" t="s">
        <v>724</v>
      </c>
      <c r="F20" s="448" t="s">
        <v>739</v>
      </c>
      <c r="G20" s="23">
        <v>0.08</v>
      </c>
      <c r="H20" s="23">
        <v>0.13</v>
      </c>
      <c r="I20" s="43">
        <v>0.08</v>
      </c>
      <c r="J20" s="43">
        <v>0.16</v>
      </c>
      <c r="K20" s="43">
        <v>0.16</v>
      </c>
      <c r="L20" s="23" t="s">
        <v>745</v>
      </c>
      <c r="M20" s="43">
        <v>0.16</v>
      </c>
    </row>
    <row r="21" spans="1:13">
      <c r="A21" s="501"/>
      <c r="B21" s="141" t="s">
        <v>723</v>
      </c>
      <c r="C21" s="442" t="s">
        <v>725</v>
      </c>
      <c r="D21" s="141" t="s">
        <v>724</v>
      </c>
      <c r="F21" s="448" t="s">
        <v>740</v>
      </c>
      <c r="G21" s="23">
        <v>0.5</v>
      </c>
      <c r="H21" s="23">
        <v>0.5</v>
      </c>
      <c r="I21" s="43">
        <v>0.75</v>
      </c>
      <c r="J21" s="43">
        <v>1</v>
      </c>
      <c r="K21" s="43">
        <v>0.8</v>
      </c>
      <c r="L21" s="23" t="s">
        <v>746</v>
      </c>
      <c r="M21" s="43">
        <v>1</v>
      </c>
    </row>
    <row r="22" spans="1:13">
      <c r="A22" s="501"/>
      <c r="B22" s="141" t="s">
        <v>480</v>
      </c>
      <c r="C22" s="442" t="s">
        <v>726</v>
      </c>
      <c r="D22" s="141" t="s">
        <v>724</v>
      </c>
      <c r="F22" s="448" t="s">
        <v>741</v>
      </c>
      <c r="G22" s="23">
        <v>0.4</v>
      </c>
      <c r="H22" s="23">
        <v>0.4</v>
      </c>
      <c r="I22" s="43">
        <v>0.8</v>
      </c>
      <c r="J22" s="43">
        <v>0.8</v>
      </c>
      <c r="K22" s="43">
        <v>0.8</v>
      </c>
      <c r="L22" s="23" t="s">
        <v>747</v>
      </c>
      <c r="M22" s="43">
        <v>0.8</v>
      </c>
    </row>
    <row r="23" spans="1:13">
      <c r="A23" s="501"/>
      <c r="B23" s="141" t="s">
        <v>61</v>
      </c>
      <c r="C23" s="442" t="s">
        <v>716</v>
      </c>
      <c r="D23" s="141" t="s">
        <v>724</v>
      </c>
      <c r="F23" s="448" t="s">
        <v>61</v>
      </c>
      <c r="G23" s="23">
        <v>32</v>
      </c>
      <c r="H23" s="23">
        <v>32</v>
      </c>
      <c r="I23" s="447">
        <v>30</v>
      </c>
      <c r="J23" s="447">
        <v>30</v>
      </c>
      <c r="K23" s="447">
        <v>30</v>
      </c>
      <c r="L23" s="23" t="s">
        <v>748</v>
      </c>
      <c r="M23" s="447">
        <v>30</v>
      </c>
    </row>
    <row r="24" spans="1:13">
      <c r="A24" s="501"/>
      <c r="B24" s="141" t="s">
        <v>63</v>
      </c>
      <c r="C24" s="442" t="s">
        <v>718</v>
      </c>
      <c r="D24" s="141" t="s">
        <v>724</v>
      </c>
      <c r="F24" s="448" t="s">
        <v>63</v>
      </c>
      <c r="G24" s="23">
        <v>65</v>
      </c>
      <c r="H24" s="23">
        <v>65</v>
      </c>
      <c r="I24" s="447">
        <v>50</v>
      </c>
      <c r="J24" s="447">
        <v>40</v>
      </c>
      <c r="K24" s="447">
        <v>50</v>
      </c>
      <c r="L24" s="23" t="s">
        <v>749</v>
      </c>
      <c r="M24" s="447">
        <v>40</v>
      </c>
    </row>
    <row r="25" spans="1:13">
      <c r="A25" s="501"/>
      <c r="B25" s="141" t="s">
        <v>419</v>
      </c>
      <c r="C25" s="442" t="s">
        <v>727</v>
      </c>
      <c r="D25" s="141" t="s">
        <v>724</v>
      </c>
      <c r="F25" s="448" t="s">
        <v>419</v>
      </c>
      <c r="G25" s="23">
        <v>0.25</v>
      </c>
      <c r="H25" s="23">
        <v>0.25</v>
      </c>
      <c r="I25" s="43">
        <v>0.6</v>
      </c>
      <c r="J25" s="43">
        <v>0.6</v>
      </c>
      <c r="K25" s="43">
        <v>0.6</v>
      </c>
      <c r="L25" s="43">
        <v>0.6</v>
      </c>
      <c r="M25" s="43">
        <v>0.6</v>
      </c>
    </row>
    <row r="26" spans="1:13">
      <c r="A26" s="501"/>
      <c r="B26" s="141" t="s">
        <v>64</v>
      </c>
      <c r="C26" s="442" t="s">
        <v>721</v>
      </c>
      <c r="D26" s="141" t="s">
        <v>724</v>
      </c>
      <c r="F26" s="449" t="s">
        <v>64</v>
      </c>
      <c r="G26" s="450">
        <v>65</v>
      </c>
      <c r="H26" s="450">
        <v>65</v>
      </c>
      <c r="I26" s="450" t="s">
        <v>175</v>
      </c>
      <c r="J26" s="450" t="s">
        <v>175</v>
      </c>
      <c r="K26" s="451" t="s">
        <v>742</v>
      </c>
      <c r="L26" s="450" t="s">
        <v>750</v>
      </c>
      <c r="M26" s="450">
        <v>60</v>
      </c>
    </row>
    <row r="27" spans="1:13" ht="29">
      <c r="A27" s="443" t="s">
        <v>247</v>
      </c>
      <c r="B27" s="444" t="s">
        <v>592</v>
      </c>
      <c r="C27" s="445" t="s">
        <v>728</v>
      </c>
      <c r="D27" s="444" t="s">
        <v>729</v>
      </c>
      <c r="E27" s="446"/>
      <c r="F27" s="452"/>
      <c r="G27" s="452"/>
      <c r="H27" s="452"/>
      <c r="I27" s="452"/>
      <c r="J27" s="452"/>
      <c r="K27" s="453" t="s">
        <v>743</v>
      </c>
      <c r="L27" s="454" t="s">
        <v>751</v>
      </c>
      <c r="M27" s="452"/>
    </row>
    <row r="28" spans="1:13">
      <c r="A28" s="374" t="s">
        <v>245</v>
      </c>
      <c r="B28" s="141" t="s">
        <v>730</v>
      </c>
      <c r="C28" s="442" t="s">
        <v>731</v>
      </c>
      <c r="D28" s="141" t="s">
        <v>732</v>
      </c>
    </row>
    <row r="29" spans="1:13">
      <c r="A29" s="374" t="s">
        <v>678</v>
      </c>
      <c r="B29" s="141" t="s">
        <v>733</v>
      </c>
      <c r="C29" s="442" t="s">
        <v>734</v>
      </c>
      <c r="D29" s="141" t="s">
        <v>735</v>
      </c>
    </row>
  </sheetData>
  <mergeCells count="7">
    <mergeCell ref="A20:A26"/>
    <mergeCell ref="G18:H18"/>
    <mergeCell ref="I18:J18"/>
    <mergeCell ref="F18:F19"/>
    <mergeCell ref="A5:A9"/>
    <mergeCell ref="A10:A14"/>
    <mergeCell ref="A15:A19"/>
  </mergeCells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E9EF-6EF6-4795-93F6-DDF6086601E4}">
  <dimension ref="A1:Y21"/>
  <sheetViews>
    <sheetView topLeftCell="J1" workbookViewId="0">
      <selection activeCell="H9" sqref="H9"/>
    </sheetView>
  </sheetViews>
  <sheetFormatPr defaultRowHeight="14.5"/>
  <cols>
    <col min="2" max="2" width="11.81640625" style="477" bestFit="1" customWidth="1"/>
    <col min="3" max="4" width="11.1796875" bestFit="1" customWidth="1"/>
    <col min="5" max="5" width="10.54296875" bestFit="1" customWidth="1"/>
    <col min="6" max="6" width="10.453125" customWidth="1"/>
    <col min="7" max="7" width="13.54296875" bestFit="1" customWidth="1"/>
    <col min="8" max="8" width="13.453125" customWidth="1"/>
    <col min="9" max="9" width="22.54296875" bestFit="1" customWidth="1"/>
    <col min="10" max="10" width="5.1796875" bestFit="1" customWidth="1"/>
    <col min="11" max="11" width="7.81640625" customWidth="1"/>
    <col min="12" max="12" width="6.81640625" bestFit="1" customWidth="1"/>
    <col min="13" max="14" width="7.453125" bestFit="1" customWidth="1"/>
    <col min="16" max="16" width="16.26953125" bestFit="1" customWidth="1"/>
    <col min="17" max="17" width="17.1796875" bestFit="1" customWidth="1"/>
    <col min="18" max="18" width="10.26953125" bestFit="1" customWidth="1"/>
  </cols>
  <sheetData>
    <row r="1" spans="1:25">
      <c r="A1" s="110" t="s">
        <v>240</v>
      </c>
    </row>
    <row r="2" spans="1:25">
      <c r="A2" s="110"/>
    </row>
    <row r="3" spans="1:25">
      <c r="A3" s="508" t="s">
        <v>0</v>
      </c>
      <c r="B3" s="509" t="s">
        <v>241</v>
      </c>
      <c r="C3" s="508" t="s">
        <v>242</v>
      </c>
      <c r="D3" s="508" t="s">
        <v>243</v>
      </c>
      <c r="E3" s="508" t="s">
        <v>244</v>
      </c>
      <c r="F3" s="508"/>
      <c r="G3" s="508"/>
      <c r="J3" s="507" t="s">
        <v>246</v>
      </c>
      <c r="K3" s="507"/>
      <c r="L3" s="507"/>
      <c r="M3" s="507"/>
      <c r="N3" s="507"/>
      <c r="P3" s="110" t="s">
        <v>247</v>
      </c>
      <c r="Q3" s="110" t="s">
        <v>245</v>
      </c>
      <c r="R3" s="110" t="s">
        <v>248</v>
      </c>
      <c r="S3" s="110" t="s">
        <v>249</v>
      </c>
    </row>
    <row r="4" spans="1:25" s="110" customFormat="1">
      <c r="A4" s="508"/>
      <c r="B4" s="509"/>
      <c r="C4" s="508"/>
      <c r="D4" s="508"/>
      <c r="E4" s="122" t="s">
        <v>757</v>
      </c>
      <c r="F4" s="122" t="s">
        <v>758</v>
      </c>
      <c r="G4" s="122" t="s">
        <v>759</v>
      </c>
      <c r="I4" s="110" t="s">
        <v>814</v>
      </c>
      <c r="J4" s="110" t="s">
        <v>430</v>
      </c>
      <c r="K4" s="110" t="s">
        <v>760</v>
      </c>
      <c r="L4" s="110" t="s">
        <v>761</v>
      </c>
      <c r="M4" s="110" t="s">
        <v>762</v>
      </c>
      <c r="N4" s="110" t="s">
        <v>763</v>
      </c>
      <c r="P4" s="110" t="s">
        <v>812</v>
      </c>
      <c r="Q4" s="110" t="s">
        <v>813</v>
      </c>
      <c r="U4" s="21"/>
      <c r="V4" s="21"/>
      <c r="W4" s="21"/>
      <c r="X4" s="21"/>
      <c r="Y4" s="21"/>
    </row>
    <row r="5" spans="1:25">
      <c r="A5">
        <v>27</v>
      </c>
      <c r="B5" s="477">
        <f>SUMIF(RM!B:B,Sum!A5,RM!G:G)</f>
        <v>34041.866617659733</v>
      </c>
      <c r="C5" s="477">
        <f>SUMIF(Ampaian!A:A,Sum!A5,Ampaian!G:G)</f>
        <v>0</v>
      </c>
      <c r="D5" s="477">
        <f>SUMIF(Ampaian!A:A,Sum!A5,Ampaian!U:U)</f>
        <v>0</v>
      </c>
      <c r="E5" s="477">
        <f>SUMIF(Dry!A:A,Sum!A5,Dry!AP:AP)</f>
        <v>665</v>
      </c>
      <c r="F5" s="477">
        <f>SUMIF(Dry!A:A,Sum!A5,Dry!AS:AS)</f>
        <v>3570</v>
      </c>
      <c r="G5" s="477">
        <f>SUM(E5:F5)</f>
        <v>4235</v>
      </c>
      <c r="I5" s="441">
        <f>MAX(Lab!H5:H1048576)</f>
        <v>46312</v>
      </c>
      <c r="J5">
        <f>COUNTIFS(Lab!D5:D1048576,"&lt;0")</f>
        <v>99</v>
      </c>
      <c r="K5" s="484">
        <f>COUNTIFS(Lab!N5:N1048576,"&gt;30",Lab!D5:D1048576,"&lt;0")</f>
        <v>97</v>
      </c>
      <c r="L5">
        <f>COUNTIFS(Lab!N5:N1048576,"&lt;30",Lab!D5:D1048576,"&lt;0")</f>
        <v>2</v>
      </c>
      <c r="M5">
        <f>COUNTIFS(Lab!P5:P1048576,"&gt;65",Lab!D5:D1048576,"&lt;0")</f>
        <v>97</v>
      </c>
      <c r="N5">
        <f>COUNTIFS(Lab!P5:P1048576,"&lt;65",Lab!D5:D1048576,"&lt;0")</f>
        <v>2</v>
      </c>
      <c r="U5" s="26"/>
      <c r="V5" s="26"/>
      <c r="W5" s="26"/>
      <c r="X5" s="26"/>
    </row>
    <row r="6" spans="1:25">
      <c r="A6">
        <v>28</v>
      </c>
      <c r="B6" s="477">
        <f>SUMIF(RM!B:B,Sum!A6,RM!G:G)</f>
        <v>39527.682408557914</v>
      </c>
      <c r="C6" s="477">
        <f>SUMIF(Ampaian!A:A,Sum!A6,Ampaian!G:G)</f>
        <v>64256.1708</v>
      </c>
      <c r="D6" s="477">
        <f>SUMIF(Ampaian!A:A,Sum!A6,Ampaian!U:U)</f>
        <v>46913.344886711107</v>
      </c>
      <c r="E6" s="477">
        <f>SUMIF(Dry!A:A,Sum!A6,Dry!AP:AP)</f>
        <v>44730</v>
      </c>
      <c r="F6" s="477">
        <f>SUMIF(Dry!A:A,Sum!A6,Dry!AS:AS)</f>
        <v>2310</v>
      </c>
      <c r="G6" s="477">
        <f t="shared" ref="G6:G21" si="0">SUM(E6:F6)</f>
        <v>47040</v>
      </c>
      <c r="J6" s="484"/>
      <c r="U6" s="26"/>
      <c r="V6" s="26"/>
      <c r="W6" s="26"/>
      <c r="X6" s="26"/>
    </row>
    <row r="7" spans="1:25">
      <c r="A7">
        <v>1</v>
      </c>
      <c r="B7" s="477">
        <f>SUMIF(RM!B:B,Sum!A7,RM!G:G)</f>
        <v>34042.634401504169</v>
      </c>
      <c r="C7" s="477">
        <f>SUMIF(Ampaian!A:A,Sum!A7,Ampaian!G:G)</f>
        <v>35336.111000000004</v>
      </c>
      <c r="D7" s="477">
        <f>SUMIF(Ampaian!A:A,Sum!A7,Ampaian!U:U)</f>
        <v>8247.925105102222</v>
      </c>
      <c r="E7" s="477">
        <f>SUMIF(Dry!A:A,Sum!A7,Dry!AP:AP)</f>
        <v>30380</v>
      </c>
      <c r="F7" s="477">
        <f>SUMIF(Dry!A:A,Sum!A7,Dry!AS:AS)</f>
        <v>1190</v>
      </c>
      <c r="G7" s="477">
        <f t="shared" si="0"/>
        <v>31570</v>
      </c>
      <c r="U7" s="26"/>
      <c r="V7" s="26"/>
      <c r="W7" s="26"/>
      <c r="X7" s="26"/>
      <c r="Y7" s="26"/>
    </row>
    <row r="8" spans="1:25">
      <c r="A8">
        <v>2</v>
      </c>
      <c r="B8" s="477">
        <f>SUMIF(RM!B:B,Sum!A8,RM!G:G)</f>
        <v>37654.909063366933</v>
      </c>
      <c r="C8" s="477">
        <f>SUMIF(Ampaian!A:A,Sum!A8,Ampaian!G:G)</f>
        <v>38562.140200000002</v>
      </c>
      <c r="D8" s="477">
        <f>SUMIF(Ampaian!A:A,Sum!A8,Ampaian!U:U)</f>
        <v>12131.807659253336</v>
      </c>
      <c r="E8" s="477">
        <f>SUMIF(Dry!A:A,Sum!A8,Dry!AP:AP)</f>
        <v>33040</v>
      </c>
      <c r="F8" s="477">
        <f>SUMIF(Dry!A:A,Sum!A8,Dry!AS:AS)</f>
        <v>3220</v>
      </c>
      <c r="G8" s="477">
        <f t="shared" si="0"/>
        <v>36260</v>
      </c>
      <c r="U8" s="26"/>
      <c r="V8" s="26"/>
      <c r="W8" s="26"/>
      <c r="X8" s="26"/>
      <c r="Y8" s="26"/>
    </row>
    <row r="9" spans="1:25">
      <c r="A9">
        <v>3</v>
      </c>
      <c r="B9" s="477">
        <f>SUMIF(RM!B:B,Sum!A9,RM!G:G)</f>
        <v>35011.847796331786</v>
      </c>
      <c r="C9" s="477">
        <f>SUMIF(Ampaian!A:A,Sum!A9,Ampaian!G:G)</f>
        <v>36619.7788</v>
      </c>
      <c r="D9" s="477">
        <f>SUMIF(Ampaian!A:A,Sum!A9,Ampaian!U:U)</f>
        <v>2998.4885698444455</v>
      </c>
      <c r="E9" s="477">
        <f>SUMIF(Dry!A:A,Sum!A9,Dry!AP:AP)</f>
        <v>29085</v>
      </c>
      <c r="F9" s="477">
        <f>SUMIF(Dry!A:A,Sum!A9,Dry!AS:AS)</f>
        <v>1925</v>
      </c>
      <c r="G9" s="477">
        <f t="shared" si="0"/>
        <v>31010</v>
      </c>
      <c r="U9" s="26"/>
      <c r="V9" s="26"/>
      <c r="W9" s="26"/>
      <c r="X9" s="26"/>
      <c r="Y9" s="26"/>
    </row>
    <row r="10" spans="1:25">
      <c r="A10">
        <v>4</v>
      </c>
      <c r="B10" s="477">
        <f>SUMIF(RM!B:B,Sum!A10,RM!G:G)</f>
        <v>43045.55085002671</v>
      </c>
      <c r="C10" s="477">
        <f>SUMIF(Ampaian!A:A,Sum!A10,Ampaian!G:G)</f>
        <v>39744.928893333337</v>
      </c>
      <c r="D10" s="477">
        <f>SUMIF(Ampaian!A:A,Sum!A10,Ampaian!U:U)</f>
        <v>38166.224940356893</v>
      </c>
      <c r="E10" s="477">
        <f>SUMIF(Dry!A:A,Sum!A10,Dry!AP:AP)</f>
        <v>34860</v>
      </c>
      <c r="F10" s="477">
        <f>SUMIF(Dry!A:A,Sum!A10,Dry!AS:AS)</f>
        <v>1155</v>
      </c>
      <c r="G10" s="477">
        <f t="shared" si="0"/>
        <v>36015</v>
      </c>
      <c r="U10" s="26"/>
      <c r="V10" s="26"/>
      <c r="W10" s="26"/>
      <c r="X10" s="26"/>
      <c r="Y10" s="26"/>
    </row>
    <row r="11" spans="1:25">
      <c r="A11">
        <v>5</v>
      </c>
      <c r="B11" s="477">
        <f>SUMIF(RM!B:B,Sum!A11,RM!G:G)</f>
        <v>35483.132955495617</v>
      </c>
      <c r="C11" s="477">
        <f>SUMIF(Ampaian!A:A,Sum!A11,Ampaian!G:G)</f>
        <v>40311.510533333334</v>
      </c>
      <c r="D11" s="477">
        <f>SUMIF(Ampaian!A:A,Sum!A11,Ampaian!U:U)</f>
        <v>36487.817513235554</v>
      </c>
      <c r="E11" s="477">
        <f>SUMIF(Dry!A:A,Sum!A11,Dry!AP:AP)</f>
        <v>28910</v>
      </c>
      <c r="F11" s="477">
        <f>SUMIF(Dry!A:A,Sum!A11,Dry!AS:AS)</f>
        <v>8855</v>
      </c>
      <c r="G11" s="477">
        <f t="shared" si="0"/>
        <v>37765</v>
      </c>
    </row>
    <row r="12" spans="1:25">
      <c r="A12">
        <v>6</v>
      </c>
      <c r="B12" s="477">
        <f>SUMIF(RM!B:B,Sum!A12,RM!G:G)</f>
        <v>36470.120318900685</v>
      </c>
      <c r="C12" s="477">
        <f>SUMIF(Ampaian!A:A,Sum!A12,Ampaian!G:G)</f>
        <v>37310.302800000005</v>
      </c>
      <c r="D12" s="477">
        <f>SUMIF(Ampaian!A:A,Sum!A12,Ampaian!U:U)</f>
        <v>36239.724863013333</v>
      </c>
      <c r="E12" s="477">
        <f>SUMIF(Dry!A:A,Sum!A12,Dry!AP:AP)</f>
        <v>30660</v>
      </c>
      <c r="F12" s="477">
        <f>SUMIF(Dry!A:A,Sum!A12,Dry!AS:AS)</f>
        <v>7350</v>
      </c>
      <c r="G12" s="477">
        <f t="shared" si="0"/>
        <v>38010</v>
      </c>
    </row>
    <row r="13" spans="1:25">
      <c r="A13">
        <v>7</v>
      </c>
      <c r="B13" s="477">
        <f>SUMIF(RM!B:B,Sum!A13,RM!G:G)</f>
        <v>36097.966082182167</v>
      </c>
      <c r="C13" s="477">
        <f>SUMIF(Ampaian!A:A,Sum!A13,Ampaian!G:G)</f>
        <v>37596.615266666675</v>
      </c>
      <c r="D13" s="477">
        <f>SUMIF(Ampaian!A:A,Sum!A13,Ampaian!U:U)</f>
        <v>36507.480183484447</v>
      </c>
      <c r="E13" s="477">
        <f>SUMIF(Dry!A:A,Sum!A13,Dry!AP:AP)</f>
        <v>44135</v>
      </c>
      <c r="F13" s="477">
        <f>SUMIF(Dry!A:A,Sum!A13,Dry!AS:AS)</f>
        <v>700</v>
      </c>
      <c r="G13" s="477">
        <f t="shared" si="0"/>
        <v>44835</v>
      </c>
    </row>
    <row r="14" spans="1:25">
      <c r="A14">
        <v>8</v>
      </c>
      <c r="B14" s="477">
        <f>SUMIF(RM!B:B,Sum!A14,RM!G:G)</f>
        <v>53986.292833943786</v>
      </c>
      <c r="C14" s="477">
        <f>SUMIF(Ampaian!A:A,Sum!A14,Ampaian!G:G)</f>
        <v>59467.973566666667</v>
      </c>
      <c r="D14" s="477">
        <f>SUMIF(Ampaian!A:A,Sum!A14,Ampaian!U:U)</f>
        <v>54243.343314995553</v>
      </c>
      <c r="E14" s="477">
        <f>SUMIF(Dry!A:A,Sum!A14,Dry!AP:AP)</f>
        <v>0</v>
      </c>
      <c r="F14" s="477">
        <f>SUMIF(Dry!A:A,Sum!A14,Dry!AS:AS)</f>
        <v>0</v>
      </c>
      <c r="G14" s="477">
        <f t="shared" si="0"/>
        <v>0</v>
      </c>
    </row>
    <row r="15" spans="1:25">
      <c r="A15">
        <v>9</v>
      </c>
      <c r="B15" s="477">
        <f>SUMIF(RM!B:B,Sum!A15,RM!G:G)</f>
        <v>35058.465924010045</v>
      </c>
      <c r="C15" s="477">
        <f>SUMIF(Ampaian!A:A,Sum!A15,Ampaian!G:G)</f>
        <v>37109.449666666667</v>
      </c>
      <c r="D15" s="477">
        <f>SUMIF(Ampaian!A:A,Sum!A15,Ampaian!U:U)</f>
        <v>34611.984367459016</v>
      </c>
      <c r="E15" s="477">
        <f>SUMIF(Dry!A:A,Sum!A15,Dry!AP:AP)</f>
        <v>33425</v>
      </c>
      <c r="F15" s="477">
        <f>SUMIF(Dry!A:A,Sum!A15,Dry!AS:AS)</f>
        <v>1960</v>
      </c>
      <c r="G15" s="477">
        <f t="shared" si="0"/>
        <v>35385</v>
      </c>
    </row>
    <row r="16" spans="1:25">
      <c r="A16">
        <v>10</v>
      </c>
      <c r="B16" s="477">
        <f>SUMIF(RM!B:B,Sum!A16,RM!G:G)</f>
        <v>33749.762828984931</v>
      </c>
      <c r="C16" s="477">
        <f>SUMIF(Ampaian!A:A,Sum!A16,Ampaian!G:G)</f>
        <v>34008.7117</v>
      </c>
      <c r="D16" s="477">
        <f>SUMIF(Ampaian!A:A,Sum!A16,Ampaian!U:U)</f>
        <v>31278.67592046046</v>
      </c>
      <c r="E16" s="477">
        <f>SUMIF(Dry!A:A,Sum!A16,Dry!AP:AP)</f>
        <v>0</v>
      </c>
      <c r="F16" s="477">
        <f>SUMIF(Dry!A:A,Sum!A16,Dry!AS:AS)</f>
        <v>0</v>
      </c>
      <c r="G16" s="477">
        <f t="shared" si="0"/>
        <v>0</v>
      </c>
    </row>
    <row r="17" spans="1:7">
      <c r="A17">
        <v>11</v>
      </c>
      <c r="B17" s="477">
        <f>SUMIF(RM!B:B,Sum!A17,RM!G:G)</f>
        <v>142040</v>
      </c>
      <c r="C17" s="477">
        <f>SUMIF(Ampaian!A:A,Sum!A17,Ampaian!G:G)</f>
        <v>150974.80566666665</v>
      </c>
      <c r="D17" s="477">
        <f>SUMIF(Ampaian!A:A,Sum!A17,Ampaian!U:U)</f>
        <v>134226.94926907943</v>
      </c>
      <c r="E17" s="477">
        <f>SUMIF(Dry!A:A,Sum!A17,Dry!AP:AP)</f>
        <v>57120</v>
      </c>
      <c r="F17" s="477">
        <f>SUMIF(Dry!A:A,Sum!A17,Dry!AS:AS)</f>
        <v>6265</v>
      </c>
      <c r="G17" s="477">
        <f t="shared" si="0"/>
        <v>63385</v>
      </c>
    </row>
    <row r="18" spans="1:7">
      <c r="A18">
        <v>12</v>
      </c>
      <c r="B18" s="477">
        <f>SUMIF(RM!B:B,Sum!A18,RM!G:G)</f>
        <v>48860.725357244301</v>
      </c>
      <c r="C18" s="477">
        <f>SUMIF(Ampaian!A:A,Sum!A18,Ampaian!G:G)</f>
        <v>51251.540699999998</v>
      </c>
      <c r="D18" s="477">
        <f>SUMIF(Ampaian!A:A,Sum!A18,Ampaian!U:U)</f>
        <v>44656.503057377056</v>
      </c>
      <c r="E18" s="477">
        <f>SUMIF(Dry!A:A,Sum!A18,Dry!AP:AP)</f>
        <v>43085</v>
      </c>
      <c r="F18" s="477">
        <f>SUMIF(Dry!A:A,Sum!A18,Dry!AS:AS)</f>
        <v>7315</v>
      </c>
      <c r="G18" s="477">
        <f t="shared" si="0"/>
        <v>50400</v>
      </c>
    </row>
    <row r="19" spans="1:7">
      <c r="A19" s="371" t="s">
        <v>37</v>
      </c>
      <c r="B19" s="477">
        <f>SUMIF(RM!B:B,Sum!A19,RM!G:G)</f>
        <v>129416.26115667784</v>
      </c>
      <c r="C19" s="477">
        <f>SUMIF(Ampaian!A:A,Sum!A19,Ampaian!G:G)</f>
        <v>0</v>
      </c>
      <c r="D19" s="477">
        <f>SUMIF(Ampaian!A:A,Sum!A19,Ampaian!U:U)</f>
        <v>0</v>
      </c>
      <c r="E19" s="477">
        <f>SUMIF(Dry!A:A,Sum!A19,Dry!AP:AP)</f>
        <v>0</v>
      </c>
      <c r="F19" s="477">
        <f>SUMIF(Dry!A:A,Sum!A19,Dry!AS:AS)</f>
        <v>0</v>
      </c>
      <c r="G19" s="477">
        <f t="shared" si="0"/>
        <v>0</v>
      </c>
    </row>
    <row r="20" spans="1:7">
      <c r="A20">
        <v>15</v>
      </c>
      <c r="B20" s="477">
        <f>SUMIF(RM!B:B,Sum!A20,RM!G:G)</f>
        <v>106294</v>
      </c>
      <c r="C20" s="477">
        <f>SUMIF(Ampaian!A:A,Sum!A20,Ampaian!G:G)</f>
        <v>0</v>
      </c>
      <c r="D20" s="477">
        <f>SUMIF(Ampaian!A:A,Sum!A20,Ampaian!U:U)</f>
        <v>0</v>
      </c>
      <c r="E20" s="477">
        <f>SUMIF(Dry!A:A,Sum!A20,Dry!AP:AP)</f>
        <v>0</v>
      </c>
      <c r="F20" s="477">
        <f>SUMIF(Dry!A:A,Sum!A20,Dry!AS:AS)</f>
        <v>0</v>
      </c>
      <c r="G20" s="477">
        <f t="shared" si="0"/>
        <v>0</v>
      </c>
    </row>
    <row r="21" spans="1:7">
      <c r="B21" s="477">
        <f>SUMIF(RM!B:B,Sum!A21,RM!G:G)</f>
        <v>0</v>
      </c>
      <c r="C21" s="477">
        <f>SUMIF(Ampaian!A:A,Sum!A21,Ampaian!G:G)</f>
        <v>0</v>
      </c>
      <c r="D21" s="477">
        <f>SUMIF(Ampaian!A:A,Sum!A21,Ampaian!U:U)</f>
        <v>0</v>
      </c>
      <c r="E21" s="477">
        <f>SUMIF(Dry!A:A,Sum!A21,Dry!AP:AP)</f>
        <v>0</v>
      </c>
      <c r="F21" s="477">
        <f>SUMIF(Dry!A:A,Sum!A21,Dry!AS:AS)</f>
        <v>0</v>
      </c>
      <c r="G21" s="477">
        <f t="shared" si="0"/>
        <v>0</v>
      </c>
    </row>
  </sheetData>
  <mergeCells count="6">
    <mergeCell ref="J3:N3"/>
    <mergeCell ref="E3:G3"/>
    <mergeCell ref="A3:A4"/>
    <mergeCell ref="B3:B4"/>
    <mergeCell ref="C3:C4"/>
    <mergeCell ref="D3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942B-4831-4672-A918-08700AE05DDD}">
  <dimension ref="A1:H99"/>
  <sheetViews>
    <sheetView zoomScaleNormal="100" workbookViewId="0">
      <pane xSplit="3" ySplit="1" topLeftCell="D62" activePane="bottomRight" state="frozen"/>
      <selection activeCell="I8" sqref="I8"/>
      <selection pane="topRight" activeCell="I8" sqref="I8"/>
      <selection pane="bottomLeft" activeCell="I8" sqref="I8"/>
      <selection pane="bottomRight" activeCell="G5" sqref="G5:G8"/>
    </sheetView>
  </sheetViews>
  <sheetFormatPr defaultColWidth="8.7265625" defaultRowHeight="14.5"/>
  <cols>
    <col min="1" max="1" width="10.1796875" style="2" hidden="1" customWidth="1"/>
    <col min="2" max="2" width="5.54296875" style="1" bestFit="1" customWidth="1"/>
    <col min="3" max="3" width="19.26953125" style="2" bestFit="1" customWidth="1"/>
    <col min="4" max="4" width="21.453125" style="2" bestFit="1" customWidth="1"/>
    <col min="5" max="5" width="17" style="2" bestFit="1" customWidth="1"/>
    <col min="6" max="6" width="16.453125" style="2" bestFit="1" customWidth="1"/>
    <col min="7" max="7" width="13.81640625" style="2" bestFit="1" customWidth="1"/>
    <col min="8" max="8" width="13.453125" style="2" bestFit="1" customWidth="1"/>
    <col min="9" max="16384" width="8.7265625" style="2"/>
  </cols>
  <sheetData>
    <row r="1" spans="2:8" s="4" customFormat="1">
      <c r="B1" s="19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</row>
    <row r="2" spans="2:8">
      <c r="B2" s="5">
        <v>27</v>
      </c>
      <c r="C2" s="10" t="s">
        <v>7</v>
      </c>
      <c r="D2" s="6" t="s">
        <v>8</v>
      </c>
      <c r="E2" s="7">
        <f t="shared" ref="E2:E4" si="0">G2/F2*100</f>
        <v>35728.047929247907</v>
      </c>
      <c r="F2" s="8">
        <v>53.85047537292683</v>
      </c>
      <c r="G2" s="7">
        <v>19239.723651367138</v>
      </c>
      <c r="H2" s="9">
        <v>0.56517828083452515</v>
      </c>
    </row>
    <row r="3" spans="2:8">
      <c r="B3" s="5">
        <v>27</v>
      </c>
      <c r="C3" s="10" t="s">
        <v>7</v>
      </c>
      <c r="D3" s="6" t="s">
        <v>9</v>
      </c>
      <c r="E3" s="7">
        <f t="shared" si="0"/>
        <v>19043.210389894459</v>
      </c>
      <c r="F3" s="8">
        <v>53.436842251172905</v>
      </c>
      <c r="G3" s="7">
        <v>10176.090295606871</v>
      </c>
      <c r="H3" s="9">
        <v>0.29892868125885524</v>
      </c>
    </row>
    <row r="4" spans="2:8">
      <c r="B4" s="5">
        <v>27</v>
      </c>
      <c r="C4" s="10" t="s">
        <v>7</v>
      </c>
      <c r="D4" s="6" t="s">
        <v>10</v>
      </c>
      <c r="E4" s="7">
        <f t="shared" si="0"/>
        <v>7828.0358340085531</v>
      </c>
      <c r="F4" s="8">
        <v>59.095956748026708</v>
      </c>
      <c r="G4" s="7">
        <v>4626.0526706857263</v>
      </c>
      <c r="H4" s="9">
        <v>0.13589303790661972</v>
      </c>
    </row>
    <row r="5" spans="2:8">
      <c r="B5" s="5">
        <v>28</v>
      </c>
      <c r="C5" s="10" t="s">
        <v>11</v>
      </c>
      <c r="D5" s="6" t="s">
        <v>12</v>
      </c>
      <c r="E5" s="7">
        <f t="shared" ref="E5:E8" si="1">G5/F5*100</f>
        <v>819.99999999999989</v>
      </c>
      <c r="F5" s="8">
        <v>53.743247652539608</v>
      </c>
      <c r="G5" s="11">
        <v>440.69463075082479</v>
      </c>
      <c r="H5" s="9">
        <v>7.0391764317803782E-3</v>
      </c>
    </row>
    <row r="6" spans="2:8">
      <c r="B6" s="5">
        <v>28</v>
      </c>
      <c r="C6" s="10" t="s">
        <v>11</v>
      </c>
      <c r="D6" s="6" t="s">
        <v>9</v>
      </c>
      <c r="E6" s="7">
        <f t="shared" si="1"/>
        <v>31197.98703951298</v>
      </c>
      <c r="F6" s="8">
        <v>53.923384882495334</v>
      </c>
      <c r="G6" s="11">
        <v>16823.010626907595</v>
      </c>
      <c r="H6" s="9">
        <v>0.26871246358223794</v>
      </c>
    </row>
    <row r="7" spans="2:8">
      <c r="B7" s="5">
        <v>28</v>
      </c>
      <c r="C7" s="10" t="s">
        <v>11</v>
      </c>
      <c r="D7" s="6" t="s">
        <v>13</v>
      </c>
      <c r="E7" s="7">
        <f t="shared" si="1"/>
        <v>33684.853914303691</v>
      </c>
      <c r="F7" s="8">
        <v>63.998225588412794</v>
      </c>
      <c r="G7" s="11">
        <v>21557.708797203373</v>
      </c>
      <c r="H7" s="9">
        <v>0.34433937946990634</v>
      </c>
    </row>
    <row r="8" spans="2:8">
      <c r="B8" s="5">
        <v>28</v>
      </c>
      <c r="C8" s="10" t="s">
        <v>11</v>
      </c>
      <c r="D8" s="6" t="s">
        <v>10</v>
      </c>
      <c r="E8" s="7">
        <f t="shared" si="1"/>
        <v>1210.0000000000002</v>
      </c>
      <c r="F8" s="8">
        <v>58.369285429431173</v>
      </c>
      <c r="G8" s="11">
        <v>706.26835369611729</v>
      </c>
      <c r="H8" s="9">
        <v>1.1281162063127161E-2</v>
      </c>
    </row>
    <row r="9" spans="2:8">
      <c r="B9" s="5">
        <v>1</v>
      </c>
      <c r="C9" s="10" t="s">
        <v>14</v>
      </c>
      <c r="D9" s="10" t="s">
        <v>8</v>
      </c>
      <c r="E9" s="7">
        <f>G9/F9*100</f>
        <v>28644.142713517966</v>
      </c>
      <c r="F9" s="12">
        <v>54.069623439910671</v>
      </c>
      <c r="G9" s="7">
        <v>15487.780102789775</v>
      </c>
      <c r="H9" s="13">
        <v>0.45495245521026567</v>
      </c>
    </row>
    <row r="10" spans="2:8">
      <c r="B10" s="5">
        <v>1</v>
      </c>
      <c r="C10" s="10" t="s">
        <v>14</v>
      </c>
      <c r="D10" s="10" t="s">
        <v>13</v>
      </c>
      <c r="E10" s="7">
        <f t="shared" ref="E10:E13" si="2">G10/F10*100</f>
        <v>17139.438232203884</v>
      </c>
      <c r="F10" s="12">
        <v>58.966172253442068</v>
      </c>
      <c r="G10" s="7">
        <v>10106.470671273648</v>
      </c>
      <c r="H10" s="13">
        <v>0.29687686775577793</v>
      </c>
    </row>
    <row r="11" spans="2:8">
      <c r="B11" s="5">
        <v>1</v>
      </c>
      <c r="C11" s="10" t="s">
        <v>14</v>
      </c>
      <c r="D11" s="10" t="s">
        <v>9</v>
      </c>
      <c r="E11" s="7">
        <f t="shared" si="2"/>
        <v>10826.603174603175</v>
      </c>
      <c r="F11" s="12">
        <v>54.818836796491595</v>
      </c>
      <c r="G11" s="7">
        <v>5935.0179248894929</v>
      </c>
      <c r="H11" s="13">
        <v>0.17434073564610078</v>
      </c>
    </row>
    <row r="12" spans="2:8">
      <c r="B12" s="5">
        <v>1</v>
      </c>
      <c r="C12" s="10" t="s">
        <v>14</v>
      </c>
      <c r="D12" s="10" t="s">
        <v>15</v>
      </c>
      <c r="E12" s="7">
        <f t="shared" si="2"/>
        <v>2460</v>
      </c>
      <c r="F12" s="12">
        <v>62.799763321847479</v>
      </c>
      <c r="G12" s="7">
        <v>1544.874177717448</v>
      </c>
      <c r="H12" s="13">
        <v>4.5380570713093468E-2</v>
      </c>
    </row>
    <row r="13" spans="2:8">
      <c r="B13" s="5">
        <v>1</v>
      </c>
      <c r="C13" s="10" t="s">
        <v>14</v>
      </c>
      <c r="D13" s="10" t="s">
        <v>10</v>
      </c>
      <c r="E13" s="7">
        <f t="shared" si="2"/>
        <v>1630</v>
      </c>
      <c r="F13" s="12">
        <v>59.416657965263994</v>
      </c>
      <c r="G13" s="7">
        <v>968.49152483380317</v>
      </c>
      <c r="H13" s="13">
        <v>2.8449370674762196E-2</v>
      </c>
    </row>
    <row r="14" spans="2:8">
      <c r="B14" s="5">
        <v>2</v>
      </c>
      <c r="C14" s="10" t="s">
        <v>16</v>
      </c>
      <c r="D14" s="6" t="s">
        <v>8</v>
      </c>
      <c r="E14" s="7">
        <f t="shared" ref="E14:E64" si="3">G14/F14*100</f>
        <v>26338.490058285151</v>
      </c>
      <c r="F14" s="8">
        <v>53.288428793554111</v>
      </c>
      <c r="G14" s="11">
        <v>14035.367520006612</v>
      </c>
      <c r="H14" s="14">
        <v>0.37273672594421686</v>
      </c>
    </row>
    <row r="15" spans="2:8">
      <c r="B15" s="5">
        <v>2</v>
      </c>
      <c r="C15" s="10" t="s">
        <v>16</v>
      </c>
      <c r="D15" s="6" t="s">
        <v>12</v>
      </c>
      <c r="E15" s="7">
        <f t="shared" si="3"/>
        <v>1160.0000000000002</v>
      </c>
      <c r="F15" s="8">
        <v>64.280086327977799</v>
      </c>
      <c r="G15" s="11">
        <v>745.64900140454256</v>
      </c>
      <c r="H15" s="14">
        <v>1.9802172411298072E-2</v>
      </c>
    </row>
    <row r="16" spans="2:8">
      <c r="B16" s="5">
        <v>2</v>
      </c>
      <c r="C16" s="10" t="s">
        <v>16</v>
      </c>
      <c r="D16" s="6" t="s">
        <v>9</v>
      </c>
      <c r="E16" s="7">
        <f t="shared" si="3"/>
        <v>14511.39767146596</v>
      </c>
      <c r="F16" s="8">
        <v>54.576212501665744</v>
      </c>
      <c r="G16" s="11">
        <v>7919.7712301410374</v>
      </c>
      <c r="H16" s="14">
        <v>0.21032506589813779</v>
      </c>
    </row>
    <row r="17" spans="1:8">
      <c r="B17" s="5">
        <v>2</v>
      </c>
      <c r="C17" s="10" t="s">
        <v>16</v>
      </c>
      <c r="D17" s="6" t="s">
        <v>13</v>
      </c>
      <c r="E17" s="7">
        <f t="shared" si="3"/>
        <v>17890.038462197033</v>
      </c>
      <c r="F17" s="8">
        <v>62.382086276299383</v>
      </c>
      <c r="G17" s="11">
        <v>11160.179228350895</v>
      </c>
      <c r="H17" s="14">
        <v>0.29638045890829723</v>
      </c>
    </row>
    <row r="18" spans="1:8">
      <c r="B18" s="5">
        <v>2</v>
      </c>
      <c r="C18" s="10" t="s">
        <v>16</v>
      </c>
      <c r="D18" s="6" t="s">
        <v>10</v>
      </c>
      <c r="E18" s="7">
        <f t="shared" si="3"/>
        <v>6316.3117485151379</v>
      </c>
      <c r="F18" s="8">
        <v>60.0657826041558</v>
      </c>
      <c r="G18" s="11">
        <v>3793.9420834638545</v>
      </c>
      <c r="H18" s="14">
        <v>0.10075557683805003</v>
      </c>
    </row>
    <row r="19" spans="1:8">
      <c r="B19" s="5">
        <v>3</v>
      </c>
      <c r="C19" s="10" t="s">
        <v>17</v>
      </c>
      <c r="D19" s="6" t="s">
        <v>8</v>
      </c>
      <c r="E19" s="7">
        <f t="shared" si="3"/>
        <v>35418.085325930391</v>
      </c>
      <c r="F19" s="8">
        <v>54.440129117620216</v>
      </c>
      <c r="G19" s="11">
        <v>19281.651382425403</v>
      </c>
      <c r="H19" s="14">
        <v>0.55071790253942421</v>
      </c>
    </row>
    <row r="20" spans="1:8">
      <c r="B20" s="5">
        <v>3</v>
      </c>
      <c r="C20" s="10" t="s">
        <v>17</v>
      </c>
      <c r="D20" s="6" t="s">
        <v>9</v>
      </c>
      <c r="E20" s="7">
        <f t="shared" si="3"/>
        <v>13154.399448633068</v>
      </c>
      <c r="F20" s="8">
        <v>54.613787754357155</v>
      </c>
      <c r="G20" s="11">
        <v>7184.1157952367921</v>
      </c>
      <c r="H20" s="14">
        <v>0.20519099240427627</v>
      </c>
    </row>
    <row r="21" spans="1:8">
      <c r="B21" s="5">
        <v>3</v>
      </c>
      <c r="C21" s="10" t="s">
        <v>17</v>
      </c>
      <c r="D21" s="6" t="s">
        <v>18</v>
      </c>
      <c r="E21" s="7">
        <f t="shared" si="3"/>
        <v>3329.9999999999995</v>
      </c>
      <c r="F21" s="8">
        <v>61.223651793046805</v>
      </c>
      <c r="G21" s="11">
        <v>2038.7476047084585</v>
      </c>
      <c r="H21" s="14">
        <v>5.8230220140567945E-2</v>
      </c>
    </row>
    <row r="22" spans="1:8">
      <c r="B22" s="5">
        <v>3</v>
      </c>
      <c r="C22" s="10" t="s">
        <v>17</v>
      </c>
      <c r="D22" s="6" t="s">
        <v>13</v>
      </c>
      <c r="E22" s="7">
        <f t="shared" si="3"/>
        <v>8880.0000000000018</v>
      </c>
      <c r="F22" s="8">
        <v>62.195455789761844</v>
      </c>
      <c r="G22" s="11">
        <v>5522.9564741308523</v>
      </c>
      <c r="H22" s="14">
        <v>0.15774535826439576</v>
      </c>
    </row>
    <row r="23" spans="1:8">
      <c r="B23" s="5">
        <v>3</v>
      </c>
      <c r="C23" s="10" t="s">
        <v>17</v>
      </c>
      <c r="D23" s="6" t="s">
        <v>10</v>
      </c>
      <c r="E23" s="7">
        <f t="shared" si="3"/>
        <v>1670</v>
      </c>
      <c r="F23" s="8">
        <v>58.944702983848899</v>
      </c>
      <c r="G23" s="11">
        <v>984.37653983027656</v>
      </c>
      <c r="H23" s="14">
        <v>2.8115526651335734E-2</v>
      </c>
    </row>
    <row r="24" spans="1:8" ht="14.5" customHeight="1">
      <c r="A24" s="511" t="s">
        <v>19</v>
      </c>
      <c r="B24" s="5">
        <v>4</v>
      </c>
      <c r="C24" s="10" t="s">
        <v>20</v>
      </c>
      <c r="D24" s="6" t="s">
        <v>8</v>
      </c>
      <c r="E24" s="7">
        <f t="shared" si="3"/>
        <v>28953.475178999764</v>
      </c>
      <c r="F24" s="8">
        <v>53.60458744677976</v>
      </c>
      <c r="G24" s="11">
        <v>15520.3909212086</v>
      </c>
      <c r="H24" s="14">
        <v>0.3605573773531805</v>
      </c>
    </row>
    <row r="25" spans="1:8">
      <c r="A25" s="511"/>
      <c r="B25" s="5">
        <v>4</v>
      </c>
      <c r="C25" s="10" t="s">
        <v>20</v>
      </c>
      <c r="D25" s="6" t="s">
        <v>13</v>
      </c>
      <c r="E25" s="7">
        <f t="shared" si="3"/>
        <v>17110.551181102361</v>
      </c>
      <c r="F25" s="8">
        <v>61.887439945092659</v>
      </c>
      <c r="G25" s="11">
        <v>10589.282086479066</v>
      </c>
      <c r="H25" s="14">
        <v>0.24600177898461012</v>
      </c>
    </row>
    <row r="26" spans="1:8">
      <c r="A26" s="511"/>
      <c r="B26" s="5">
        <v>4</v>
      </c>
      <c r="C26" s="10" t="s">
        <v>20</v>
      </c>
      <c r="D26" s="6" t="s">
        <v>9</v>
      </c>
      <c r="E26" s="7">
        <f t="shared" si="3"/>
        <v>19101.578738595792</v>
      </c>
      <c r="F26" s="8">
        <v>54.070864790665745</v>
      </c>
      <c r="G26" s="11">
        <v>10328.388812628687</v>
      </c>
      <c r="H26" s="14">
        <v>0.23994091395446224</v>
      </c>
    </row>
    <row r="27" spans="1:8">
      <c r="A27" s="511"/>
      <c r="B27" s="5">
        <v>4</v>
      </c>
      <c r="C27" s="10" t="s">
        <v>20</v>
      </c>
      <c r="D27" s="6" t="s">
        <v>18</v>
      </c>
      <c r="E27" s="7">
        <f t="shared" si="3"/>
        <v>5610</v>
      </c>
      <c r="F27" s="8">
        <v>61.496225120109813</v>
      </c>
      <c r="G27" s="11">
        <v>3449.9382292381606</v>
      </c>
      <c r="H27" s="14">
        <v>8.0146220947617863E-2</v>
      </c>
    </row>
    <row r="28" spans="1:8">
      <c r="A28" s="511"/>
      <c r="B28" s="5">
        <v>4</v>
      </c>
      <c r="C28" s="10" t="s">
        <v>20</v>
      </c>
      <c r="D28" s="6" t="s">
        <v>10</v>
      </c>
      <c r="E28" s="7">
        <f t="shared" si="3"/>
        <v>2728.3330382958643</v>
      </c>
      <c r="F28" s="8">
        <v>58.157172271791367</v>
      </c>
      <c r="G28" s="11">
        <v>1586.7213452299252</v>
      </c>
      <c r="H28" s="14">
        <v>3.6861448254156576E-2</v>
      </c>
    </row>
    <row r="29" spans="1:8">
      <c r="A29" s="511"/>
      <c r="B29" s="5">
        <v>4</v>
      </c>
      <c r="C29" s="10" t="s">
        <v>20</v>
      </c>
      <c r="D29" s="6" t="s">
        <v>15</v>
      </c>
      <c r="E29" s="7">
        <f t="shared" si="3"/>
        <v>2560</v>
      </c>
      <c r="F29" s="8">
        <v>61.360525595401036</v>
      </c>
      <c r="G29" s="11">
        <v>1570.8294552422665</v>
      </c>
      <c r="H29" s="14">
        <v>3.6492260505972637E-2</v>
      </c>
    </row>
    <row r="30" spans="1:8" ht="14.5" customHeight="1">
      <c r="A30" s="511" t="s">
        <v>19</v>
      </c>
      <c r="B30" s="5">
        <v>5</v>
      </c>
      <c r="C30" s="10" t="s">
        <v>21</v>
      </c>
      <c r="D30" s="6" t="s">
        <v>8</v>
      </c>
      <c r="E30" s="7">
        <f t="shared" si="3"/>
        <v>37445.070797702407</v>
      </c>
      <c r="F30" s="8">
        <v>54.642138682850089</v>
      </c>
      <c r="G30" s="11">
        <v>20460.787515171949</v>
      </c>
      <c r="H30" s="14">
        <v>0.57663418675105982</v>
      </c>
    </row>
    <row r="31" spans="1:8">
      <c r="A31" s="511"/>
      <c r="B31" s="5">
        <v>5</v>
      </c>
      <c r="C31" s="10" t="s">
        <v>21</v>
      </c>
      <c r="D31" s="6" t="s">
        <v>9</v>
      </c>
      <c r="E31" s="7">
        <f t="shared" si="3"/>
        <v>13160.748986178927</v>
      </c>
      <c r="F31" s="8">
        <v>54.317824230164092</v>
      </c>
      <c r="G31" s="11">
        <v>7148.6325016857727</v>
      </c>
      <c r="H31" s="14">
        <v>0.20146565159992708</v>
      </c>
    </row>
    <row r="32" spans="1:8">
      <c r="A32" s="511"/>
      <c r="B32" s="5">
        <v>5</v>
      </c>
      <c r="C32" s="10" t="s">
        <v>21</v>
      </c>
      <c r="D32" s="6" t="s">
        <v>13</v>
      </c>
      <c r="E32" s="7">
        <f t="shared" si="3"/>
        <v>7800</v>
      </c>
      <c r="F32" s="8">
        <v>62.575859743762642</v>
      </c>
      <c r="G32" s="11">
        <v>4880.9170600134858</v>
      </c>
      <c r="H32" s="14">
        <v>0.13755597810755124</v>
      </c>
    </row>
    <row r="33" spans="1:8">
      <c r="A33" s="511"/>
      <c r="B33" s="5">
        <v>5</v>
      </c>
      <c r="C33" s="10" t="s">
        <v>21</v>
      </c>
      <c r="D33" s="6" t="s">
        <v>10</v>
      </c>
      <c r="E33" s="7">
        <f t="shared" si="3"/>
        <v>5118.9598018441702</v>
      </c>
      <c r="F33" s="8">
        <v>58.464922454484153</v>
      </c>
      <c r="G33" s="11">
        <v>2992.7958786244099</v>
      </c>
      <c r="H33" s="14">
        <v>8.4344183541461656E-2</v>
      </c>
    </row>
    <row r="34" spans="1:8">
      <c r="B34" s="5">
        <v>6</v>
      </c>
      <c r="C34" s="10" t="s">
        <v>22</v>
      </c>
      <c r="D34" s="6" t="s">
        <v>8</v>
      </c>
      <c r="E34" s="7">
        <f t="shared" si="3"/>
        <v>38596.894023886322</v>
      </c>
      <c r="F34" s="8">
        <v>53.615964861290408</v>
      </c>
      <c r="G34" s="11">
        <v>20694.097137396388</v>
      </c>
      <c r="H34" s="14">
        <v>0.56742607253400401</v>
      </c>
    </row>
    <row r="35" spans="1:8">
      <c r="B35" s="5">
        <v>6</v>
      </c>
      <c r="C35" s="10" t="s">
        <v>22</v>
      </c>
      <c r="D35" s="6" t="s">
        <v>9</v>
      </c>
      <c r="E35" s="7">
        <f t="shared" si="3"/>
        <v>10932.298136645964</v>
      </c>
      <c r="F35" s="8">
        <v>54.454440911858214</v>
      </c>
      <c r="G35" s="11">
        <v>5953.1218291280529</v>
      </c>
      <c r="H35" s="14">
        <v>0.16323285410283775</v>
      </c>
    </row>
    <row r="36" spans="1:8">
      <c r="B36" s="5">
        <v>6</v>
      </c>
      <c r="C36" s="10" t="s">
        <v>22</v>
      </c>
      <c r="D36" s="6" t="s">
        <v>15</v>
      </c>
      <c r="E36" s="7">
        <f t="shared" si="3"/>
        <v>2447.777900265974</v>
      </c>
      <c r="F36" s="8">
        <v>55.212500904863802</v>
      </c>
      <c r="G36" s="11">
        <v>1351.4793953334072</v>
      </c>
      <c r="H36" s="14">
        <v>3.7057168540050076E-2</v>
      </c>
    </row>
    <row r="37" spans="1:8">
      <c r="B37" s="5">
        <v>6</v>
      </c>
      <c r="C37" s="10" t="s">
        <v>22</v>
      </c>
      <c r="D37" s="6" t="s">
        <v>13</v>
      </c>
      <c r="E37" s="7">
        <f t="shared" si="3"/>
        <v>7549.9999999999982</v>
      </c>
      <c r="F37" s="8">
        <v>60.620364126770063</v>
      </c>
      <c r="G37" s="11">
        <v>4576.8374915711393</v>
      </c>
      <c r="H37" s="14">
        <v>0.12549554132398047</v>
      </c>
    </row>
    <row r="38" spans="1:8">
      <c r="B38" s="5">
        <v>6</v>
      </c>
      <c r="C38" s="10" t="s">
        <v>22</v>
      </c>
      <c r="D38" s="6" t="s">
        <v>10</v>
      </c>
      <c r="E38" s="7">
        <f t="shared" si="3"/>
        <v>6738.554198184187</v>
      </c>
      <c r="F38" s="8">
        <v>57.79555006801246</v>
      </c>
      <c r="G38" s="11">
        <v>3894.5844654716975</v>
      </c>
      <c r="H38" s="14">
        <v>0.10678836349912794</v>
      </c>
    </row>
    <row r="39" spans="1:8">
      <c r="B39" s="5">
        <v>7</v>
      </c>
      <c r="C39" s="10" t="s">
        <v>38</v>
      </c>
      <c r="D39" s="6" t="s">
        <v>8</v>
      </c>
      <c r="E39" s="7">
        <f t="shared" si="3"/>
        <v>42949.16537164116</v>
      </c>
      <c r="F39" s="8">
        <v>53.786618359877927</v>
      </c>
      <c r="G39" s="11">
        <v>23100.903667197475</v>
      </c>
      <c r="H39" s="14">
        <v>0.63995028458403924</v>
      </c>
    </row>
    <row r="40" spans="1:8">
      <c r="B40" s="5">
        <v>7</v>
      </c>
      <c r="C40" s="10" t="s">
        <v>38</v>
      </c>
      <c r="D40" s="6" t="s">
        <v>9</v>
      </c>
      <c r="E40" s="7">
        <f t="shared" si="3"/>
        <v>12521.656913221201</v>
      </c>
      <c r="F40" s="8">
        <v>55.707542074496189</v>
      </c>
      <c r="G40" s="11">
        <v>6975.5072933567608</v>
      </c>
      <c r="H40" s="14">
        <v>0.19323823612322155</v>
      </c>
    </row>
    <row r="41" spans="1:8">
      <c r="B41" s="5">
        <v>7</v>
      </c>
      <c r="C41" s="10" t="s">
        <v>38</v>
      </c>
      <c r="D41" s="6" t="s">
        <v>13</v>
      </c>
      <c r="E41" s="7">
        <f t="shared" si="3"/>
        <v>7580</v>
      </c>
      <c r="F41" s="8">
        <v>61.692484610701484</v>
      </c>
      <c r="G41" s="11">
        <v>4676.2903334911725</v>
      </c>
      <c r="H41" s="14">
        <v>0.12954442704181535</v>
      </c>
    </row>
    <row r="42" spans="1:8">
      <c r="B42" s="5">
        <v>7</v>
      </c>
      <c r="C42" s="10" t="s">
        <v>38</v>
      </c>
      <c r="D42" s="6" t="s">
        <v>10</v>
      </c>
      <c r="E42" s="7">
        <f t="shared" si="3"/>
        <v>2350.1227778707157</v>
      </c>
      <c r="F42" s="8">
        <v>57.242319456841777</v>
      </c>
      <c r="G42" s="11">
        <v>1345.2647881367591</v>
      </c>
      <c r="H42" s="14">
        <v>3.7267052250923832E-2</v>
      </c>
    </row>
    <row r="43" spans="1:8">
      <c r="B43" s="5">
        <v>8</v>
      </c>
      <c r="C43" s="10" t="s">
        <v>23</v>
      </c>
      <c r="D43" s="6" t="s">
        <v>8</v>
      </c>
      <c r="E43" s="7">
        <f t="shared" si="3"/>
        <v>48658.369243491048</v>
      </c>
      <c r="F43" s="8">
        <v>53.796699245864865</v>
      </c>
      <c r="G43" s="11">
        <v>26176.59655986329</v>
      </c>
      <c r="H43" s="14">
        <v>0.48487486704041294</v>
      </c>
    </row>
    <row r="44" spans="1:8">
      <c r="B44" s="5">
        <v>8</v>
      </c>
      <c r="C44" s="10" t="s">
        <v>23</v>
      </c>
      <c r="D44" s="6" t="s">
        <v>9</v>
      </c>
      <c r="E44" s="7">
        <f t="shared" si="3"/>
        <v>28250.398831002269</v>
      </c>
      <c r="F44" s="8">
        <v>53.540388210508873</v>
      </c>
      <c r="G44" s="11">
        <v>15125.373205135676</v>
      </c>
      <c r="H44" s="14">
        <v>0.28017062130307313</v>
      </c>
    </row>
    <row r="45" spans="1:8">
      <c r="B45" s="5">
        <v>8</v>
      </c>
      <c r="C45" s="10" t="s">
        <v>23</v>
      </c>
      <c r="D45" s="6" t="s">
        <v>13</v>
      </c>
      <c r="E45" s="7">
        <f t="shared" si="3"/>
        <v>15858.131533101045</v>
      </c>
      <c r="F45" s="8">
        <v>60.778928559610868</v>
      </c>
      <c r="G45" s="11">
        <v>9638.402435392607</v>
      </c>
      <c r="H45" s="14">
        <v>0.17853425248218707</v>
      </c>
    </row>
    <row r="46" spans="1:8">
      <c r="B46" s="5">
        <v>8</v>
      </c>
      <c r="C46" s="10" t="s">
        <v>23</v>
      </c>
      <c r="D46" s="6" t="s">
        <v>10</v>
      </c>
      <c r="E46" s="7">
        <f t="shared" si="3"/>
        <v>5044.0421050126943</v>
      </c>
      <c r="F46" s="8">
        <v>60.386502930362575</v>
      </c>
      <c r="G46" s="11">
        <v>3045.9206335522126</v>
      </c>
      <c r="H46" s="14">
        <v>5.6420259174326845E-2</v>
      </c>
    </row>
    <row r="47" spans="1:8">
      <c r="B47" s="5">
        <v>9</v>
      </c>
      <c r="C47" s="10" t="s">
        <v>24</v>
      </c>
      <c r="D47" s="6" t="s">
        <v>25</v>
      </c>
      <c r="E47" s="7">
        <f t="shared" si="3"/>
        <v>24246.963935256652</v>
      </c>
      <c r="F47" s="8">
        <v>54.554136649338012</v>
      </c>
      <c r="G47" s="15">
        <v>13227.721838555619</v>
      </c>
      <c r="H47" s="14">
        <v>0.37730463926251029</v>
      </c>
    </row>
    <row r="48" spans="1:8">
      <c r="B48" s="5">
        <v>9</v>
      </c>
      <c r="C48" s="10" t="s">
        <v>24</v>
      </c>
      <c r="D48" s="6" t="s">
        <v>9</v>
      </c>
      <c r="E48" s="7">
        <f t="shared" si="3"/>
        <v>23103.796458419783</v>
      </c>
      <c r="F48" s="8">
        <v>53.504963149760947</v>
      </c>
      <c r="G48" s="15">
        <v>12361.67778127328</v>
      </c>
      <c r="H48" s="14">
        <v>0.35260178834029632</v>
      </c>
    </row>
    <row r="49" spans="2:8">
      <c r="B49" s="5">
        <v>9</v>
      </c>
      <c r="C49" s="10" t="s">
        <v>24</v>
      </c>
      <c r="D49" s="6" t="s">
        <v>26</v>
      </c>
      <c r="E49" s="7">
        <f t="shared" si="3"/>
        <v>8500</v>
      </c>
      <c r="F49" s="8">
        <v>61.32345914954611</v>
      </c>
      <c r="G49" s="15">
        <v>5212.4940277114192</v>
      </c>
      <c r="H49" s="14">
        <v>0.14868003748394493</v>
      </c>
    </row>
    <row r="50" spans="2:8">
      <c r="B50" s="5">
        <v>9</v>
      </c>
      <c r="C50" s="10" t="s">
        <v>24</v>
      </c>
      <c r="D50" s="6" t="s">
        <v>10</v>
      </c>
      <c r="E50" s="7">
        <f t="shared" si="3"/>
        <v>7294.095964277315</v>
      </c>
      <c r="F50" s="8">
        <v>58.356406295121474</v>
      </c>
      <c r="G50" s="15">
        <v>4256.5722764697284</v>
      </c>
      <c r="H50" s="14">
        <v>0.12141353491324856</v>
      </c>
    </row>
    <row r="51" spans="2:8">
      <c r="B51" s="5">
        <v>10</v>
      </c>
      <c r="C51" s="10" t="s">
        <v>27</v>
      </c>
      <c r="D51" s="6" t="s">
        <v>8</v>
      </c>
      <c r="E51" s="7">
        <f t="shared" si="3"/>
        <v>35543.004251568738</v>
      </c>
      <c r="F51" s="8">
        <v>54.604036784624434</v>
      </c>
      <c r="G51" s="11">
        <v>19407.915115887219</v>
      </c>
      <c r="H51" s="14">
        <v>0.57505337783349808</v>
      </c>
    </row>
    <row r="52" spans="2:8">
      <c r="B52" s="5">
        <v>10</v>
      </c>
      <c r="C52" s="10" t="s">
        <v>27</v>
      </c>
      <c r="D52" s="6" t="s">
        <v>9</v>
      </c>
      <c r="E52" s="7">
        <f t="shared" si="3"/>
        <v>10348.547084267027</v>
      </c>
      <c r="F52" s="8">
        <v>55.408292908292914</v>
      </c>
      <c r="G52" s="11">
        <v>5733.9532802032809</v>
      </c>
      <c r="H52" s="14">
        <v>0.16989610591511636</v>
      </c>
    </row>
    <row r="53" spans="2:8">
      <c r="B53" s="5">
        <v>10</v>
      </c>
      <c r="C53" s="10" t="s">
        <v>27</v>
      </c>
      <c r="D53" s="6" t="s">
        <v>26</v>
      </c>
      <c r="E53" s="7">
        <f t="shared" si="3"/>
        <v>7180</v>
      </c>
      <c r="F53" s="8">
        <v>61.041811041811044</v>
      </c>
      <c r="G53" s="11">
        <v>4382.802032802033</v>
      </c>
      <c r="H53" s="14">
        <v>0.12986171354774678</v>
      </c>
    </row>
    <row r="54" spans="2:8">
      <c r="B54" s="5">
        <v>10</v>
      </c>
      <c r="C54" s="10" t="s">
        <v>27</v>
      </c>
      <c r="D54" s="6" t="s">
        <v>10</v>
      </c>
      <c r="E54" s="7">
        <f t="shared" si="3"/>
        <v>6993.757766943887</v>
      </c>
      <c r="F54" s="8">
        <v>60.412335412335416</v>
      </c>
      <c r="G54" s="11">
        <v>4225.0924000924006</v>
      </c>
      <c r="H54" s="14">
        <v>0.12518880270363891</v>
      </c>
    </row>
    <row r="55" spans="2:8">
      <c r="B55" s="5">
        <v>11</v>
      </c>
      <c r="C55" s="10" t="s">
        <v>28</v>
      </c>
      <c r="D55" s="6" t="s">
        <v>8</v>
      </c>
      <c r="E55" s="7">
        <f t="shared" si="3"/>
        <v>119599.19102776246</v>
      </c>
      <c r="F55" s="16">
        <v>54.39</v>
      </c>
      <c r="G55" s="11">
        <v>65050</v>
      </c>
      <c r="H55" s="14">
        <v>0.45796958603210364</v>
      </c>
    </row>
    <row r="56" spans="2:8">
      <c r="B56" s="5">
        <v>11</v>
      </c>
      <c r="C56" s="10" t="s">
        <v>28</v>
      </c>
      <c r="D56" s="6" t="s">
        <v>12</v>
      </c>
      <c r="E56" s="7">
        <f t="shared" si="3"/>
        <v>4035.3697749196135</v>
      </c>
      <c r="F56" s="16">
        <v>62.2</v>
      </c>
      <c r="G56" s="11">
        <v>2510</v>
      </c>
      <c r="H56" s="14">
        <v>1.7671078569417065E-2</v>
      </c>
    </row>
    <row r="57" spans="2:8">
      <c r="B57" s="5">
        <v>11</v>
      </c>
      <c r="C57" s="10" t="s">
        <v>28</v>
      </c>
      <c r="D57" s="6" t="s">
        <v>9</v>
      </c>
      <c r="E57" s="7">
        <f t="shared" si="3"/>
        <v>93584.558823529413</v>
      </c>
      <c r="F57" s="16">
        <v>54.4</v>
      </c>
      <c r="G57" s="11">
        <v>50910</v>
      </c>
      <c r="H57" s="14">
        <v>0.35842016333427201</v>
      </c>
    </row>
    <row r="58" spans="2:8">
      <c r="B58" s="5">
        <v>11</v>
      </c>
      <c r="C58" s="10" t="s">
        <v>28</v>
      </c>
      <c r="D58" s="6" t="s">
        <v>26</v>
      </c>
      <c r="E58" s="7">
        <f t="shared" si="3"/>
        <v>13233.376792698826</v>
      </c>
      <c r="F58" s="16">
        <v>61.36</v>
      </c>
      <c r="G58" s="11">
        <v>8120</v>
      </c>
      <c r="H58" s="14">
        <v>5.7166995212616166E-2</v>
      </c>
    </row>
    <row r="59" spans="2:8">
      <c r="B59" s="5">
        <v>11</v>
      </c>
      <c r="C59" s="10" t="s">
        <v>28</v>
      </c>
      <c r="D59" s="6" t="s">
        <v>10</v>
      </c>
      <c r="E59" s="7">
        <f t="shared" si="3"/>
        <v>27633.697013056702</v>
      </c>
      <c r="F59" s="16">
        <v>55.91</v>
      </c>
      <c r="G59" s="11">
        <v>15450</v>
      </c>
      <c r="H59" s="14">
        <v>0.1087721768515911</v>
      </c>
    </row>
    <row r="60" spans="2:8">
      <c r="B60" s="5">
        <v>12</v>
      </c>
      <c r="C60" s="10" t="s">
        <v>29</v>
      </c>
      <c r="D60" s="6" t="s">
        <v>8</v>
      </c>
      <c r="E60" s="7">
        <f t="shared" si="3"/>
        <v>29500.036103485632</v>
      </c>
      <c r="F60" s="8">
        <v>52.582724864922646</v>
      </c>
      <c r="G60" s="11">
        <v>15511.922819348696</v>
      </c>
      <c r="H60" s="14">
        <v>0.31747221732656555</v>
      </c>
    </row>
    <row r="61" spans="2:8">
      <c r="B61" s="5">
        <v>12</v>
      </c>
      <c r="C61" s="10" t="s">
        <v>29</v>
      </c>
      <c r="D61" s="6" t="s">
        <v>9</v>
      </c>
      <c r="E61" s="7">
        <f t="shared" si="3"/>
        <v>32743.662554493596</v>
      </c>
      <c r="F61" s="8">
        <v>53.656354398938944</v>
      </c>
      <c r="G61" s="11">
        <v>17569.055623431748</v>
      </c>
      <c r="H61" s="14">
        <v>0.35957418754993747</v>
      </c>
    </row>
    <row r="62" spans="2:8">
      <c r="B62" s="5">
        <v>12</v>
      </c>
      <c r="C62" s="10" t="s">
        <v>29</v>
      </c>
      <c r="D62" s="6" t="s">
        <v>30</v>
      </c>
      <c r="E62" s="7">
        <f t="shared" si="3"/>
        <v>8050</v>
      </c>
      <c r="F62" s="8">
        <v>53.506793264438969</v>
      </c>
      <c r="G62" s="11">
        <v>4307.2968577873371</v>
      </c>
      <c r="H62" s="14">
        <v>8.815458277163539E-2</v>
      </c>
    </row>
    <row r="63" spans="2:8">
      <c r="B63" s="5">
        <v>12</v>
      </c>
      <c r="C63" s="10" t="s">
        <v>29</v>
      </c>
      <c r="D63" s="6" t="s">
        <v>13</v>
      </c>
      <c r="E63" s="7">
        <f t="shared" si="3"/>
        <v>8520</v>
      </c>
      <c r="F63" s="8">
        <v>61.749571183533448</v>
      </c>
      <c r="G63" s="11">
        <v>5261.0634648370497</v>
      </c>
      <c r="H63" s="14">
        <v>0.10767469018052599</v>
      </c>
    </row>
    <row r="64" spans="2:8">
      <c r="B64" s="5">
        <v>12</v>
      </c>
      <c r="C64" s="10" t="s">
        <v>29</v>
      </c>
      <c r="D64" s="6" t="s">
        <v>10</v>
      </c>
      <c r="E64" s="7">
        <f t="shared" si="3"/>
        <v>10547.420035365212</v>
      </c>
      <c r="F64" s="8">
        <v>58.890103655802662</v>
      </c>
      <c r="G64" s="11">
        <v>6211.3865918394713</v>
      </c>
      <c r="H64" s="14">
        <v>0.1271243221713356</v>
      </c>
    </row>
    <row r="65" spans="1:8" ht="14.5" customHeight="1">
      <c r="A65" s="510" t="s">
        <v>31</v>
      </c>
      <c r="B65" s="17" t="s">
        <v>37</v>
      </c>
      <c r="C65" s="20" t="s">
        <v>35</v>
      </c>
      <c r="D65" s="6" t="s">
        <v>8</v>
      </c>
      <c r="E65" s="7">
        <f t="shared" ref="E65:E73" si="4">G65/F65*100</f>
        <v>124186.78174895042</v>
      </c>
      <c r="F65" s="8">
        <v>53.13689514347827</v>
      </c>
      <c r="G65" s="11">
        <v>65989</v>
      </c>
      <c r="H65" s="14">
        <v>0.64772643655527495</v>
      </c>
    </row>
    <row r="66" spans="1:8">
      <c r="A66" s="510"/>
      <c r="B66" s="17" t="s">
        <v>37</v>
      </c>
      <c r="C66" s="20" t="s">
        <v>35</v>
      </c>
      <c r="D66" s="6" t="s">
        <v>12</v>
      </c>
      <c r="E66" s="7">
        <f t="shared" si="4"/>
        <v>2830.106252482019</v>
      </c>
      <c r="F66" s="8">
        <v>61.552459328064316</v>
      </c>
      <c r="G66" s="11">
        <v>1742</v>
      </c>
      <c r="H66" s="14">
        <v>1.7098365802930858E-2</v>
      </c>
    </row>
    <row r="67" spans="1:8">
      <c r="A67" s="510"/>
      <c r="B67" s="17" t="s">
        <v>37</v>
      </c>
      <c r="C67" s="20" t="s">
        <v>35</v>
      </c>
      <c r="D67" s="6" t="s">
        <v>9</v>
      </c>
      <c r="E67" s="7">
        <f t="shared" si="4"/>
        <v>42756.984342252486</v>
      </c>
      <c r="F67" s="8">
        <v>54.236753028168131</v>
      </c>
      <c r="G67" s="11">
        <v>23190</v>
      </c>
      <c r="H67" s="14">
        <v>0.22763082399752296</v>
      </c>
    </row>
    <row r="68" spans="1:8">
      <c r="A68" s="510"/>
      <c r="B68" s="17" t="s">
        <v>37</v>
      </c>
      <c r="C68" s="20" t="s">
        <v>35</v>
      </c>
      <c r="D68" s="6" t="s">
        <v>30</v>
      </c>
      <c r="E68" s="7">
        <f t="shared" si="4"/>
        <v>5130.6343166943434</v>
      </c>
      <c r="F68" s="8">
        <v>55.607159347076241</v>
      </c>
      <c r="G68" s="11">
        <v>2853</v>
      </c>
      <c r="H68" s="14">
        <v>2.8000825424021703E-2</v>
      </c>
    </row>
    <row r="69" spans="1:8">
      <c r="A69" s="510"/>
      <c r="B69" s="17" t="s">
        <v>37</v>
      </c>
      <c r="C69" s="20" t="s">
        <v>35</v>
      </c>
      <c r="D69" s="6" t="s">
        <v>10</v>
      </c>
      <c r="E69" s="7">
        <f t="shared" si="4"/>
        <v>14437.981267498322</v>
      </c>
      <c r="F69" s="8">
        <v>56.129730672549798</v>
      </c>
      <c r="G69" s="11">
        <v>8104</v>
      </c>
      <c r="H69" s="14">
        <v>7.9543548220249338E-2</v>
      </c>
    </row>
    <row r="70" spans="1:8">
      <c r="A70" s="510"/>
      <c r="B70" s="17" t="s">
        <v>37</v>
      </c>
      <c r="C70" s="10" t="s">
        <v>36</v>
      </c>
      <c r="D70" s="6" t="s">
        <v>8</v>
      </c>
      <c r="E70" s="7">
        <f t="shared" si="4"/>
        <v>20866.641802260161</v>
      </c>
      <c r="F70" s="8">
        <v>51.979859782574707</v>
      </c>
      <c r="G70" s="11">
        <v>10846.451150146951</v>
      </c>
      <c r="H70" s="14">
        <v>0.39386841051570065</v>
      </c>
    </row>
    <row r="71" spans="1:8">
      <c r="A71" s="510"/>
      <c r="B71" s="17" t="s">
        <v>37</v>
      </c>
      <c r="C71" s="10" t="s">
        <v>36</v>
      </c>
      <c r="D71" s="6" t="s">
        <v>32</v>
      </c>
      <c r="E71" s="7">
        <f t="shared" si="4"/>
        <v>2050</v>
      </c>
      <c r="F71" s="8">
        <v>52.191213193929919</v>
      </c>
      <c r="G71" s="11">
        <v>1069.9198704755634</v>
      </c>
      <c r="H71" s="14">
        <v>3.8852121576896152E-2</v>
      </c>
    </row>
    <row r="72" spans="1:8">
      <c r="A72" s="510"/>
      <c r="B72" s="17" t="s">
        <v>37</v>
      </c>
      <c r="C72" s="10" t="s">
        <v>36</v>
      </c>
      <c r="D72" s="6" t="s">
        <v>9</v>
      </c>
      <c r="E72" s="7">
        <f t="shared" si="4"/>
        <v>21291.08136895574</v>
      </c>
      <c r="F72" s="8">
        <v>53.089172069142073</v>
      </c>
      <c r="G72" s="11">
        <v>11303.258823345961</v>
      </c>
      <c r="H72" s="14">
        <v>0.41045651935089617</v>
      </c>
    </row>
    <row r="73" spans="1:8">
      <c r="A73" s="510"/>
      <c r="B73" s="17" t="s">
        <v>37</v>
      </c>
      <c r="C73" s="10" t="s">
        <v>36</v>
      </c>
      <c r="D73" s="6" t="s">
        <v>10</v>
      </c>
      <c r="E73" s="7">
        <f t="shared" si="4"/>
        <v>7637.5420869491763</v>
      </c>
      <c r="F73" s="8">
        <v>56.544779243690229</v>
      </c>
      <c r="G73" s="11">
        <v>4318.6313127093435</v>
      </c>
      <c r="H73" s="14">
        <v>0.15682294855650711</v>
      </c>
    </row>
    <row r="74" spans="1:8" ht="14.5" customHeight="1">
      <c r="B74" s="5">
        <v>15</v>
      </c>
      <c r="C74" s="10" t="s">
        <v>33</v>
      </c>
      <c r="D74" s="6" t="s">
        <v>8</v>
      </c>
      <c r="E74" s="7">
        <f>G74/F74*100</f>
        <v>117123.07984069789</v>
      </c>
      <c r="F74" s="8">
        <v>52.73</v>
      </c>
      <c r="G74" s="11">
        <v>61759</v>
      </c>
      <c r="H74" s="14">
        <v>0.57999999999999996</v>
      </c>
    </row>
    <row r="75" spans="1:8">
      <c r="B75" s="5">
        <v>15</v>
      </c>
      <c r="C75" s="10" t="s">
        <v>33</v>
      </c>
      <c r="D75" s="6" t="s">
        <v>34</v>
      </c>
      <c r="E75" s="7">
        <f t="shared" ref="E75:E78" si="5">G75/F75*100</f>
        <v>2199.7401150918881</v>
      </c>
      <c r="F75" s="8">
        <v>53.87</v>
      </c>
      <c r="G75" s="11">
        <v>1185</v>
      </c>
      <c r="H75" s="14">
        <v>0.01</v>
      </c>
    </row>
    <row r="76" spans="1:8">
      <c r="B76" s="5">
        <v>15</v>
      </c>
      <c r="C76" s="10" t="s">
        <v>33</v>
      </c>
      <c r="D76" s="6" t="s">
        <v>12</v>
      </c>
      <c r="E76" s="7">
        <f t="shared" si="5"/>
        <v>2299.4915532228965</v>
      </c>
      <c r="F76" s="8">
        <v>60.97</v>
      </c>
      <c r="G76" s="11">
        <v>1402</v>
      </c>
      <c r="H76" s="14">
        <v>0.01</v>
      </c>
    </row>
    <row r="77" spans="1:8">
      <c r="B77" s="5">
        <v>15</v>
      </c>
      <c r="C77" s="10" t="s">
        <v>33</v>
      </c>
      <c r="D77" s="6" t="s">
        <v>9</v>
      </c>
      <c r="E77" s="7">
        <f t="shared" si="5"/>
        <v>62680.451847597171</v>
      </c>
      <c r="F77" s="8">
        <v>52.23</v>
      </c>
      <c r="G77" s="11">
        <v>32738</v>
      </c>
      <c r="H77" s="14">
        <v>0.31</v>
      </c>
    </row>
    <row r="78" spans="1:8">
      <c r="B78" s="5">
        <v>15</v>
      </c>
      <c r="C78" s="10" t="s">
        <v>33</v>
      </c>
      <c r="D78" s="6" t="s">
        <v>10</v>
      </c>
      <c r="E78" s="7">
        <f t="shared" si="5"/>
        <v>15724.773774970121</v>
      </c>
      <c r="F78" s="8">
        <v>58.57</v>
      </c>
      <c r="G78" s="11">
        <v>9210</v>
      </c>
      <c r="H78" s="14">
        <v>0.09</v>
      </c>
    </row>
    <row r="83" spans="7:7">
      <c r="G83" s="3"/>
    </row>
    <row r="84" spans="7:7">
      <c r="G84" s="3"/>
    </row>
    <row r="85" spans="7:7">
      <c r="G85" s="3"/>
    </row>
    <row r="86" spans="7:7">
      <c r="G86" s="3"/>
    </row>
    <row r="87" spans="7:7">
      <c r="G87" s="3"/>
    </row>
    <row r="88" spans="7:7">
      <c r="G88" s="3"/>
    </row>
    <row r="89" spans="7:7">
      <c r="G89" s="3"/>
    </row>
    <row r="90" spans="7:7">
      <c r="G90" s="3"/>
    </row>
    <row r="91" spans="7:7">
      <c r="G91" s="3"/>
    </row>
    <row r="92" spans="7:7">
      <c r="G92" s="3"/>
    </row>
    <row r="93" spans="7:7">
      <c r="G93" s="3"/>
    </row>
    <row r="94" spans="7:7">
      <c r="G94" s="3"/>
    </row>
    <row r="95" spans="7:7">
      <c r="G95" s="3"/>
    </row>
    <row r="96" spans="7:7">
      <c r="G96" s="3"/>
    </row>
    <row r="97" spans="7:7">
      <c r="G97" s="3"/>
    </row>
    <row r="98" spans="7:7">
      <c r="G98" s="3"/>
    </row>
    <row r="99" spans="7:7">
      <c r="G99" s="3"/>
    </row>
  </sheetData>
  <mergeCells count="3">
    <mergeCell ref="A65:A73"/>
    <mergeCell ref="A24:A29"/>
    <mergeCell ref="A30:A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105E-CBFA-437D-BA85-0A4D7941223C}">
  <dimension ref="A1:Y343"/>
  <sheetViews>
    <sheetView zoomScale="80" zoomScaleNormal="80" zoomScaleSheetLayoutView="100" workbookViewId="0">
      <pane ySplit="1" topLeftCell="A2" activePane="bottomLeft" state="frozen"/>
      <selection activeCell="K1" sqref="K1"/>
      <selection pane="bottomLeft" activeCell="P1" sqref="P1:Q1048576"/>
    </sheetView>
  </sheetViews>
  <sheetFormatPr defaultRowHeight="14.5"/>
  <cols>
    <col min="1" max="1" width="5.81640625" bestFit="1" customWidth="1"/>
    <col min="2" max="2" width="17.81640625" bestFit="1" customWidth="1"/>
    <col min="3" max="3" width="9.1796875" bestFit="1" customWidth="1"/>
    <col min="4" max="4" width="3.7265625" bestFit="1" customWidth="1"/>
    <col min="5" max="5" width="10.81640625" bestFit="1" customWidth="1"/>
    <col min="9" max="9" width="9" bestFit="1" customWidth="1"/>
    <col min="10" max="11" width="13.1796875" bestFit="1" customWidth="1"/>
    <col min="12" max="15" width="6.81640625" customWidth="1"/>
    <col min="16" max="19" width="10.81640625" customWidth="1"/>
    <col min="20" max="20" width="8.54296875" bestFit="1" customWidth="1"/>
    <col min="21" max="21" width="9.1796875" bestFit="1" customWidth="1"/>
    <col min="22" max="22" width="9.453125" bestFit="1" customWidth="1"/>
    <col min="23" max="23" width="10" bestFit="1" customWidth="1"/>
    <col min="24" max="24" width="8.54296875" bestFit="1" customWidth="1"/>
    <col min="25" max="25" width="9.1796875" bestFit="1" customWidth="1"/>
    <col min="26" max="68" width="6.81640625" customWidth="1"/>
  </cols>
  <sheetData>
    <row r="1" spans="1:25" s="21" customFormat="1">
      <c r="A1" s="32" t="s">
        <v>0</v>
      </c>
      <c r="B1" s="33" t="s">
        <v>39</v>
      </c>
      <c r="C1" s="33" t="s">
        <v>40</v>
      </c>
      <c r="D1" s="33" t="s">
        <v>41</v>
      </c>
      <c r="E1" s="34" t="s">
        <v>42</v>
      </c>
      <c r="F1" s="34" t="s">
        <v>43</v>
      </c>
      <c r="G1" s="34" t="s">
        <v>44</v>
      </c>
      <c r="H1" s="34" t="s">
        <v>45</v>
      </c>
      <c r="I1" s="34" t="s">
        <v>46</v>
      </c>
      <c r="J1" s="35" t="s">
        <v>47</v>
      </c>
      <c r="K1" s="35" t="s">
        <v>48</v>
      </c>
    </row>
    <row r="2" spans="1:25" s="26" customFormat="1">
      <c r="A2" s="20">
        <v>28</v>
      </c>
      <c r="B2" s="22">
        <v>46011</v>
      </c>
      <c r="C2" s="23">
        <v>1</v>
      </c>
      <c r="D2" s="23">
        <v>20</v>
      </c>
      <c r="E2" s="24">
        <v>141.88999999999999</v>
      </c>
      <c r="F2" s="25">
        <v>97.58</v>
      </c>
      <c r="G2" s="25">
        <v>42.91</v>
      </c>
      <c r="H2" s="25">
        <v>18.71</v>
      </c>
      <c r="I2" s="25">
        <v>15.5</v>
      </c>
      <c r="J2" s="23">
        <v>548.9</v>
      </c>
      <c r="K2" s="23"/>
      <c r="P2" s="512" t="s">
        <v>817</v>
      </c>
      <c r="Q2" s="512"/>
      <c r="R2" s="512"/>
      <c r="S2" s="512"/>
      <c r="T2" s="512"/>
      <c r="U2" s="512"/>
      <c r="V2" s="512"/>
      <c r="W2" s="512"/>
      <c r="X2" s="512"/>
      <c r="Y2" s="512"/>
    </row>
    <row r="3" spans="1:25" s="26" customFormat="1">
      <c r="A3" s="20">
        <v>28</v>
      </c>
      <c r="B3" s="22">
        <v>46013</v>
      </c>
      <c r="C3" s="23">
        <v>2</v>
      </c>
      <c r="D3" s="23">
        <v>20</v>
      </c>
      <c r="E3" s="24">
        <v>148.03</v>
      </c>
      <c r="F3" s="25">
        <v>91.21</v>
      </c>
      <c r="G3" s="25">
        <v>44.34</v>
      </c>
      <c r="H3" s="25">
        <v>15.9</v>
      </c>
      <c r="I3" s="25">
        <v>14.1</v>
      </c>
      <c r="J3" s="23"/>
      <c r="K3" s="23"/>
      <c r="P3" s="512" t="s">
        <v>831</v>
      </c>
      <c r="Q3" s="512"/>
      <c r="R3" s="512" t="s">
        <v>830</v>
      </c>
      <c r="S3" s="512"/>
      <c r="T3" s="512" t="s">
        <v>832</v>
      </c>
      <c r="U3" s="512"/>
      <c r="V3" s="512" t="s">
        <v>818</v>
      </c>
      <c r="W3" s="512"/>
      <c r="X3" s="512" t="s">
        <v>819</v>
      </c>
      <c r="Y3" s="512"/>
    </row>
    <row r="4" spans="1:25" s="26" customFormat="1">
      <c r="A4" s="20">
        <v>28</v>
      </c>
      <c r="B4" s="22">
        <v>46020</v>
      </c>
      <c r="C4" s="23">
        <v>3</v>
      </c>
      <c r="D4" s="23">
        <v>20</v>
      </c>
      <c r="E4" s="24">
        <v>105.75</v>
      </c>
      <c r="F4" s="25">
        <v>91.02</v>
      </c>
      <c r="G4" s="25">
        <v>28.46</v>
      </c>
      <c r="H4" s="25">
        <v>13.46</v>
      </c>
      <c r="I4" s="25">
        <v>15.49</v>
      </c>
      <c r="J4" s="23"/>
      <c r="K4" s="23"/>
      <c r="P4" s="376" t="s">
        <v>820</v>
      </c>
      <c r="Q4" s="376" t="s">
        <v>821</v>
      </c>
      <c r="R4" s="376" t="s">
        <v>822</v>
      </c>
      <c r="S4" s="376" t="s">
        <v>823</v>
      </c>
      <c r="T4" s="376" t="s">
        <v>824</v>
      </c>
      <c r="U4" s="376" t="s">
        <v>825</v>
      </c>
      <c r="V4" s="376" t="s">
        <v>826</v>
      </c>
      <c r="W4" s="376" t="s">
        <v>827</v>
      </c>
      <c r="X4" s="376" t="s">
        <v>828</v>
      </c>
      <c r="Y4" s="376" t="s">
        <v>829</v>
      </c>
    </row>
    <row r="5" spans="1:25" s="26" customFormat="1">
      <c r="A5" s="20">
        <v>28</v>
      </c>
      <c r="B5" s="22">
        <v>46022</v>
      </c>
      <c r="C5" s="23">
        <v>4</v>
      </c>
      <c r="D5" s="23">
        <v>20</v>
      </c>
      <c r="E5" s="24">
        <v>109.61</v>
      </c>
      <c r="F5" s="25">
        <v>111.44</v>
      </c>
      <c r="G5" s="25">
        <v>35.33</v>
      </c>
      <c r="H5" s="25">
        <v>17.95</v>
      </c>
      <c r="I5" s="25">
        <v>14.68</v>
      </c>
      <c r="J5" s="23"/>
      <c r="K5" s="23"/>
      <c r="P5" s="23">
        <v>100</v>
      </c>
      <c r="Q5" s="23">
        <v>200</v>
      </c>
      <c r="R5" s="23">
        <v>40</v>
      </c>
      <c r="S5" s="23">
        <v>150</v>
      </c>
      <c r="T5" s="23">
        <v>20</v>
      </c>
      <c r="U5" s="23">
        <v>100</v>
      </c>
      <c r="V5" s="23">
        <v>4</v>
      </c>
      <c r="W5" s="23">
        <v>6</v>
      </c>
      <c r="X5" s="23">
        <v>8</v>
      </c>
      <c r="Y5" s="23">
        <v>12</v>
      </c>
    </row>
    <row r="6" spans="1:25" s="26" customFormat="1">
      <c r="A6" s="20">
        <v>28</v>
      </c>
      <c r="B6" s="22">
        <v>46024</v>
      </c>
      <c r="C6" s="23">
        <v>5</v>
      </c>
      <c r="D6" s="23">
        <v>20</v>
      </c>
      <c r="E6" s="24">
        <v>124.57</v>
      </c>
      <c r="F6" s="25">
        <v>103.47</v>
      </c>
      <c r="G6" s="25">
        <v>38.06</v>
      </c>
      <c r="H6" s="25">
        <v>20.91</v>
      </c>
      <c r="I6" s="25">
        <v>15.38</v>
      </c>
      <c r="J6" s="23"/>
      <c r="K6" s="23"/>
      <c r="P6" s="23">
        <v>100</v>
      </c>
      <c r="Q6" s="23">
        <v>200</v>
      </c>
      <c r="R6" s="23">
        <v>40</v>
      </c>
      <c r="S6" s="23">
        <v>150</v>
      </c>
      <c r="T6" s="23">
        <v>20</v>
      </c>
      <c r="U6" s="23">
        <v>100</v>
      </c>
      <c r="V6" s="23">
        <v>4</v>
      </c>
      <c r="W6" s="23">
        <v>6</v>
      </c>
      <c r="X6" s="23">
        <v>8</v>
      </c>
      <c r="Y6" s="23">
        <v>12</v>
      </c>
    </row>
    <row r="7" spans="1:25" s="26" customFormat="1">
      <c r="A7" s="20">
        <v>28</v>
      </c>
      <c r="B7" s="22">
        <v>46025</v>
      </c>
      <c r="C7" s="23">
        <v>6</v>
      </c>
      <c r="D7" s="23">
        <v>20</v>
      </c>
      <c r="E7" s="24">
        <v>119</v>
      </c>
      <c r="F7" s="25">
        <v>92.67</v>
      </c>
      <c r="G7" s="25">
        <v>61.09</v>
      </c>
      <c r="H7" s="25">
        <v>19.27</v>
      </c>
      <c r="I7" s="25">
        <v>13.45</v>
      </c>
      <c r="J7" s="23"/>
      <c r="K7" s="23"/>
      <c r="P7" s="23">
        <v>100</v>
      </c>
      <c r="Q7" s="23">
        <v>200</v>
      </c>
      <c r="R7" s="23">
        <v>40</v>
      </c>
      <c r="S7" s="23">
        <v>150</v>
      </c>
      <c r="T7" s="23">
        <v>20</v>
      </c>
      <c r="U7" s="23">
        <v>100</v>
      </c>
      <c r="V7" s="23">
        <v>4</v>
      </c>
      <c r="W7" s="23">
        <v>6</v>
      </c>
      <c r="X7" s="23">
        <v>8</v>
      </c>
      <c r="Y7" s="23">
        <v>12</v>
      </c>
    </row>
    <row r="8" spans="1:25" s="26" customFormat="1">
      <c r="A8" s="20">
        <v>1</v>
      </c>
      <c r="B8" s="22">
        <v>46042</v>
      </c>
      <c r="C8" s="23">
        <v>7</v>
      </c>
      <c r="D8" s="23">
        <v>20</v>
      </c>
      <c r="E8" s="25">
        <v>133.26</v>
      </c>
      <c r="F8" s="25">
        <v>78.83</v>
      </c>
      <c r="G8" s="25">
        <v>36.72</v>
      </c>
      <c r="H8" s="25">
        <v>18.940000000000001</v>
      </c>
      <c r="I8" s="25">
        <v>14.9</v>
      </c>
      <c r="J8" s="23">
        <v>6.673</v>
      </c>
      <c r="K8" s="23"/>
      <c r="P8" s="23">
        <v>100</v>
      </c>
      <c r="Q8" s="23">
        <v>200</v>
      </c>
      <c r="R8" s="23">
        <v>40</v>
      </c>
      <c r="S8" s="23">
        <v>150</v>
      </c>
      <c r="T8" s="23">
        <v>20</v>
      </c>
      <c r="U8" s="23">
        <v>100</v>
      </c>
      <c r="V8" s="23">
        <v>4</v>
      </c>
      <c r="W8" s="23">
        <v>6</v>
      </c>
      <c r="X8" s="23">
        <v>8</v>
      </c>
      <c r="Y8" s="23">
        <v>12</v>
      </c>
    </row>
    <row r="9" spans="1:25" s="26" customFormat="1">
      <c r="A9" s="20">
        <v>1</v>
      </c>
      <c r="B9" s="22">
        <v>46043</v>
      </c>
      <c r="C9" s="23">
        <v>8</v>
      </c>
      <c r="D9" s="23">
        <v>20</v>
      </c>
      <c r="E9" s="25">
        <v>138.38</v>
      </c>
      <c r="F9" s="25">
        <v>73.290000000000006</v>
      </c>
      <c r="G9" s="25">
        <v>40.21</v>
      </c>
      <c r="H9" s="25">
        <v>16.27</v>
      </c>
      <c r="I9" s="25">
        <v>16.399999999999999</v>
      </c>
      <c r="J9" s="23"/>
      <c r="K9" s="23"/>
      <c r="P9" s="23">
        <v>100</v>
      </c>
      <c r="Q9" s="23">
        <v>200</v>
      </c>
      <c r="R9" s="23">
        <v>40</v>
      </c>
      <c r="S9" s="23">
        <v>150</v>
      </c>
      <c r="T9" s="23">
        <v>20</v>
      </c>
      <c r="U9" s="23">
        <v>100</v>
      </c>
      <c r="V9" s="23">
        <v>4</v>
      </c>
      <c r="W9" s="23">
        <v>6</v>
      </c>
      <c r="X9" s="23">
        <v>8</v>
      </c>
      <c r="Y9" s="23">
        <v>12</v>
      </c>
    </row>
    <row r="10" spans="1:25" s="26" customFormat="1">
      <c r="A10" s="20">
        <v>1</v>
      </c>
      <c r="B10" s="22">
        <v>46044</v>
      </c>
      <c r="C10" s="23">
        <v>9</v>
      </c>
      <c r="D10" s="23">
        <v>20</v>
      </c>
      <c r="E10" s="25">
        <v>116.16</v>
      </c>
      <c r="F10" s="25">
        <v>90.27</v>
      </c>
      <c r="G10" s="25">
        <v>37.4</v>
      </c>
      <c r="H10" s="25">
        <v>20.5</v>
      </c>
      <c r="I10" s="25">
        <v>14.69</v>
      </c>
      <c r="J10" s="23"/>
      <c r="K10" s="23"/>
      <c r="P10" s="23">
        <v>100</v>
      </c>
      <c r="Q10" s="23">
        <v>200</v>
      </c>
      <c r="R10" s="23">
        <v>40</v>
      </c>
      <c r="S10" s="23">
        <v>150</v>
      </c>
      <c r="T10" s="23">
        <v>20</v>
      </c>
      <c r="U10" s="23">
        <v>100</v>
      </c>
      <c r="V10" s="23">
        <v>4</v>
      </c>
      <c r="W10" s="23">
        <v>6</v>
      </c>
      <c r="X10" s="23">
        <v>8</v>
      </c>
      <c r="Y10" s="23">
        <v>12</v>
      </c>
    </row>
    <row r="11" spans="1:25" s="26" customFormat="1">
      <c r="A11" s="20">
        <v>2</v>
      </c>
      <c r="B11" s="22">
        <v>46045</v>
      </c>
      <c r="C11" s="23">
        <v>10</v>
      </c>
      <c r="D11" s="23">
        <v>20</v>
      </c>
      <c r="E11" s="25">
        <v>154.94999999999999</v>
      </c>
      <c r="F11" s="25">
        <v>97.85</v>
      </c>
      <c r="G11" s="25">
        <v>41.38</v>
      </c>
      <c r="H11" s="25">
        <v>18.23</v>
      </c>
      <c r="I11" s="25">
        <v>14.65</v>
      </c>
      <c r="J11" s="23">
        <v>7.726</v>
      </c>
      <c r="K11" s="23"/>
      <c r="P11" s="23">
        <v>100</v>
      </c>
      <c r="Q11" s="23">
        <v>200</v>
      </c>
      <c r="R11" s="23">
        <v>40</v>
      </c>
      <c r="S11" s="23">
        <v>150</v>
      </c>
      <c r="T11" s="23">
        <v>20</v>
      </c>
      <c r="U11" s="23">
        <v>100</v>
      </c>
      <c r="V11" s="23">
        <v>4</v>
      </c>
      <c r="W11" s="23">
        <v>6</v>
      </c>
      <c r="X11" s="23">
        <v>8</v>
      </c>
      <c r="Y11" s="23">
        <v>12</v>
      </c>
    </row>
    <row r="12" spans="1:25" s="26" customFormat="1">
      <c r="A12" s="20">
        <v>2</v>
      </c>
      <c r="B12" s="22">
        <v>46046</v>
      </c>
      <c r="C12" s="23">
        <v>11</v>
      </c>
      <c r="D12" s="23">
        <v>20</v>
      </c>
      <c r="E12" s="25">
        <v>113.19</v>
      </c>
      <c r="F12" s="25">
        <v>89.69</v>
      </c>
      <c r="G12" s="25">
        <v>53.04</v>
      </c>
      <c r="H12" s="25">
        <v>18</v>
      </c>
      <c r="I12" s="25">
        <v>14.8</v>
      </c>
      <c r="J12" s="23"/>
      <c r="K12" s="23"/>
      <c r="P12" s="23">
        <v>100</v>
      </c>
      <c r="Q12" s="23">
        <v>200</v>
      </c>
      <c r="R12" s="23">
        <v>40</v>
      </c>
      <c r="S12" s="23">
        <v>150</v>
      </c>
      <c r="T12" s="23">
        <v>20</v>
      </c>
      <c r="U12" s="23">
        <v>100</v>
      </c>
      <c r="V12" s="23">
        <v>4</v>
      </c>
      <c r="W12" s="23">
        <v>6</v>
      </c>
      <c r="X12" s="23">
        <v>8</v>
      </c>
      <c r="Y12" s="23">
        <v>12</v>
      </c>
    </row>
    <row r="13" spans="1:25" s="26" customFormat="1">
      <c r="A13" s="20">
        <v>2</v>
      </c>
      <c r="B13" s="22">
        <v>46048</v>
      </c>
      <c r="C13" s="23">
        <v>12</v>
      </c>
      <c r="D13" s="23">
        <v>20</v>
      </c>
      <c r="E13" s="25">
        <v>152.57</v>
      </c>
      <c r="F13" s="25">
        <v>92.63</v>
      </c>
      <c r="G13" s="25">
        <v>42.22</v>
      </c>
      <c r="H13" s="25">
        <v>17.53</v>
      </c>
      <c r="I13" s="25">
        <v>13.48</v>
      </c>
      <c r="J13" s="23"/>
      <c r="K13" s="23"/>
      <c r="P13" s="23">
        <v>100</v>
      </c>
      <c r="Q13" s="23">
        <v>200</v>
      </c>
      <c r="R13" s="23">
        <v>40</v>
      </c>
      <c r="S13" s="23">
        <v>150</v>
      </c>
      <c r="T13" s="23">
        <v>20</v>
      </c>
      <c r="U13" s="23">
        <v>100</v>
      </c>
      <c r="V13" s="23">
        <v>4</v>
      </c>
      <c r="W13" s="23">
        <v>6</v>
      </c>
      <c r="X13" s="23">
        <v>8</v>
      </c>
      <c r="Y13" s="23">
        <v>12</v>
      </c>
    </row>
    <row r="14" spans="1:25" s="26" customFormat="1">
      <c r="A14" s="20">
        <v>3</v>
      </c>
      <c r="B14" s="22">
        <v>46049</v>
      </c>
      <c r="C14" s="23">
        <v>13</v>
      </c>
      <c r="D14" s="23">
        <v>20</v>
      </c>
      <c r="E14" s="25">
        <v>147.26</v>
      </c>
      <c r="F14" s="25">
        <v>97.46</v>
      </c>
      <c r="G14" s="25">
        <v>51.92</v>
      </c>
      <c r="H14" s="25">
        <v>29.75</v>
      </c>
      <c r="I14" s="25">
        <v>14.2</v>
      </c>
      <c r="J14" s="23">
        <v>10.471</v>
      </c>
      <c r="K14" s="23"/>
      <c r="P14" s="23">
        <v>100</v>
      </c>
      <c r="Q14" s="23">
        <v>200</v>
      </c>
      <c r="R14" s="23">
        <v>40</v>
      </c>
      <c r="S14" s="23">
        <v>150</v>
      </c>
      <c r="T14" s="23">
        <v>20</v>
      </c>
      <c r="U14" s="23">
        <v>100</v>
      </c>
      <c r="V14" s="23">
        <v>4</v>
      </c>
      <c r="W14" s="23">
        <v>6</v>
      </c>
      <c r="X14" s="23">
        <v>8</v>
      </c>
      <c r="Y14" s="23">
        <v>12</v>
      </c>
    </row>
    <row r="15" spans="1:25" s="26" customFormat="1">
      <c r="A15" s="20">
        <v>3</v>
      </c>
      <c r="B15" s="22">
        <v>46050</v>
      </c>
      <c r="C15" s="23">
        <v>14</v>
      </c>
      <c r="D15" s="23">
        <v>20</v>
      </c>
      <c r="E15" s="25">
        <v>132.36000000000001</v>
      </c>
      <c r="F15" s="25">
        <v>89.25</v>
      </c>
      <c r="G15" s="25">
        <v>47.19</v>
      </c>
      <c r="H15" s="25">
        <v>21.59</v>
      </c>
      <c r="I15" s="25">
        <v>12.98</v>
      </c>
      <c r="J15" s="23"/>
      <c r="K15" s="23"/>
      <c r="P15" s="23">
        <v>100</v>
      </c>
      <c r="Q15" s="23">
        <v>200</v>
      </c>
      <c r="R15" s="23">
        <v>40</v>
      </c>
      <c r="S15" s="23">
        <v>150</v>
      </c>
      <c r="T15" s="23">
        <v>20</v>
      </c>
      <c r="U15" s="23">
        <v>100</v>
      </c>
      <c r="V15" s="23">
        <v>4</v>
      </c>
      <c r="W15" s="23">
        <v>6</v>
      </c>
      <c r="X15" s="23">
        <v>8</v>
      </c>
      <c r="Y15" s="23">
        <v>12</v>
      </c>
    </row>
    <row r="16" spans="1:25" s="26" customFormat="1">
      <c r="A16" s="20">
        <v>5</v>
      </c>
      <c r="B16" s="22">
        <v>46072</v>
      </c>
      <c r="C16" s="23">
        <v>15</v>
      </c>
      <c r="D16" s="23">
        <v>20</v>
      </c>
      <c r="E16" s="25">
        <v>144.9</v>
      </c>
      <c r="F16" s="25">
        <v>90.92</v>
      </c>
      <c r="G16" s="25">
        <v>48.21</v>
      </c>
      <c r="H16" s="25">
        <v>31.37</v>
      </c>
      <c r="I16" s="25">
        <v>19.97</v>
      </c>
      <c r="J16" s="27">
        <v>3.1890000000000001</v>
      </c>
      <c r="K16" s="27"/>
      <c r="P16" s="23">
        <v>100</v>
      </c>
      <c r="Q16" s="23">
        <v>200</v>
      </c>
      <c r="R16" s="23">
        <v>40</v>
      </c>
      <c r="S16" s="23">
        <v>150</v>
      </c>
      <c r="T16" s="23">
        <v>20</v>
      </c>
      <c r="U16" s="23">
        <v>100</v>
      </c>
      <c r="V16" s="23">
        <v>4</v>
      </c>
      <c r="W16" s="23">
        <v>6</v>
      </c>
      <c r="X16" s="23">
        <v>8</v>
      </c>
      <c r="Y16" s="23">
        <v>12</v>
      </c>
    </row>
    <row r="17" spans="1:25" s="26" customFormat="1">
      <c r="A17" s="20">
        <v>5</v>
      </c>
      <c r="B17" s="22">
        <v>46076</v>
      </c>
      <c r="C17" s="23">
        <v>16</v>
      </c>
      <c r="D17" s="23">
        <v>20</v>
      </c>
      <c r="E17" s="25">
        <v>152.31</v>
      </c>
      <c r="F17" s="25">
        <v>89.58</v>
      </c>
      <c r="G17" s="25">
        <v>57.13</v>
      </c>
      <c r="H17" s="25">
        <v>20.76</v>
      </c>
      <c r="I17" s="25">
        <v>17.66</v>
      </c>
      <c r="J17" s="23"/>
      <c r="K17" s="23"/>
      <c r="P17" s="23">
        <v>100</v>
      </c>
      <c r="Q17" s="23">
        <v>200</v>
      </c>
      <c r="R17" s="23">
        <v>40</v>
      </c>
      <c r="S17" s="23">
        <v>150</v>
      </c>
      <c r="T17" s="23">
        <v>20</v>
      </c>
      <c r="U17" s="23">
        <v>100</v>
      </c>
      <c r="V17" s="23">
        <v>4</v>
      </c>
      <c r="W17" s="23">
        <v>6</v>
      </c>
      <c r="X17" s="23">
        <v>8</v>
      </c>
      <c r="Y17" s="23">
        <v>12</v>
      </c>
    </row>
    <row r="18" spans="1:25" s="26" customFormat="1">
      <c r="A18" s="20">
        <v>5</v>
      </c>
      <c r="B18" s="22">
        <v>46077</v>
      </c>
      <c r="C18" s="23">
        <v>17</v>
      </c>
      <c r="D18" s="23">
        <v>20</v>
      </c>
      <c r="E18" s="25">
        <v>157.94999999999999</v>
      </c>
      <c r="F18" s="25">
        <v>97.36</v>
      </c>
      <c r="G18" s="25">
        <v>46.69</v>
      </c>
      <c r="H18" s="25">
        <v>20.7</v>
      </c>
      <c r="I18" s="25">
        <v>19.2</v>
      </c>
      <c r="J18" s="23"/>
      <c r="K18" s="23"/>
      <c r="P18" s="23">
        <v>100</v>
      </c>
      <c r="Q18" s="23">
        <v>200</v>
      </c>
      <c r="R18" s="23">
        <v>40</v>
      </c>
      <c r="S18" s="23">
        <v>150</v>
      </c>
      <c r="T18" s="23">
        <v>20</v>
      </c>
      <c r="U18" s="23">
        <v>100</v>
      </c>
      <c r="V18" s="23">
        <v>4</v>
      </c>
      <c r="W18" s="23">
        <v>6</v>
      </c>
      <c r="X18" s="23">
        <v>8</v>
      </c>
      <c r="Y18" s="23">
        <v>12</v>
      </c>
    </row>
    <row r="19" spans="1:25" s="26" customFormat="1">
      <c r="A19" s="20">
        <v>5</v>
      </c>
      <c r="B19" s="22">
        <v>46078</v>
      </c>
      <c r="C19" s="23">
        <v>18</v>
      </c>
      <c r="D19" s="23">
        <v>20</v>
      </c>
      <c r="E19" s="25">
        <v>157.68</v>
      </c>
      <c r="F19" s="25">
        <v>81.180000000000007</v>
      </c>
      <c r="G19" s="25">
        <v>70.86</v>
      </c>
      <c r="H19" s="25">
        <v>20.61</v>
      </c>
      <c r="I19" s="25">
        <v>18.420000000000002</v>
      </c>
      <c r="J19" s="23"/>
      <c r="K19" s="23"/>
      <c r="P19" s="23">
        <v>100</v>
      </c>
      <c r="Q19" s="23">
        <v>200</v>
      </c>
      <c r="R19" s="23">
        <v>40</v>
      </c>
      <c r="S19" s="23">
        <v>150</v>
      </c>
      <c r="T19" s="23">
        <v>20</v>
      </c>
      <c r="U19" s="23">
        <v>100</v>
      </c>
      <c r="V19" s="23">
        <v>4</v>
      </c>
      <c r="W19" s="23">
        <v>6</v>
      </c>
      <c r="X19" s="23">
        <v>8</v>
      </c>
      <c r="Y19" s="23">
        <v>12</v>
      </c>
    </row>
    <row r="20" spans="1:25" s="26" customFormat="1">
      <c r="A20" s="20">
        <v>5</v>
      </c>
      <c r="B20" s="22">
        <v>46079</v>
      </c>
      <c r="C20" s="23">
        <v>19</v>
      </c>
      <c r="D20" s="23">
        <v>20</v>
      </c>
      <c r="E20" s="25">
        <v>164.06</v>
      </c>
      <c r="F20" s="25">
        <v>90.49</v>
      </c>
      <c r="G20" s="25">
        <v>42.05</v>
      </c>
      <c r="H20" s="25">
        <v>29.86</v>
      </c>
      <c r="I20" s="25">
        <v>20.2</v>
      </c>
      <c r="J20" s="23"/>
      <c r="K20" s="23"/>
      <c r="P20" s="23">
        <v>100</v>
      </c>
      <c r="Q20" s="23">
        <v>200</v>
      </c>
      <c r="R20" s="23">
        <v>40</v>
      </c>
      <c r="S20" s="23">
        <v>150</v>
      </c>
      <c r="T20" s="23">
        <v>20</v>
      </c>
      <c r="U20" s="23">
        <v>100</v>
      </c>
      <c r="V20" s="23">
        <v>4</v>
      </c>
      <c r="W20" s="23">
        <v>6</v>
      </c>
      <c r="X20" s="23">
        <v>8</v>
      </c>
      <c r="Y20" s="23">
        <v>12</v>
      </c>
    </row>
    <row r="21" spans="1:25" s="26" customFormat="1">
      <c r="A21" s="20">
        <v>4</v>
      </c>
      <c r="B21" s="22">
        <v>46080</v>
      </c>
      <c r="C21" s="23">
        <v>20</v>
      </c>
      <c r="D21" s="23">
        <v>20</v>
      </c>
      <c r="E21" s="25">
        <v>161.51</v>
      </c>
      <c r="F21" s="25">
        <v>75.09</v>
      </c>
      <c r="G21" s="25">
        <v>50.14</v>
      </c>
      <c r="H21" s="25">
        <v>22.59</v>
      </c>
      <c r="I21" s="25">
        <v>19.46</v>
      </c>
      <c r="J21" s="28">
        <v>4.7321999999999997</v>
      </c>
      <c r="K21" s="28"/>
      <c r="P21" s="23">
        <v>100</v>
      </c>
      <c r="Q21" s="23">
        <v>200</v>
      </c>
      <c r="R21" s="23">
        <v>40</v>
      </c>
      <c r="S21" s="23">
        <v>150</v>
      </c>
      <c r="T21" s="23">
        <v>20</v>
      </c>
      <c r="U21" s="23">
        <v>100</v>
      </c>
      <c r="V21" s="23">
        <v>4</v>
      </c>
      <c r="W21" s="23">
        <v>6</v>
      </c>
      <c r="X21" s="23">
        <v>8</v>
      </c>
      <c r="Y21" s="23">
        <v>12</v>
      </c>
    </row>
    <row r="22" spans="1:25" s="26" customFormat="1">
      <c r="A22" s="20">
        <v>4</v>
      </c>
      <c r="B22" s="22">
        <v>46081</v>
      </c>
      <c r="C22" s="23">
        <v>21</v>
      </c>
      <c r="D22" s="23">
        <v>20</v>
      </c>
      <c r="E22" s="25">
        <v>171.71</v>
      </c>
      <c r="F22" s="25">
        <v>96.14</v>
      </c>
      <c r="G22" s="25">
        <v>42.91</v>
      </c>
      <c r="H22" s="25">
        <v>28.34</v>
      </c>
      <c r="I22" s="25">
        <v>18.59</v>
      </c>
      <c r="J22" s="23"/>
      <c r="K22" s="23"/>
      <c r="P22" s="23">
        <v>100</v>
      </c>
      <c r="Q22" s="23">
        <v>200</v>
      </c>
      <c r="R22" s="23">
        <v>40</v>
      </c>
      <c r="S22" s="23">
        <v>150</v>
      </c>
      <c r="T22" s="23">
        <v>20</v>
      </c>
      <c r="U22" s="23">
        <v>100</v>
      </c>
      <c r="V22" s="23">
        <v>4</v>
      </c>
      <c r="W22" s="23">
        <v>6</v>
      </c>
      <c r="X22" s="23">
        <v>8</v>
      </c>
      <c r="Y22" s="23">
        <v>12</v>
      </c>
    </row>
    <row r="23" spans="1:25" s="26" customFormat="1">
      <c r="A23" s="20">
        <v>4</v>
      </c>
      <c r="B23" s="22">
        <v>46083</v>
      </c>
      <c r="C23" s="23">
        <v>22</v>
      </c>
      <c r="D23" s="23">
        <v>20</v>
      </c>
      <c r="E23" s="25">
        <v>143.71</v>
      </c>
      <c r="F23" s="25">
        <v>72.3</v>
      </c>
      <c r="G23" s="25">
        <v>57.59</v>
      </c>
      <c r="H23" s="25">
        <v>18.260000000000002</v>
      </c>
      <c r="I23" s="25">
        <v>17.739999999999998</v>
      </c>
      <c r="J23" s="23"/>
      <c r="K23" s="23"/>
      <c r="P23" s="23">
        <v>100</v>
      </c>
      <c r="Q23" s="23">
        <v>200</v>
      </c>
      <c r="R23" s="23">
        <v>40</v>
      </c>
      <c r="S23" s="23">
        <v>150</v>
      </c>
      <c r="T23" s="23">
        <v>20</v>
      </c>
      <c r="U23" s="23">
        <v>100</v>
      </c>
      <c r="V23" s="23">
        <v>4</v>
      </c>
      <c r="W23" s="23">
        <v>6</v>
      </c>
      <c r="X23" s="23">
        <v>8</v>
      </c>
      <c r="Y23" s="23">
        <v>12</v>
      </c>
    </row>
    <row r="24" spans="1:25" s="26" customFormat="1">
      <c r="A24" s="20">
        <v>4</v>
      </c>
      <c r="B24" s="22">
        <v>46084</v>
      </c>
      <c r="C24" s="23">
        <v>23</v>
      </c>
      <c r="D24" s="23">
        <v>20</v>
      </c>
      <c r="E24" s="25">
        <v>164.26</v>
      </c>
      <c r="F24" s="25">
        <v>77.52</v>
      </c>
      <c r="G24" s="25">
        <v>36.56</v>
      </c>
      <c r="H24" s="25">
        <v>21.89</v>
      </c>
      <c r="I24" s="25">
        <v>18.28</v>
      </c>
      <c r="J24" s="23"/>
      <c r="K24" s="23"/>
      <c r="P24" s="23">
        <v>100</v>
      </c>
      <c r="Q24" s="23">
        <v>200</v>
      </c>
      <c r="R24" s="23">
        <v>40</v>
      </c>
      <c r="S24" s="23">
        <v>150</v>
      </c>
      <c r="T24" s="23">
        <v>20</v>
      </c>
      <c r="U24" s="23">
        <v>100</v>
      </c>
      <c r="V24" s="23">
        <v>4</v>
      </c>
      <c r="W24" s="23">
        <v>6</v>
      </c>
      <c r="X24" s="23">
        <v>8</v>
      </c>
      <c r="Y24" s="23">
        <v>12</v>
      </c>
    </row>
    <row r="25" spans="1:25" s="26" customFormat="1">
      <c r="A25" s="20">
        <v>4</v>
      </c>
      <c r="B25" s="22">
        <v>46085</v>
      </c>
      <c r="C25" s="23">
        <v>24</v>
      </c>
      <c r="D25" s="23">
        <v>20</v>
      </c>
      <c r="E25" s="25">
        <v>159.88</v>
      </c>
      <c r="F25" s="25">
        <v>79.47</v>
      </c>
      <c r="G25" s="25">
        <v>46.02</v>
      </c>
      <c r="H25" s="25">
        <v>19.64</v>
      </c>
      <c r="I25" s="25">
        <v>17.84</v>
      </c>
      <c r="J25" s="23"/>
      <c r="K25" s="23"/>
      <c r="P25" s="23">
        <v>100</v>
      </c>
      <c r="Q25" s="23">
        <v>200</v>
      </c>
      <c r="R25" s="23">
        <v>40</v>
      </c>
      <c r="S25" s="23">
        <v>150</v>
      </c>
      <c r="T25" s="23">
        <v>20</v>
      </c>
      <c r="U25" s="23">
        <v>100</v>
      </c>
      <c r="V25" s="23">
        <v>4</v>
      </c>
      <c r="W25" s="23">
        <v>6</v>
      </c>
      <c r="X25" s="23">
        <v>8</v>
      </c>
      <c r="Y25" s="23">
        <v>12</v>
      </c>
    </row>
    <row r="26" spans="1:25" s="26" customFormat="1">
      <c r="A26" s="20">
        <v>6</v>
      </c>
      <c r="B26" s="22">
        <v>46086</v>
      </c>
      <c r="C26" s="23">
        <v>25</v>
      </c>
      <c r="D26" s="23">
        <v>20</v>
      </c>
      <c r="E26" s="25">
        <v>150.21</v>
      </c>
      <c r="F26" s="25">
        <v>84.69</v>
      </c>
      <c r="G26" s="25">
        <v>51.2</v>
      </c>
      <c r="H26" s="25">
        <v>16.649999999999999</v>
      </c>
      <c r="I26" s="25">
        <v>16.7</v>
      </c>
      <c r="J26" s="23">
        <v>4.9420000000000002</v>
      </c>
      <c r="K26" s="23"/>
      <c r="P26" s="23">
        <v>100</v>
      </c>
      <c r="Q26" s="23">
        <v>200</v>
      </c>
      <c r="R26" s="23">
        <v>40</v>
      </c>
      <c r="S26" s="23">
        <v>150</v>
      </c>
      <c r="T26" s="23">
        <v>20</v>
      </c>
      <c r="U26" s="23">
        <v>100</v>
      </c>
      <c r="V26" s="23">
        <v>4</v>
      </c>
      <c r="W26" s="23">
        <v>6</v>
      </c>
      <c r="X26" s="23">
        <v>8</v>
      </c>
      <c r="Y26" s="23">
        <v>12</v>
      </c>
    </row>
    <row r="27" spans="1:25" s="26" customFormat="1">
      <c r="A27" s="20">
        <v>6</v>
      </c>
      <c r="B27" s="22">
        <v>46087</v>
      </c>
      <c r="C27" s="23">
        <v>26</v>
      </c>
      <c r="D27" s="23">
        <v>20</v>
      </c>
      <c r="E27" s="25">
        <v>143.25</v>
      </c>
      <c r="F27" s="25">
        <v>96.11</v>
      </c>
      <c r="G27" s="25">
        <v>52.26</v>
      </c>
      <c r="H27" s="25">
        <v>13.75</v>
      </c>
      <c r="I27" s="25">
        <v>19.170000000000002</v>
      </c>
      <c r="J27" s="23"/>
      <c r="K27" s="23"/>
      <c r="P27" s="23">
        <v>100</v>
      </c>
      <c r="Q27" s="23">
        <v>200</v>
      </c>
      <c r="R27" s="23">
        <v>40</v>
      </c>
      <c r="S27" s="23">
        <v>150</v>
      </c>
      <c r="T27" s="23">
        <v>20</v>
      </c>
      <c r="U27" s="23">
        <v>100</v>
      </c>
      <c r="V27" s="23">
        <v>4</v>
      </c>
      <c r="W27" s="23">
        <v>6</v>
      </c>
      <c r="X27" s="23">
        <v>8</v>
      </c>
      <c r="Y27" s="23">
        <v>12</v>
      </c>
    </row>
    <row r="28" spans="1:25" s="26" customFormat="1">
      <c r="A28" s="20">
        <v>6</v>
      </c>
      <c r="B28" s="22">
        <v>46090</v>
      </c>
      <c r="C28" s="23">
        <v>27</v>
      </c>
      <c r="D28" s="23">
        <v>20</v>
      </c>
      <c r="E28" s="25">
        <v>122.84</v>
      </c>
      <c r="F28" s="25">
        <v>84.57</v>
      </c>
      <c r="G28" s="25">
        <v>46.43</v>
      </c>
      <c r="H28" s="25">
        <v>15.65</v>
      </c>
      <c r="I28" s="25">
        <v>15.57</v>
      </c>
      <c r="J28" s="23"/>
      <c r="K28" s="23"/>
      <c r="P28" s="23">
        <v>100</v>
      </c>
      <c r="Q28" s="23">
        <v>200</v>
      </c>
      <c r="R28" s="23">
        <v>40</v>
      </c>
      <c r="S28" s="23">
        <v>150</v>
      </c>
      <c r="T28" s="23">
        <v>20</v>
      </c>
      <c r="U28" s="23">
        <v>100</v>
      </c>
      <c r="V28" s="23">
        <v>4</v>
      </c>
      <c r="W28" s="23">
        <v>6</v>
      </c>
      <c r="X28" s="23">
        <v>8</v>
      </c>
      <c r="Y28" s="23">
        <v>12</v>
      </c>
    </row>
    <row r="29" spans="1:25" s="26" customFormat="1">
      <c r="A29" s="20">
        <v>6</v>
      </c>
      <c r="B29" s="22">
        <v>46091</v>
      </c>
      <c r="C29" s="23">
        <v>28</v>
      </c>
      <c r="D29" s="23">
        <v>20</v>
      </c>
      <c r="E29" s="25">
        <v>138.4</v>
      </c>
      <c r="F29" s="25">
        <v>54.11</v>
      </c>
      <c r="G29" s="25">
        <v>38.58</v>
      </c>
      <c r="H29" s="25">
        <v>32.03</v>
      </c>
      <c r="I29" s="25">
        <v>32.770000000000003</v>
      </c>
      <c r="J29" s="23"/>
      <c r="K29" s="23"/>
      <c r="P29" s="23">
        <v>100</v>
      </c>
      <c r="Q29" s="23">
        <v>200</v>
      </c>
      <c r="R29" s="23">
        <v>40</v>
      </c>
      <c r="S29" s="23">
        <v>150</v>
      </c>
      <c r="T29" s="23">
        <v>20</v>
      </c>
      <c r="U29" s="23">
        <v>100</v>
      </c>
      <c r="V29" s="23">
        <v>4</v>
      </c>
      <c r="W29" s="23">
        <v>6</v>
      </c>
      <c r="X29" s="23">
        <v>8</v>
      </c>
      <c r="Y29" s="23">
        <v>12</v>
      </c>
    </row>
    <row r="30" spans="1:25" s="26" customFormat="1">
      <c r="A30" s="20">
        <v>7</v>
      </c>
      <c r="B30" s="22">
        <v>46091</v>
      </c>
      <c r="C30" s="23">
        <v>29</v>
      </c>
      <c r="D30" s="23">
        <v>20</v>
      </c>
      <c r="E30" s="25">
        <v>138.4</v>
      </c>
      <c r="F30" s="25">
        <v>54.11</v>
      </c>
      <c r="G30" s="25">
        <v>38.58</v>
      </c>
      <c r="H30" s="25">
        <v>32.03</v>
      </c>
      <c r="I30" s="25">
        <v>32.770000000000003</v>
      </c>
      <c r="J30" s="23">
        <v>5.5190000000000001</v>
      </c>
      <c r="K30" s="23"/>
      <c r="P30" s="23">
        <v>100</v>
      </c>
      <c r="Q30" s="23">
        <v>200</v>
      </c>
      <c r="R30" s="23">
        <v>40</v>
      </c>
      <c r="S30" s="23">
        <v>150</v>
      </c>
      <c r="T30" s="23">
        <v>20</v>
      </c>
      <c r="U30" s="23">
        <v>100</v>
      </c>
      <c r="V30" s="23">
        <v>4</v>
      </c>
      <c r="W30" s="23">
        <v>6</v>
      </c>
      <c r="X30" s="23">
        <v>8</v>
      </c>
      <c r="Y30" s="23">
        <v>12</v>
      </c>
    </row>
    <row r="31" spans="1:25" s="26" customFormat="1">
      <c r="A31" s="20">
        <v>7</v>
      </c>
      <c r="B31" s="22">
        <v>46092</v>
      </c>
      <c r="C31" s="23">
        <v>30</v>
      </c>
      <c r="D31" s="23">
        <v>20</v>
      </c>
      <c r="E31" s="25">
        <v>129.6</v>
      </c>
      <c r="F31" s="25">
        <v>88</v>
      </c>
      <c r="G31" s="25">
        <v>45.9</v>
      </c>
      <c r="H31" s="25">
        <v>16.43</v>
      </c>
      <c r="I31" s="25">
        <v>16.63</v>
      </c>
      <c r="J31" s="23"/>
      <c r="K31" s="23"/>
      <c r="P31" s="23">
        <v>100</v>
      </c>
      <c r="Q31" s="23">
        <v>200</v>
      </c>
      <c r="R31" s="23">
        <v>40</v>
      </c>
      <c r="S31" s="23">
        <v>150</v>
      </c>
      <c r="T31" s="23">
        <v>20</v>
      </c>
      <c r="U31" s="23">
        <v>100</v>
      </c>
      <c r="V31" s="23">
        <v>4</v>
      </c>
      <c r="W31" s="23">
        <v>6</v>
      </c>
      <c r="X31" s="23">
        <v>8</v>
      </c>
      <c r="Y31" s="23">
        <v>12</v>
      </c>
    </row>
    <row r="32" spans="1:25" s="26" customFormat="1">
      <c r="A32" s="20">
        <v>7</v>
      </c>
      <c r="B32" s="22">
        <v>46093</v>
      </c>
      <c r="C32" s="23">
        <v>31</v>
      </c>
      <c r="D32" s="23">
        <v>20</v>
      </c>
      <c r="E32" s="25">
        <v>145.94</v>
      </c>
      <c r="F32" s="25">
        <v>72.900000000000006</v>
      </c>
      <c r="G32" s="25">
        <v>39.979999999999997</v>
      </c>
      <c r="H32" s="25">
        <v>14.71</v>
      </c>
      <c r="I32" s="25">
        <v>17.670000000000002</v>
      </c>
      <c r="J32" s="23"/>
      <c r="K32" s="23"/>
      <c r="P32" s="23">
        <v>100</v>
      </c>
      <c r="Q32" s="23">
        <v>200</v>
      </c>
      <c r="R32" s="23">
        <v>40</v>
      </c>
      <c r="S32" s="23">
        <v>150</v>
      </c>
      <c r="T32" s="23">
        <v>20</v>
      </c>
      <c r="U32" s="23">
        <v>100</v>
      </c>
      <c r="V32" s="23">
        <v>4</v>
      </c>
      <c r="W32" s="23">
        <v>6</v>
      </c>
      <c r="X32" s="23">
        <v>8</v>
      </c>
      <c r="Y32" s="23">
        <v>12</v>
      </c>
    </row>
    <row r="33" spans="1:25" s="26" customFormat="1">
      <c r="A33" s="20">
        <v>7</v>
      </c>
      <c r="B33" s="22">
        <v>46094</v>
      </c>
      <c r="C33" s="23">
        <v>32</v>
      </c>
      <c r="D33" s="23">
        <v>20</v>
      </c>
      <c r="E33" s="25">
        <v>130.19999999999999</v>
      </c>
      <c r="F33" s="25">
        <v>78.11</v>
      </c>
      <c r="G33" s="25">
        <v>47.38</v>
      </c>
      <c r="H33" s="25">
        <v>16.62</v>
      </c>
      <c r="I33" s="25">
        <v>17.829999999999998</v>
      </c>
      <c r="J33" s="23"/>
      <c r="K33" s="23"/>
      <c r="P33" s="23">
        <v>100</v>
      </c>
      <c r="Q33" s="23">
        <v>200</v>
      </c>
      <c r="R33" s="23">
        <v>40</v>
      </c>
      <c r="S33" s="23">
        <v>150</v>
      </c>
      <c r="T33" s="23">
        <v>20</v>
      </c>
      <c r="U33" s="23">
        <v>100</v>
      </c>
      <c r="V33" s="23">
        <v>4</v>
      </c>
      <c r="W33" s="23">
        <v>6</v>
      </c>
      <c r="X33" s="23">
        <v>8</v>
      </c>
      <c r="Y33" s="23">
        <v>12</v>
      </c>
    </row>
    <row r="34" spans="1:25" s="26" customFormat="1">
      <c r="A34" s="20">
        <v>7</v>
      </c>
      <c r="B34" s="22">
        <v>46095</v>
      </c>
      <c r="C34" s="23">
        <v>33</v>
      </c>
      <c r="D34" s="23">
        <v>20</v>
      </c>
      <c r="E34" s="25">
        <v>143.80000000000001</v>
      </c>
      <c r="F34" s="25">
        <v>93.55</v>
      </c>
      <c r="G34" s="25">
        <v>41.95</v>
      </c>
      <c r="H34" s="25">
        <v>19.920000000000002</v>
      </c>
      <c r="I34" s="25">
        <v>16.18</v>
      </c>
      <c r="J34" s="23"/>
      <c r="K34" s="23"/>
      <c r="P34" s="23">
        <v>100</v>
      </c>
      <c r="Q34" s="23">
        <v>200</v>
      </c>
      <c r="R34" s="23">
        <v>40</v>
      </c>
      <c r="S34" s="23">
        <v>150</v>
      </c>
      <c r="T34" s="23">
        <v>20</v>
      </c>
      <c r="U34" s="23">
        <v>100</v>
      </c>
      <c r="V34" s="23">
        <v>4</v>
      </c>
      <c r="W34" s="23">
        <v>6</v>
      </c>
      <c r="X34" s="23">
        <v>8</v>
      </c>
      <c r="Y34" s="23">
        <v>12</v>
      </c>
    </row>
    <row r="35" spans="1:25" s="26" customFormat="1">
      <c r="A35" s="20">
        <v>8</v>
      </c>
      <c r="B35" s="22">
        <v>46113</v>
      </c>
      <c r="C35" s="23">
        <v>34</v>
      </c>
      <c r="D35" s="23">
        <v>20</v>
      </c>
      <c r="E35" s="25">
        <v>135.16</v>
      </c>
      <c r="F35" s="25">
        <v>89.63</v>
      </c>
      <c r="G35" s="25">
        <v>37.26</v>
      </c>
      <c r="H35" s="25">
        <v>11.16</v>
      </c>
      <c r="I35" s="25">
        <v>14.51</v>
      </c>
      <c r="J35" s="23">
        <v>5.66</v>
      </c>
      <c r="K35" s="23"/>
      <c r="P35" s="23">
        <v>100</v>
      </c>
      <c r="Q35" s="23">
        <v>200</v>
      </c>
      <c r="R35" s="23">
        <v>40</v>
      </c>
      <c r="S35" s="23">
        <v>150</v>
      </c>
      <c r="T35" s="23">
        <v>20</v>
      </c>
      <c r="U35" s="23">
        <v>100</v>
      </c>
      <c r="V35" s="23">
        <v>4</v>
      </c>
      <c r="W35" s="23">
        <v>6</v>
      </c>
      <c r="X35" s="23">
        <v>8</v>
      </c>
      <c r="Y35" s="23">
        <v>12</v>
      </c>
    </row>
    <row r="36" spans="1:25" s="26" customFormat="1">
      <c r="A36" s="20">
        <v>8</v>
      </c>
      <c r="B36" s="22">
        <v>46114</v>
      </c>
      <c r="C36" s="23">
        <v>35</v>
      </c>
      <c r="D36" s="23">
        <v>20</v>
      </c>
      <c r="E36" s="25">
        <v>103.05</v>
      </c>
      <c r="F36" s="25">
        <v>94.57</v>
      </c>
      <c r="G36" s="25">
        <v>50.14</v>
      </c>
      <c r="H36" s="25">
        <v>10.6</v>
      </c>
      <c r="I36" s="25">
        <v>15.61</v>
      </c>
      <c r="J36" s="23"/>
      <c r="K36" s="23"/>
      <c r="P36" s="23">
        <v>100</v>
      </c>
      <c r="Q36" s="23">
        <v>200</v>
      </c>
      <c r="R36" s="23">
        <v>40</v>
      </c>
      <c r="S36" s="23">
        <v>150</v>
      </c>
      <c r="T36" s="23">
        <v>20</v>
      </c>
      <c r="U36" s="23">
        <v>100</v>
      </c>
      <c r="V36" s="23">
        <v>4</v>
      </c>
      <c r="W36" s="23">
        <v>6</v>
      </c>
      <c r="X36" s="23">
        <v>8</v>
      </c>
      <c r="Y36" s="23">
        <v>12</v>
      </c>
    </row>
    <row r="37" spans="1:25" s="26" customFormat="1">
      <c r="A37" s="20">
        <v>8</v>
      </c>
      <c r="B37" s="22">
        <v>46116</v>
      </c>
      <c r="C37" s="23">
        <v>36</v>
      </c>
      <c r="D37" s="23">
        <v>20</v>
      </c>
      <c r="E37" s="25">
        <v>141.93</v>
      </c>
      <c r="F37" s="25">
        <v>78.12</v>
      </c>
      <c r="G37" s="25">
        <v>45.68</v>
      </c>
      <c r="H37" s="25">
        <v>19</v>
      </c>
      <c r="I37" s="25">
        <v>13.31</v>
      </c>
      <c r="J37" s="23"/>
      <c r="K37" s="23"/>
      <c r="P37" s="23">
        <v>100</v>
      </c>
      <c r="Q37" s="23">
        <v>200</v>
      </c>
      <c r="R37" s="23">
        <v>40</v>
      </c>
      <c r="S37" s="23">
        <v>150</v>
      </c>
      <c r="T37" s="23">
        <v>20</v>
      </c>
      <c r="U37" s="23">
        <v>100</v>
      </c>
      <c r="V37" s="23">
        <v>4</v>
      </c>
      <c r="W37" s="23">
        <v>6</v>
      </c>
      <c r="X37" s="23">
        <v>8</v>
      </c>
      <c r="Y37" s="23">
        <v>12</v>
      </c>
    </row>
    <row r="38" spans="1:25" s="26" customFormat="1">
      <c r="A38" s="20">
        <v>8</v>
      </c>
      <c r="B38" s="22">
        <v>46118</v>
      </c>
      <c r="C38" s="23">
        <v>37</v>
      </c>
      <c r="D38" s="23">
        <v>20</v>
      </c>
      <c r="E38" s="25">
        <v>125.8</v>
      </c>
      <c r="F38" s="25">
        <v>76.28</v>
      </c>
      <c r="G38" s="25">
        <v>41.81</v>
      </c>
      <c r="H38" s="25">
        <v>10.45</v>
      </c>
      <c r="I38" s="25">
        <v>14.6</v>
      </c>
      <c r="J38" s="23"/>
      <c r="K38" s="23"/>
      <c r="P38" s="23">
        <v>100</v>
      </c>
      <c r="Q38" s="23">
        <v>200</v>
      </c>
      <c r="R38" s="23">
        <v>40</v>
      </c>
      <c r="S38" s="23">
        <v>150</v>
      </c>
      <c r="T38" s="23">
        <v>20</v>
      </c>
      <c r="U38" s="23">
        <v>100</v>
      </c>
      <c r="V38" s="23">
        <v>4</v>
      </c>
      <c r="W38" s="23">
        <v>6</v>
      </c>
      <c r="X38" s="23">
        <v>8</v>
      </c>
      <c r="Y38" s="23">
        <v>12</v>
      </c>
    </row>
    <row r="39" spans="1:25" s="26" customFormat="1">
      <c r="A39" s="20">
        <v>8</v>
      </c>
      <c r="B39" s="22">
        <v>46119</v>
      </c>
      <c r="C39" s="23">
        <v>38</v>
      </c>
      <c r="D39" s="23">
        <v>20</v>
      </c>
      <c r="E39" s="25">
        <v>139.41999999999999</v>
      </c>
      <c r="F39" s="25">
        <v>70.290000000000006</v>
      </c>
      <c r="G39" s="25">
        <v>42.41</v>
      </c>
      <c r="H39" s="25">
        <v>12.17</v>
      </c>
      <c r="I39" s="25">
        <v>14.78</v>
      </c>
      <c r="J39" s="23"/>
      <c r="K39" s="23"/>
      <c r="P39" s="23">
        <v>100</v>
      </c>
      <c r="Q39" s="23">
        <v>200</v>
      </c>
      <c r="R39" s="23">
        <v>40</v>
      </c>
      <c r="S39" s="23">
        <v>150</v>
      </c>
      <c r="T39" s="23">
        <v>20</v>
      </c>
      <c r="U39" s="23">
        <v>100</v>
      </c>
      <c r="V39" s="23">
        <v>4</v>
      </c>
      <c r="W39" s="23">
        <v>6</v>
      </c>
      <c r="X39" s="23">
        <v>8</v>
      </c>
      <c r="Y39" s="23">
        <v>12</v>
      </c>
    </row>
    <row r="40" spans="1:25" s="26" customFormat="1">
      <c r="A40" s="20">
        <v>8</v>
      </c>
      <c r="B40" s="22">
        <v>46120</v>
      </c>
      <c r="C40" s="23">
        <v>39</v>
      </c>
      <c r="D40" s="23">
        <v>20</v>
      </c>
      <c r="E40" s="25">
        <v>146.04</v>
      </c>
      <c r="F40" s="25">
        <v>76.78</v>
      </c>
      <c r="G40" s="25">
        <v>41.22</v>
      </c>
      <c r="H40" s="25">
        <v>10.73</v>
      </c>
      <c r="I40" s="25">
        <v>17.21</v>
      </c>
      <c r="J40" s="23"/>
      <c r="K40" s="23"/>
      <c r="P40" s="23">
        <v>100</v>
      </c>
      <c r="Q40" s="23">
        <v>200</v>
      </c>
      <c r="R40" s="23">
        <v>40</v>
      </c>
      <c r="S40" s="23">
        <v>150</v>
      </c>
      <c r="T40" s="23">
        <v>20</v>
      </c>
      <c r="U40" s="23">
        <v>100</v>
      </c>
      <c r="V40" s="23">
        <v>4</v>
      </c>
      <c r="W40" s="23">
        <v>6</v>
      </c>
      <c r="X40" s="23">
        <v>8</v>
      </c>
      <c r="Y40" s="23">
        <v>12</v>
      </c>
    </row>
    <row r="41" spans="1:25" s="26" customFormat="1">
      <c r="A41" s="20">
        <v>9</v>
      </c>
      <c r="B41" s="22">
        <v>46155</v>
      </c>
      <c r="C41" s="23">
        <v>40</v>
      </c>
      <c r="D41" s="23">
        <v>20</v>
      </c>
      <c r="E41" s="25">
        <v>131.99</v>
      </c>
      <c r="F41" s="25">
        <v>83.23</v>
      </c>
      <c r="G41" s="25">
        <v>41.48</v>
      </c>
      <c r="H41" s="25">
        <v>16.25</v>
      </c>
      <c r="I41" s="25">
        <v>15.94</v>
      </c>
      <c r="J41" s="28">
        <v>3.5470000000000002</v>
      </c>
      <c r="K41" s="28"/>
      <c r="P41" s="23">
        <v>100</v>
      </c>
      <c r="Q41" s="23">
        <v>200</v>
      </c>
      <c r="R41" s="23">
        <v>40</v>
      </c>
      <c r="S41" s="23">
        <v>150</v>
      </c>
      <c r="T41" s="23">
        <v>20</v>
      </c>
      <c r="U41" s="23">
        <v>100</v>
      </c>
      <c r="V41" s="23">
        <v>4</v>
      </c>
      <c r="W41" s="23">
        <v>6</v>
      </c>
      <c r="X41" s="23">
        <v>8</v>
      </c>
      <c r="Y41" s="23">
        <v>12</v>
      </c>
    </row>
    <row r="42" spans="1:25" s="26" customFormat="1">
      <c r="A42" s="20">
        <v>9</v>
      </c>
      <c r="B42" s="22">
        <v>46195</v>
      </c>
      <c r="C42" s="23">
        <v>41</v>
      </c>
      <c r="D42" s="23">
        <v>20</v>
      </c>
      <c r="E42" s="25">
        <v>139.96</v>
      </c>
      <c r="F42" s="25">
        <v>89.48</v>
      </c>
      <c r="G42" s="25">
        <v>89.48</v>
      </c>
      <c r="H42" s="25">
        <v>12.18</v>
      </c>
      <c r="I42" s="25">
        <v>17.39</v>
      </c>
      <c r="J42" s="23"/>
      <c r="K42" s="23"/>
      <c r="P42" s="23">
        <v>100</v>
      </c>
      <c r="Q42" s="23">
        <v>200</v>
      </c>
      <c r="R42" s="23">
        <v>40</v>
      </c>
      <c r="S42" s="23">
        <v>150</v>
      </c>
      <c r="T42" s="23">
        <v>20</v>
      </c>
      <c r="U42" s="23">
        <v>100</v>
      </c>
      <c r="V42" s="23">
        <v>4</v>
      </c>
      <c r="W42" s="23">
        <v>6</v>
      </c>
      <c r="X42" s="23">
        <v>8</v>
      </c>
      <c r="Y42" s="23">
        <v>12</v>
      </c>
    </row>
    <row r="43" spans="1:25" s="26" customFormat="1">
      <c r="A43" s="20">
        <v>9</v>
      </c>
      <c r="B43" s="22">
        <v>46196</v>
      </c>
      <c r="C43" s="23">
        <v>42</v>
      </c>
      <c r="D43" s="23">
        <v>20</v>
      </c>
      <c r="E43" s="25">
        <v>148.97</v>
      </c>
      <c r="F43" s="25">
        <v>73.13</v>
      </c>
      <c r="G43" s="25">
        <v>40.549999999999997</v>
      </c>
      <c r="H43" s="25">
        <v>11.15</v>
      </c>
      <c r="I43" s="25">
        <v>15.38</v>
      </c>
      <c r="J43" s="23"/>
      <c r="K43" s="23"/>
      <c r="P43" s="23">
        <v>100</v>
      </c>
      <c r="Q43" s="23">
        <v>200</v>
      </c>
      <c r="R43" s="23">
        <v>40</v>
      </c>
      <c r="S43" s="23">
        <v>150</v>
      </c>
      <c r="T43" s="23">
        <v>20</v>
      </c>
      <c r="U43" s="23">
        <v>100</v>
      </c>
      <c r="V43" s="23">
        <v>4</v>
      </c>
      <c r="W43" s="23">
        <v>6</v>
      </c>
      <c r="X43" s="23">
        <v>8</v>
      </c>
      <c r="Y43" s="23">
        <v>12</v>
      </c>
    </row>
    <row r="44" spans="1:25" s="26" customFormat="1">
      <c r="A44" s="20">
        <v>10</v>
      </c>
      <c r="B44" s="22">
        <v>46196</v>
      </c>
      <c r="C44" s="23">
        <v>43</v>
      </c>
      <c r="D44" s="23">
        <v>20</v>
      </c>
      <c r="E44" s="25">
        <v>148.97</v>
      </c>
      <c r="F44" s="25">
        <v>73.13</v>
      </c>
      <c r="G44" s="25">
        <v>40.549999999999997</v>
      </c>
      <c r="H44" s="25">
        <v>11.15</v>
      </c>
      <c r="I44" s="25">
        <v>15.38</v>
      </c>
      <c r="J44" s="28">
        <v>7.117</v>
      </c>
      <c r="K44" s="28">
        <v>5.4269999999999996</v>
      </c>
      <c r="P44" s="23">
        <v>100</v>
      </c>
      <c r="Q44" s="23">
        <v>200</v>
      </c>
      <c r="R44" s="23">
        <v>40</v>
      </c>
      <c r="S44" s="23">
        <v>150</v>
      </c>
      <c r="T44" s="23">
        <v>20</v>
      </c>
      <c r="U44" s="23">
        <v>100</v>
      </c>
      <c r="V44" s="23">
        <v>4</v>
      </c>
      <c r="W44" s="23">
        <v>6</v>
      </c>
      <c r="X44" s="23">
        <v>8</v>
      </c>
      <c r="Y44" s="23">
        <v>12</v>
      </c>
    </row>
    <row r="45" spans="1:25" s="26" customFormat="1">
      <c r="A45" s="20">
        <v>10</v>
      </c>
      <c r="B45" s="22">
        <v>46197</v>
      </c>
      <c r="C45" s="23">
        <v>44</v>
      </c>
      <c r="D45" s="23">
        <v>20</v>
      </c>
      <c r="E45" s="25">
        <v>146.73500000000001</v>
      </c>
      <c r="F45" s="25">
        <v>80.680000000000007</v>
      </c>
      <c r="G45" s="25">
        <v>39.42</v>
      </c>
      <c r="H45" s="25">
        <v>13.68</v>
      </c>
      <c r="I45" s="25">
        <v>15.65</v>
      </c>
      <c r="J45" s="28"/>
      <c r="K45" s="28"/>
      <c r="P45" s="23">
        <v>100</v>
      </c>
      <c r="Q45" s="23">
        <v>200</v>
      </c>
      <c r="R45" s="23">
        <v>40</v>
      </c>
      <c r="S45" s="23">
        <v>150</v>
      </c>
      <c r="T45" s="23">
        <v>20</v>
      </c>
      <c r="U45" s="23">
        <v>100</v>
      </c>
      <c r="V45" s="23">
        <v>4</v>
      </c>
      <c r="W45" s="23">
        <v>6</v>
      </c>
      <c r="X45" s="23">
        <v>8</v>
      </c>
      <c r="Y45" s="23">
        <v>12</v>
      </c>
    </row>
    <row r="46" spans="1:25" s="26" customFormat="1">
      <c r="A46" s="20">
        <v>10</v>
      </c>
      <c r="B46" s="22">
        <v>46198</v>
      </c>
      <c r="C46" s="23">
        <v>45</v>
      </c>
      <c r="D46" s="23">
        <v>20</v>
      </c>
      <c r="E46" s="25">
        <v>140.72999999999999</v>
      </c>
      <c r="F46" s="25">
        <v>82.75</v>
      </c>
      <c r="G46" s="25">
        <v>45.8</v>
      </c>
      <c r="H46" s="25">
        <v>13.98</v>
      </c>
      <c r="I46" s="25">
        <v>17.68</v>
      </c>
      <c r="J46" s="28"/>
      <c r="K46" s="28"/>
      <c r="P46" s="23">
        <v>100</v>
      </c>
      <c r="Q46" s="23">
        <v>200</v>
      </c>
      <c r="R46" s="23">
        <v>40</v>
      </c>
      <c r="S46" s="23">
        <v>150</v>
      </c>
      <c r="T46" s="23">
        <v>20</v>
      </c>
      <c r="U46" s="23">
        <v>100</v>
      </c>
      <c r="V46" s="23">
        <v>4</v>
      </c>
      <c r="W46" s="23">
        <v>6</v>
      </c>
      <c r="X46" s="23">
        <v>8</v>
      </c>
      <c r="Y46" s="23">
        <v>12</v>
      </c>
    </row>
    <row r="47" spans="1:25" s="26" customFormat="1">
      <c r="A47" s="20">
        <v>10</v>
      </c>
      <c r="B47" s="22">
        <v>46199</v>
      </c>
      <c r="C47" s="23">
        <v>46</v>
      </c>
      <c r="D47" s="23">
        <v>20</v>
      </c>
      <c r="E47" s="25">
        <v>152.51</v>
      </c>
      <c r="F47" s="25">
        <v>80.98</v>
      </c>
      <c r="G47" s="25">
        <v>31.18</v>
      </c>
      <c r="H47" s="25">
        <v>10.74</v>
      </c>
      <c r="I47" s="25">
        <v>14.62</v>
      </c>
      <c r="J47" s="28"/>
      <c r="K47" s="28"/>
      <c r="P47" s="23">
        <v>100</v>
      </c>
      <c r="Q47" s="23">
        <v>200</v>
      </c>
      <c r="R47" s="23">
        <v>40</v>
      </c>
      <c r="S47" s="23">
        <v>150</v>
      </c>
      <c r="T47" s="23">
        <v>20</v>
      </c>
      <c r="U47" s="23">
        <v>100</v>
      </c>
      <c r="V47" s="23">
        <v>4</v>
      </c>
      <c r="W47" s="23">
        <v>6</v>
      </c>
      <c r="X47" s="23">
        <v>8</v>
      </c>
      <c r="Y47" s="23">
        <v>12</v>
      </c>
    </row>
    <row r="48" spans="1:25" s="26" customFormat="1">
      <c r="A48" s="20">
        <v>11</v>
      </c>
      <c r="B48" s="22">
        <v>46199</v>
      </c>
      <c r="C48" s="23">
        <v>47</v>
      </c>
      <c r="D48" s="23">
        <v>20</v>
      </c>
      <c r="E48" s="25">
        <v>152.51</v>
      </c>
      <c r="F48" s="25">
        <v>80.98</v>
      </c>
      <c r="G48" s="25">
        <v>31.18</v>
      </c>
      <c r="H48" s="25">
        <v>10.74</v>
      </c>
      <c r="I48" s="25">
        <v>14.62</v>
      </c>
      <c r="J48" s="28">
        <v>0.73</v>
      </c>
      <c r="K48" s="28">
        <v>0.21</v>
      </c>
      <c r="P48" s="23">
        <v>100</v>
      </c>
      <c r="Q48" s="23">
        <v>200</v>
      </c>
      <c r="R48" s="23">
        <v>40</v>
      </c>
      <c r="S48" s="23">
        <v>150</v>
      </c>
      <c r="T48" s="23">
        <v>20</v>
      </c>
      <c r="U48" s="23">
        <v>100</v>
      </c>
      <c r="V48" s="23">
        <v>4</v>
      </c>
      <c r="W48" s="23">
        <v>6</v>
      </c>
      <c r="X48" s="23">
        <v>8</v>
      </c>
      <c r="Y48" s="23">
        <v>12</v>
      </c>
    </row>
    <row r="49" spans="1:25" s="26" customFormat="1">
      <c r="A49" s="20">
        <v>11</v>
      </c>
      <c r="B49" s="22">
        <v>46202</v>
      </c>
      <c r="C49" s="23">
        <v>48</v>
      </c>
      <c r="D49" s="23">
        <v>20</v>
      </c>
      <c r="E49" s="25">
        <v>138.21</v>
      </c>
      <c r="F49" s="25">
        <v>86.1</v>
      </c>
      <c r="G49" s="25">
        <v>42.13</v>
      </c>
      <c r="H49" s="25">
        <v>14.16</v>
      </c>
      <c r="I49" s="25">
        <v>20.88</v>
      </c>
      <c r="J49" s="28">
        <v>1.71</v>
      </c>
      <c r="K49" s="28">
        <v>0.37</v>
      </c>
      <c r="P49" s="23">
        <v>100</v>
      </c>
      <c r="Q49" s="23">
        <v>200</v>
      </c>
      <c r="R49" s="23">
        <v>40</v>
      </c>
      <c r="S49" s="23">
        <v>150</v>
      </c>
      <c r="T49" s="23">
        <v>20</v>
      </c>
      <c r="U49" s="23">
        <v>100</v>
      </c>
      <c r="V49" s="23">
        <v>4</v>
      </c>
      <c r="W49" s="23">
        <v>6</v>
      </c>
      <c r="X49" s="23">
        <v>8</v>
      </c>
      <c r="Y49" s="23">
        <v>12</v>
      </c>
    </row>
    <row r="50" spans="1:25" s="26" customFormat="1">
      <c r="A50" s="20">
        <v>11</v>
      </c>
      <c r="B50" s="22">
        <v>46203</v>
      </c>
      <c r="C50" s="23">
        <v>49</v>
      </c>
      <c r="D50" s="23">
        <v>20</v>
      </c>
      <c r="E50" s="25">
        <v>144.74</v>
      </c>
      <c r="F50" s="29">
        <v>82.5</v>
      </c>
      <c r="G50" s="25">
        <v>38</v>
      </c>
      <c r="H50" s="25">
        <v>18.43</v>
      </c>
      <c r="I50" s="25">
        <v>15.13</v>
      </c>
      <c r="J50" s="28">
        <v>1.42</v>
      </c>
      <c r="K50" s="28">
        <v>0.26</v>
      </c>
      <c r="P50" s="23">
        <v>100</v>
      </c>
      <c r="Q50" s="23">
        <v>200</v>
      </c>
      <c r="R50" s="23">
        <v>40</v>
      </c>
      <c r="S50" s="23">
        <v>150</v>
      </c>
      <c r="T50" s="23">
        <v>20</v>
      </c>
      <c r="U50" s="23">
        <v>100</v>
      </c>
      <c r="V50" s="23">
        <v>4</v>
      </c>
      <c r="W50" s="23">
        <v>6</v>
      </c>
      <c r="X50" s="23">
        <v>8</v>
      </c>
      <c r="Y50" s="23">
        <v>12</v>
      </c>
    </row>
    <row r="51" spans="1:25" s="26" customFormat="1">
      <c r="A51" s="20">
        <v>11</v>
      </c>
      <c r="B51" s="22">
        <v>46204</v>
      </c>
      <c r="C51" s="23">
        <v>50</v>
      </c>
      <c r="D51" s="23">
        <v>20</v>
      </c>
      <c r="E51" s="25">
        <v>163</v>
      </c>
      <c r="F51" s="25">
        <v>84.16</v>
      </c>
      <c r="G51" s="25">
        <v>39.79</v>
      </c>
      <c r="H51" s="25">
        <v>15.48</v>
      </c>
      <c r="I51" s="25">
        <v>16.579999999999998</v>
      </c>
      <c r="J51" s="28">
        <v>1.36</v>
      </c>
      <c r="K51" s="28">
        <v>0.28999999999999998</v>
      </c>
      <c r="P51" s="23">
        <v>100</v>
      </c>
      <c r="Q51" s="23">
        <v>200</v>
      </c>
      <c r="R51" s="23">
        <v>40</v>
      </c>
      <c r="S51" s="23">
        <v>150</v>
      </c>
      <c r="T51" s="23">
        <v>20</v>
      </c>
      <c r="U51" s="23">
        <v>100</v>
      </c>
      <c r="V51" s="23">
        <v>4</v>
      </c>
      <c r="W51" s="23">
        <v>6</v>
      </c>
      <c r="X51" s="23">
        <v>8</v>
      </c>
      <c r="Y51" s="23">
        <v>12</v>
      </c>
    </row>
    <row r="52" spans="1:25" s="26" customFormat="1">
      <c r="A52" s="20">
        <v>11</v>
      </c>
      <c r="B52" s="22">
        <v>46205</v>
      </c>
      <c r="C52" s="23">
        <v>51</v>
      </c>
      <c r="D52" s="23">
        <v>20</v>
      </c>
      <c r="E52" s="25">
        <v>141.44</v>
      </c>
      <c r="F52" s="25">
        <v>85.66</v>
      </c>
      <c r="G52" s="25">
        <v>43.69</v>
      </c>
      <c r="H52" s="25">
        <v>11.74</v>
      </c>
      <c r="I52" s="25">
        <v>14.88</v>
      </c>
      <c r="J52" s="28">
        <v>1.58</v>
      </c>
      <c r="K52" s="28">
        <v>0.47</v>
      </c>
      <c r="P52" s="23">
        <v>100</v>
      </c>
      <c r="Q52" s="23">
        <v>200</v>
      </c>
      <c r="R52" s="23">
        <v>40</v>
      </c>
      <c r="S52" s="23">
        <v>150</v>
      </c>
      <c r="T52" s="23">
        <v>20</v>
      </c>
      <c r="U52" s="23">
        <v>100</v>
      </c>
      <c r="V52" s="23">
        <v>4</v>
      </c>
      <c r="W52" s="23">
        <v>6</v>
      </c>
      <c r="X52" s="23">
        <v>8</v>
      </c>
      <c r="Y52" s="23">
        <v>12</v>
      </c>
    </row>
    <row r="53" spans="1:25" s="26" customFormat="1">
      <c r="A53" s="20">
        <v>11</v>
      </c>
      <c r="B53" s="22">
        <v>46206</v>
      </c>
      <c r="C53" s="23">
        <v>52</v>
      </c>
      <c r="D53" s="23">
        <v>20</v>
      </c>
      <c r="E53" s="25">
        <v>175.86</v>
      </c>
      <c r="F53" s="25">
        <v>105.16</v>
      </c>
      <c r="G53" s="25">
        <v>42.62</v>
      </c>
      <c r="H53" s="25">
        <v>12.82</v>
      </c>
      <c r="I53" s="25">
        <v>15.47</v>
      </c>
      <c r="J53" s="28">
        <v>1.26</v>
      </c>
      <c r="K53" s="28">
        <v>0.28000000000000003</v>
      </c>
      <c r="P53" s="23">
        <v>100</v>
      </c>
      <c r="Q53" s="23">
        <v>200</v>
      </c>
      <c r="R53" s="23">
        <v>40</v>
      </c>
      <c r="S53" s="23">
        <v>150</v>
      </c>
      <c r="T53" s="23">
        <v>20</v>
      </c>
      <c r="U53" s="23">
        <v>100</v>
      </c>
      <c r="V53" s="23">
        <v>4</v>
      </c>
      <c r="W53" s="23">
        <v>6</v>
      </c>
      <c r="X53" s="23">
        <v>8</v>
      </c>
      <c r="Y53" s="23">
        <v>12</v>
      </c>
    </row>
    <row r="54" spans="1:25" s="26" customFormat="1">
      <c r="A54" s="20">
        <v>12</v>
      </c>
      <c r="B54" s="22">
        <v>46209</v>
      </c>
      <c r="C54" s="23">
        <v>53</v>
      </c>
      <c r="D54" s="23">
        <v>20</v>
      </c>
      <c r="E54" s="30">
        <v>131.86750000000001</v>
      </c>
      <c r="F54" s="30">
        <v>92.997500000000002</v>
      </c>
      <c r="G54" s="30">
        <v>43.532499999999999</v>
      </c>
      <c r="H54" s="30">
        <v>15.002500000000001</v>
      </c>
      <c r="I54" s="30">
        <v>14.56</v>
      </c>
      <c r="J54" s="23">
        <v>2.3220000000000001</v>
      </c>
      <c r="K54" s="23">
        <v>0.34200000000000003</v>
      </c>
      <c r="P54" s="23">
        <v>100</v>
      </c>
      <c r="Q54" s="23">
        <v>200</v>
      </c>
      <c r="R54" s="23">
        <v>40</v>
      </c>
      <c r="S54" s="23">
        <v>150</v>
      </c>
      <c r="T54" s="23">
        <v>20</v>
      </c>
      <c r="U54" s="23">
        <v>100</v>
      </c>
      <c r="V54" s="23">
        <v>4</v>
      </c>
      <c r="W54" s="23">
        <v>6</v>
      </c>
      <c r="X54" s="23">
        <v>8</v>
      </c>
      <c r="Y54" s="23">
        <v>12</v>
      </c>
    </row>
    <row r="55" spans="1:25" s="26" customFormat="1">
      <c r="A55" s="20">
        <v>12</v>
      </c>
      <c r="B55" s="22">
        <v>46210</v>
      </c>
      <c r="C55" s="23">
        <v>54</v>
      </c>
      <c r="D55" s="23">
        <v>20</v>
      </c>
      <c r="E55" s="30">
        <v>140.84</v>
      </c>
      <c r="F55" s="30">
        <v>89.674999999999997</v>
      </c>
      <c r="G55" s="30">
        <v>50.902500000000003</v>
      </c>
      <c r="H55" s="30">
        <v>13.99</v>
      </c>
      <c r="I55" s="30">
        <v>17.761428571428571</v>
      </c>
      <c r="J55" s="23">
        <v>2.214</v>
      </c>
      <c r="K55" s="28">
        <v>0.36</v>
      </c>
      <c r="P55" s="23">
        <v>100</v>
      </c>
      <c r="Q55" s="23">
        <v>200</v>
      </c>
      <c r="R55" s="23">
        <v>40</v>
      </c>
      <c r="S55" s="23">
        <v>150</v>
      </c>
      <c r="T55" s="23">
        <v>20</v>
      </c>
      <c r="U55" s="23">
        <v>100</v>
      </c>
      <c r="V55" s="23">
        <v>4</v>
      </c>
      <c r="W55" s="23">
        <v>6</v>
      </c>
      <c r="X55" s="23">
        <v>8</v>
      </c>
      <c r="Y55" s="23">
        <v>12</v>
      </c>
    </row>
    <row r="56" spans="1:25" s="26" customFormat="1">
      <c r="A56" s="20">
        <v>12</v>
      </c>
      <c r="B56" s="22">
        <v>46211</v>
      </c>
      <c r="C56" s="23">
        <v>55</v>
      </c>
      <c r="D56" s="23">
        <v>20</v>
      </c>
      <c r="E56" s="30">
        <v>129.59500000000003</v>
      </c>
      <c r="F56" s="30">
        <v>73.87</v>
      </c>
      <c r="G56" s="30">
        <v>41.286666666666669</v>
      </c>
      <c r="H56" s="30">
        <v>18.37</v>
      </c>
      <c r="I56" s="30">
        <v>13.766</v>
      </c>
      <c r="J56" s="23">
        <v>0.98399999999999999</v>
      </c>
      <c r="K56" s="23">
        <v>0.14399999999999999</v>
      </c>
      <c r="P56" s="23">
        <v>100</v>
      </c>
      <c r="Q56" s="23">
        <v>200</v>
      </c>
      <c r="R56" s="23">
        <v>40</v>
      </c>
      <c r="S56" s="23">
        <v>150</v>
      </c>
      <c r="T56" s="23">
        <v>20</v>
      </c>
      <c r="U56" s="23">
        <v>100</v>
      </c>
      <c r="V56" s="23">
        <v>4</v>
      </c>
      <c r="W56" s="23">
        <v>6</v>
      </c>
      <c r="X56" s="23">
        <v>8</v>
      </c>
      <c r="Y56" s="23">
        <v>12</v>
      </c>
    </row>
    <row r="57" spans="1:25" s="26" customFormat="1">
      <c r="A57" s="20" t="s">
        <v>37</v>
      </c>
      <c r="B57" s="22">
        <v>46245</v>
      </c>
      <c r="C57" s="23">
        <v>56</v>
      </c>
      <c r="D57" s="23">
        <v>20</v>
      </c>
      <c r="E57" s="30">
        <v>124.3125</v>
      </c>
      <c r="F57" s="30">
        <v>76.275000000000006</v>
      </c>
      <c r="G57" s="30">
        <v>44.082499999999996</v>
      </c>
      <c r="H57" s="30">
        <v>16.6875</v>
      </c>
      <c r="I57" s="30">
        <v>14.452000000000002</v>
      </c>
      <c r="J57" s="23">
        <v>0.57199999999999995</v>
      </c>
      <c r="K57" s="23">
        <v>8.2000000000000003E-2</v>
      </c>
      <c r="P57" s="23">
        <v>100</v>
      </c>
      <c r="Q57" s="23">
        <v>200</v>
      </c>
      <c r="R57" s="23">
        <v>40</v>
      </c>
      <c r="S57" s="23">
        <v>150</v>
      </c>
      <c r="T57" s="23">
        <v>20</v>
      </c>
      <c r="U57" s="23">
        <v>100</v>
      </c>
      <c r="V57" s="23">
        <v>4</v>
      </c>
      <c r="W57" s="23">
        <v>6</v>
      </c>
      <c r="X57" s="23">
        <v>8</v>
      </c>
      <c r="Y57" s="23">
        <v>12</v>
      </c>
    </row>
    <row r="58" spans="1:25" s="26" customFormat="1">
      <c r="A58" s="20" t="s">
        <v>37</v>
      </c>
      <c r="B58" s="22">
        <v>46246</v>
      </c>
      <c r="C58" s="23">
        <v>57</v>
      </c>
      <c r="D58" s="23">
        <v>20</v>
      </c>
      <c r="E58" s="30">
        <v>146.29500000000002</v>
      </c>
      <c r="F58" s="30">
        <v>78.657499999999999</v>
      </c>
      <c r="G58" s="30">
        <v>47.427500000000002</v>
      </c>
      <c r="H58" s="30">
        <v>17.66</v>
      </c>
      <c r="I58" s="30">
        <v>14.29857142857143</v>
      </c>
      <c r="J58" s="28">
        <v>0.84</v>
      </c>
      <c r="K58" s="28">
        <v>0.17</v>
      </c>
      <c r="P58" s="23">
        <v>100</v>
      </c>
      <c r="Q58" s="23">
        <v>200</v>
      </c>
      <c r="R58" s="23">
        <v>40</v>
      </c>
      <c r="S58" s="23">
        <v>150</v>
      </c>
      <c r="T58" s="23">
        <v>20</v>
      </c>
      <c r="U58" s="23">
        <v>100</v>
      </c>
      <c r="V58" s="23">
        <v>4</v>
      </c>
      <c r="W58" s="23">
        <v>6</v>
      </c>
      <c r="X58" s="23">
        <v>8</v>
      </c>
      <c r="Y58" s="23">
        <v>12</v>
      </c>
    </row>
    <row r="59" spans="1:25" s="26" customFormat="1">
      <c r="A59" s="20" t="s">
        <v>37</v>
      </c>
      <c r="B59" s="22">
        <v>46247</v>
      </c>
      <c r="C59" s="23">
        <v>58</v>
      </c>
      <c r="D59" s="23">
        <v>20</v>
      </c>
      <c r="E59" s="30">
        <v>157.53</v>
      </c>
      <c r="F59" s="30">
        <v>79.800000000000011</v>
      </c>
      <c r="G59" s="30">
        <v>46.653333333333329</v>
      </c>
      <c r="H59" s="30">
        <v>15.703333333333333</v>
      </c>
      <c r="I59" s="30">
        <v>16.350000000000001</v>
      </c>
      <c r="J59" s="28">
        <v>0.54</v>
      </c>
      <c r="K59" s="28">
        <v>0.17</v>
      </c>
      <c r="P59" s="23">
        <v>100</v>
      </c>
      <c r="Q59" s="23">
        <v>200</v>
      </c>
      <c r="R59" s="23">
        <v>40</v>
      </c>
      <c r="S59" s="23">
        <v>150</v>
      </c>
      <c r="T59" s="23">
        <v>20</v>
      </c>
      <c r="U59" s="23">
        <v>100</v>
      </c>
      <c r="V59" s="23">
        <v>4</v>
      </c>
      <c r="W59" s="23">
        <v>6</v>
      </c>
      <c r="X59" s="23">
        <v>8</v>
      </c>
      <c r="Y59" s="23">
        <v>12</v>
      </c>
    </row>
    <row r="60" spans="1:25" s="26" customFormat="1">
      <c r="A60" s="20" t="s">
        <v>37</v>
      </c>
      <c r="B60" s="22">
        <v>46252</v>
      </c>
      <c r="C60" s="23">
        <v>59</v>
      </c>
      <c r="D60" s="23">
        <v>20</v>
      </c>
      <c r="E60" s="30">
        <v>155.745</v>
      </c>
      <c r="F60" s="30">
        <v>65.084999999999994</v>
      </c>
      <c r="G60" s="30">
        <v>46.4925</v>
      </c>
      <c r="H60" s="30">
        <v>14.62</v>
      </c>
      <c r="I60" s="30">
        <v>12.69</v>
      </c>
      <c r="J60" s="28">
        <v>0.75600000000000001</v>
      </c>
      <c r="K60" s="28">
        <v>0.1</v>
      </c>
      <c r="P60" s="23">
        <v>100</v>
      </c>
      <c r="Q60" s="23">
        <v>200</v>
      </c>
      <c r="R60" s="23">
        <v>40</v>
      </c>
      <c r="S60" s="23">
        <v>150</v>
      </c>
      <c r="T60" s="23">
        <v>20</v>
      </c>
      <c r="U60" s="23">
        <v>100</v>
      </c>
      <c r="V60" s="23">
        <v>4</v>
      </c>
      <c r="W60" s="23">
        <v>6</v>
      </c>
      <c r="X60" s="23">
        <v>8</v>
      </c>
      <c r="Y60" s="23">
        <v>12</v>
      </c>
    </row>
    <row r="61" spans="1:25" s="26" customFormat="1">
      <c r="A61" s="20" t="s">
        <v>37</v>
      </c>
      <c r="B61" s="22">
        <v>46253</v>
      </c>
      <c r="C61" s="23">
        <v>60</v>
      </c>
      <c r="D61" s="23">
        <v>20</v>
      </c>
      <c r="E61" s="30">
        <v>158.38499999999999</v>
      </c>
      <c r="F61" s="30">
        <v>70.84</v>
      </c>
      <c r="G61" s="30">
        <v>41.165000000000006</v>
      </c>
      <c r="H61" s="30">
        <v>16.78</v>
      </c>
      <c r="I61" s="30">
        <v>14.188750000000001</v>
      </c>
      <c r="J61" s="28">
        <v>1.25</v>
      </c>
      <c r="K61" s="28">
        <v>0.18</v>
      </c>
      <c r="P61" s="23">
        <v>100</v>
      </c>
      <c r="Q61" s="23">
        <v>200</v>
      </c>
      <c r="R61" s="23">
        <v>40</v>
      </c>
      <c r="S61" s="23">
        <v>150</v>
      </c>
      <c r="T61" s="23">
        <v>20</v>
      </c>
      <c r="U61" s="23">
        <v>100</v>
      </c>
      <c r="V61" s="23">
        <v>4</v>
      </c>
      <c r="W61" s="23">
        <v>6</v>
      </c>
      <c r="X61" s="23">
        <v>8</v>
      </c>
      <c r="Y61" s="23">
        <v>12</v>
      </c>
    </row>
    <row r="62" spans="1:25" s="26" customFormat="1">
      <c r="A62" s="20" t="s">
        <v>37</v>
      </c>
      <c r="B62" s="22">
        <v>46254</v>
      </c>
      <c r="C62" s="23">
        <v>61</v>
      </c>
      <c r="D62" s="23">
        <v>20</v>
      </c>
      <c r="E62" s="30">
        <v>152.28</v>
      </c>
      <c r="F62" s="30">
        <v>74.033333333333346</v>
      </c>
      <c r="G62" s="30">
        <v>52.836666666666666</v>
      </c>
      <c r="H62" s="30">
        <v>17.653333333333332</v>
      </c>
      <c r="I62" s="30">
        <v>15.454999999999998</v>
      </c>
      <c r="J62" s="28">
        <v>0.214</v>
      </c>
      <c r="K62" s="28">
        <v>3.2000000000000001E-2</v>
      </c>
      <c r="P62" s="23">
        <v>100</v>
      </c>
      <c r="Q62" s="23">
        <v>200</v>
      </c>
      <c r="R62" s="23">
        <v>40</v>
      </c>
      <c r="S62" s="23">
        <v>150</v>
      </c>
      <c r="T62" s="23">
        <v>20</v>
      </c>
      <c r="U62" s="23">
        <v>100</v>
      </c>
      <c r="V62" s="23">
        <v>4</v>
      </c>
      <c r="W62" s="23">
        <v>6</v>
      </c>
      <c r="X62" s="23">
        <v>8</v>
      </c>
      <c r="Y62" s="23">
        <v>12</v>
      </c>
    </row>
    <row r="63" spans="1:25" s="26" customFormat="1">
      <c r="A63" s="20" t="s">
        <v>37</v>
      </c>
      <c r="B63" s="22">
        <v>46256</v>
      </c>
      <c r="C63" s="23">
        <v>62</v>
      </c>
      <c r="D63" s="23">
        <v>20</v>
      </c>
      <c r="E63" s="30">
        <v>123.80000000000001</v>
      </c>
      <c r="F63" s="30">
        <v>79.004999999999995</v>
      </c>
      <c r="G63" s="30">
        <v>34.549999999999997</v>
      </c>
      <c r="H63" s="30">
        <v>16.07</v>
      </c>
      <c r="I63" s="30">
        <v>14.9025</v>
      </c>
      <c r="J63" s="28">
        <v>0.66200000000000003</v>
      </c>
      <c r="K63" s="28">
        <v>0.14199999999999999</v>
      </c>
      <c r="P63" s="23">
        <v>100</v>
      </c>
      <c r="Q63" s="23">
        <v>200</v>
      </c>
      <c r="R63" s="23">
        <v>40</v>
      </c>
      <c r="S63" s="23">
        <v>150</v>
      </c>
      <c r="T63" s="23">
        <v>20</v>
      </c>
      <c r="U63" s="23">
        <v>100</v>
      </c>
      <c r="V63" s="23">
        <v>4</v>
      </c>
      <c r="W63" s="23">
        <v>6</v>
      </c>
      <c r="X63" s="23">
        <v>8</v>
      </c>
      <c r="Y63" s="23">
        <v>12</v>
      </c>
    </row>
    <row r="64" spans="1:25" s="26" customFormat="1">
      <c r="A64" s="20" t="s">
        <v>37</v>
      </c>
      <c r="B64" s="22">
        <v>46258</v>
      </c>
      <c r="C64" s="23">
        <v>63</v>
      </c>
      <c r="D64" s="23">
        <v>20</v>
      </c>
      <c r="E64" s="30">
        <v>133.73750000000001</v>
      </c>
      <c r="F64" s="30">
        <v>72.577500000000001</v>
      </c>
      <c r="G64" s="30">
        <v>47.877499999999998</v>
      </c>
      <c r="H64" s="30">
        <v>20.9025</v>
      </c>
      <c r="I64" s="30">
        <v>15.281666666666668</v>
      </c>
      <c r="J64" s="28">
        <v>0.96599999999999997</v>
      </c>
      <c r="K64" s="28">
        <v>0.126</v>
      </c>
      <c r="P64" s="23">
        <v>100</v>
      </c>
      <c r="Q64" s="23">
        <v>200</v>
      </c>
      <c r="R64" s="23">
        <v>40</v>
      </c>
      <c r="S64" s="23">
        <v>150</v>
      </c>
      <c r="T64" s="23">
        <v>20</v>
      </c>
      <c r="U64" s="23">
        <v>100</v>
      </c>
      <c r="V64" s="23">
        <v>4</v>
      </c>
      <c r="W64" s="23">
        <v>6</v>
      </c>
      <c r="X64" s="23">
        <v>8</v>
      </c>
      <c r="Y64" s="23">
        <v>12</v>
      </c>
    </row>
    <row r="65" spans="1:25" s="26" customFormat="1">
      <c r="A65" s="20" t="s">
        <v>37</v>
      </c>
      <c r="B65" s="22">
        <v>46260</v>
      </c>
      <c r="C65" s="23">
        <v>64</v>
      </c>
      <c r="D65" s="23">
        <v>20</v>
      </c>
      <c r="E65" s="30">
        <v>141.4425</v>
      </c>
      <c r="F65" s="30">
        <v>71.364999999999995</v>
      </c>
      <c r="G65" s="30">
        <v>47.232500000000002</v>
      </c>
      <c r="H65" s="30">
        <v>20.572500000000002</v>
      </c>
      <c r="I65" s="30">
        <v>16.595000000000002</v>
      </c>
      <c r="J65" s="28">
        <v>1.702</v>
      </c>
      <c r="K65" s="28">
        <v>0.18</v>
      </c>
      <c r="P65" s="23">
        <v>100</v>
      </c>
      <c r="Q65" s="23">
        <v>200</v>
      </c>
      <c r="R65" s="23">
        <v>40</v>
      </c>
      <c r="S65" s="23">
        <v>150</v>
      </c>
      <c r="T65" s="23">
        <v>20</v>
      </c>
      <c r="U65" s="23">
        <v>100</v>
      </c>
      <c r="V65" s="23">
        <v>4</v>
      </c>
      <c r="W65" s="23">
        <v>6</v>
      </c>
      <c r="X65" s="23">
        <v>8</v>
      </c>
      <c r="Y65" s="23">
        <v>12</v>
      </c>
    </row>
    <row r="66" spans="1:25" s="26" customFormat="1">
      <c r="A66" s="20" t="s">
        <v>37</v>
      </c>
      <c r="B66" s="22">
        <v>46261</v>
      </c>
      <c r="C66" s="23">
        <v>65</v>
      </c>
      <c r="D66" s="23">
        <v>20</v>
      </c>
      <c r="E66" s="30">
        <v>151.505</v>
      </c>
      <c r="F66" s="30">
        <v>85.2</v>
      </c>
      <c r="G66" s="30">
        <v>49.802500000000002</v>
      </c>
      <c r="H66" s="30">
        <v>20.982500000000002</v>
      </c>
      <c r="I66" s="30">
        <v>17.216666666666665</v>
      </c>
      <c r="J66" s="28">
        <v>2.2879999999999998</v>
      </c>
      <c r="K66" s="28">
        <v>0.25</v>
      </c>
      <c r="P66" s="23">
        <v>100</v>
      </c>
      <c r="Q66" s="23">
        <v>200</v>
      </c>
      <c r="R66" s="23">
        <v>40</v>
      </c>
      <c r="S66" s="23">
        <v>150</v>
      </c>
      <c r="T66" s="23">
        <v>20</v>
      </c>
      <c r="U66" s="23">
        <v>100</v>
      </c>
      <c r="V66" s="23">
        <v>4</v>
      </c>
      <c r="W66" s="23">
        <v>6</v>
      </c>
      <c r="X66" s="23">
        <v>8</v>
      </c>
      <c r="Y66" s="23">
        <v>12</v>
      </c>
    </row>
    <row r="67" spans="1:25" s="26" customFormat="1">
      <c r="A67" s="20" t="s">
        <v>37</v>
      </c>
      <c r="B67" s="22">
        <v>46262</v>
      </c>
      <c r="C67" s="23">
        <v>66</v>
      </c>
      <c r="D67" s="23">
        <v>20</v>
      </c>
      <c r="E67" s="30">
        <v>133.08333333333334</v>
      </c>
      <c r="F67" s="30">
        <v>87.856666666666669</v>
      </c>
      <c r="G67" s="30">
        <v>47.133333333333333</v>
      </c>
      <c r="H67" s="30">
        <v>18.83666666666667</v>
      </c>
      <c r="I67" s="30">
        <v>15.479999999999999</v>
      </c>
      <c r="J67" s="28">
        <v>1.3839999999999999</v>
      </c>
      <c r="K67" s="28">
        <v>0.1</v>
      </c>
      <c r="P67" s="23">
        <v>100</v>
      </c>
      <c r="Q67" s="23">
        <v>200</v>
      </c>
      <c r="R67" s="23">
        <v>40</v>
      </c>
      <c r="S67" s="23">
        <v>150</v>
      </c>
      <c r="T67" s="23">
        <v>20</v>
      </c>
      <c r="U67" s="23">
        <v>100</v>
      </c>
      <c r="V67" s="23">
        <v>4</v>
      </c>
      <c r="W67" s="23">
        <v>6</v>
      </c>
      <c r="X67" s="23">
        <v>8</v>
      </c>
      <c r="Y67" s="23">
        <v>12</v>
      </c>
    </row>
    <row r="68" spans="1:25" s="26" customFormat="1">
      <c r="A68" s="20" t="s">
        <v>37</v>
      </c>
      <c r="B68" s="22">
        <v>46265</v>
      </c>
      <c r="C68" s="23">
        <v>67</v>
      </c>
      <c r="D68" s="23">
        <v>20</v>
      </c>
      <c r="E68" s="30">
        <v>144.39499999999998</v>
      </c>
      <c r="F68" s="30">
        <v>86.91</v>
      </c>
      <c r="G68" s="30">
        <v>41.620000000000005</v>
      </c>
      <c r="H68" s="30">
        <v>14.715</v>
      </c>
      <c r="I68" s="30">
        <v>15.699999999999998</v>
      </c>
      <c r="J68" s="28">
        <v>0.78</v>
      </c>
      <c r="K68" s="28">
        <v>7.1999999999999995E-2</v>
      </c>
      <c r="P68" s="23">
        <v>100</v>
      </c>
      <c r="Q68" s="23">
        <v>200</v>
      </c>
      <c r="R68" s="23">
        <v>40</v>
      </c>
      <c r="S68" s="23">
        <v>150</v>
      </c>
      <c r="T68" s="23">
        <v>20</v>
      </c>
      <c r="U68" s="23">
        <v>100</v>
      </c>
      <c r="V68" s="23">
        <v>4</v>
      </c>
      <c r="W68" s="23">
        <v>6</v>
      </c>
      <c r="X68" s="23">
        <v>8</v>
      </c>
      <c r="Y68" s="23">
        <v>12</v>
      </c>
    </row>
    <row r="69" spans="1:25" s="26" customFormat="1">
      <c r="A69" s="20" t="s">
        <v>37</v>
      </c>
      <c r="B69" s="22">
        <v>46266</v>
      </c>
      <c r="C69" s="23">
        <v>68</v>
      </c>
      <c r="D69" s="23">
        <v>20</v>
      </c>
      <c r="E69" s="30">
        <v>145.87</v>
      </c>
      <c r="F69" s="30">
        <v>78.720000000000013</v>
      </c>
      <c r="G69" s="30">
        <v>45.91</v>
      </c>
      <c r="H69" s="30">
        <v>20.063333333333336</v>
      </c>
      <c r="I69" s="30">
        <v>14.218</v>
      </c>
      <c r="J69" s="28">
        <v>1.0960000000000001</v>
      </c>
      <c r="K69" s="28">
        <v>7.1999999999999995E-2</v>
      </c>
      <c r="P69" s="23">
        <v>100</v>
      </c>
      <c r="Q69" s="23">
        <v>200</v>
      </c>
      <c r="R69" s="23">
        <v>40</v>
      </c>
      <c r="S69" s="23">
        <v>150</v>
      </c>
      <c r="T69" s="23">
        <v>20</v>
      </c>
      <c r="U69" s="23">
        <v>100</v>
      </c>
      <c r="V69" s="23">
        <v>4</v>
      </c>
      <c r="W69" s="23">
        <v>6</v>
      </c>
      <c r="X69" s="23">
        <v>8</v>
      </c>
      <c r="Y69" s="23">
        <v>12</v>
      </c>
    </row>
    <row r="70" spans="1:25" s="26" customFormat="1">
      <c r="A70" s="31">
        <v>15</v>
      </c>
      <c r="B70" s="22">
        <v>46277</v>
      </c>
      <c r="C70" s="23">
        <v>70</v>
      </c>
      <c r="D70" s="23">
        <v>10</v>
      </c>
      <c r="E70" s="30">
        <v>133.01</v>
      </c>
      <c r="F70" s="30">
        <v>101.56</v>
      </c>
      <c r="G70" s="30">
        <v>50.355000000000004</v>
      </c>
      <c r="H70" s="30">
        <v>29.62</v>
      </c>
      <c r="I70" s="30">
        <v>17.596666666666668</v>
      </c>
      <c r="J70" s="28">
        <v>0.63800000000000001</v>
      </c>
      <c r="K70" s="28">
        <v>2.1999999999999999E-2</v>
      </c>
      <c r="P70" s="23">
        <v>100</v>
      </c>
      <c r="Q70" s="23">
        <v>200</v>
      </c>
      <c r="R70" s="23">
        <v>40</v>
      </c>
      <c r="S70" s="23">
        <v>150</v>
      </c>
      <c r="T70" s="23">
        <v>20</v>
      </c>
      <c r="U70" s="23">
        <v>100</v>
      </c>
      <c r="V70" s="23">
        <v>4</v>
      </c>
      <c r="W70" s="23">
        <v>6</v>
      </c>
      <c r="X70" s="23">
        <v>8</v>
      </c>
      <c r="Y70" s="23">
        <v>12</v>
      </c>
    </row>
    <row r="71" spans="1:25" s="26" customFormat="1">
      <c r="A71" s="31">
        <v>15</v>
      </c>
      <c r="B71" s="22">
        <v>46277</v>
      </c>
      <c r="C71" s="23">
        <v>69</v>
      </c>
      <c r="D71" s="23">
        <v>20</v>
      </c>
      <c r="E71" s="30"/>
      <c r="F71" s="30">
        <v>101.54</v>
      </c>
      <c r="G71" s="30">
        <v>43.86</v>
      </c>
      <c r="H71" s="30">
        <v>24.76</v>
      </c>
      <c r="I71" s="30">
        <v>17.3</v>
      </c>
      <c r="J71" s="28">
        <v>0.63800000000000001</v>
      </c>
      <c r="K71" s="28">
        <v>2.1999999999999999E-2</v>
      </c>
      <c r="P71" s="23">
        <v>100</v>
      </c>
      <c r="Q71" s="23">
        <v>200</v>
      </c>
      <c r="R71" s="23">
        <v>40</v>
      </c>
      <c r="S71" s="23">
        <v>150</v>
      </c>
      <c r="T71" s="23">
        <v>20</v>
      </c>
      <c r="U71" s="23">
        <v>100</v>
      </c>
      <c r="V71" s="23">
        <v>4</v>
      </c>
      <c r="W71" s="23">
        <v>6</v>
      </c>
      <c r="X71" s="23">
        <v>8</v>
      </c>
      <c r="Y71" s="23">
        <v>12</v>
      </c>
    </row>
    <row r="72" spans="1:25" s="26" customFormat="1">
      <c r="A72" s="31">
        <v>15</v>
      </c>
      <c r="B72" s="22">
        <v>46284</v>
      </c>
      <c r="C72" s="23">
        <v>71</v>
      </c>
      <c r="D72" s="23">
        <v>20</v>
      </c>
      <c r="E72" s="30">
        <v>149.66</v>
      </c>
      <c r="F72" s="30">
        <v>66.375</v>
      </c>
      <c r="G72" s="30">
        <v>39.314999999999998</v>
      </c>
      <c r="H72" s="30">
        <v>15.09</v>
      </c>
      <c r="I72" s="30">
        <v>16.326666666666668</v>
      </c>
      <c r="J72" s="28">
        <v>1.764</v>
      </c>
      <c r="K72" s="28">
        <v>9.6000000000000002E-2</v>
      </c>
      <c r="P72" s="23">
        <v>100</v>
      </c>
      <c r="Q72" s="23">
        <v>200</v>
      </c>
      <c r="R72" s="23">
        <v>40</v>
      </c>
      <c r="S72" s="23">
        <v>150</v>
      </c>
      <c r="T72" s="23">
        <v>20</v>
      </c>
      <c r="U72" s="23">
        <v>100</v>
      </c>
      <c r="V72" s="23">
        <v>4</v>
      </c>
      <c r="W72" s="23">
        <v>6</v>
      </c>
      <c r="X72" s="23">
        <v>8</v>
      </c>
      <c r="Y72" s="23">
        <v>12</v>
      </c>
    </row>
    <row r="73" spans="1:25" s="26" customFormat="1">
      <c r="A73" s="31">
        <v>15</v>
      </c>
      <c r="B73" s="22">
        <v>46294</v>
      </c>
      <c r="C73" s="23">
        <v>72</v>
      </c>
      <c r="D73" s="23">
        <v>20</v>
      </c>
      <c r="E73" s="30">
        <v>139.90750000000003</v>
      </c>
      <c r="F73" s="30">
        <v>83.477500000000006</v>
      </c>
      <c r="G73" s="30">
        <v>44.907499999999999</v>
      </c>
      <c r="H73" s="30">
        <v>19.602499999999999</v>
      </c>
      <c r="I73" s="30">
        <v>17.681666666666668</v>
      </c>
      <c r="J73" s="28">
        <v>1.5</v>
      </c>
      <c r="K73" s="28">
        <v>0.13900000000000001</v>
      </c>
      <c r="P73" s="23">
        <v>100</v>
      </c>
      <c r="Q73" s="23">
        <v>200</v>
      </c>
      <c r="R73" s="23">
        <v>40</v>
      </c>
      <c r="S73" s="23">
        <v>150</v>
      </c>
      <c r="T73" s="23">
        <v>20</v>
      </c>
      <c r="U73" s="23">
        <v>100</v>
      </c>
      <c r="V73" s="23">
        <v>4</v>
      </c>
      <c r="W73" s="23">
        <v>6</v>
      </c>
      <c r="X73" s="23">
        <v>8</v>
      </c>
      <c r="Y73" s="23">
        <v>12</v>
      </c>
    </row>
    <row r="74" spans="1:25" s="26" customFormat="1">
      <c r="A74" s="31">
        <v>15</v>
      </c>
      <c r="B74" s="22">
        <v>46295</v>
      </c>
      <c r="C74" s="23">
        <v>73</v>
      </c>
      <c r="D74" s="23">
        <v>20</v>
      </c>
      <c r="E74" s="30">
        <v>147.685</v>
      </c>
      <c r="F74" s="30">
        <v>80.739999999999995</v>
      </c>
      <c r="G74" s="30">
        <v>40.855000000000004</v>
      </c>
      <c r="H74" s="30">
        <v>16.357500000000002</v>
      </c>
      <c r="I74" s="30">
        <v>14.248571428571427</v>
      </c>
      <c r="J74" s="28">
        <v>1.776</v>
      </c>
      <c r="K74" s="28">
        <v>0.214</v>
      </c>
      <c r="P74" s="23">
        <v>100</v>
      </c>
      <c r="Q74" s="23">
        <v>200</v>
      </c>
      <c r="R74" s="23">
        <v>40</v>
      </c>
      <c r="S74" s="23">
        <v>150</v>
      </c>
      <c r="T74" s="23">
        <v>20</v>
      </c>
      <c r="U74" s="23">
        <v>100</v>
      </c>
      <c r="V74" s="23">
        <v>4</v>
      </c>
      <c r="W74" s="23">
        <v>6</v>
      </c>
      <c r="X74" s="23">
        <v>8</v>
      </c>
      <c r="Y74" s="23">
        <v>12</v>
      </c>
    </row>
    <row r="75" spans="1:25" s="26" customFormat="1">
      <c r="A75" s="31">
        <v>15</v>
      </c>
      <c r="B75" s="22">
        <v>46296</v>
      </c>
      <c r="C75" s="23">
        <v>74</v>
      </c>
      <c r="D75" s="23">
        <v>20</v>
      </c>
      <c r="E75" s="30">
        <v>144.52500000000001</v>
      </c>
      <c r="F75" s="30">
        <v>87.210000000000008</v>
      </c>
      <c r="G75" s="30">
        <v>41.847500000000004</v>
      </c>
      <c r="H75" s="30">
        <v>15.969999999999999</v>
      </c>
      <c r="I75" s="30">
        <v>13.398333333333333</v>
      </c>
      <c r="J75" s="28">
        <v>2.484</v>
      </c>
      <c r="K75" s="28">
        <v>0.2</v>
      </c>
      <c r="P75" s="23">
        <v>100</v>
      </c>
      <c r="Q75" s="23">
        <v>200</v>
      </c>
      <c r="R75" s="23">
        <v>40</v>
      </c>
      <c r="S75" s="23">
        <v>150</v>
      </c>
      <c r="T75" s="23">
        <v>20</v>
      </c>
      <c r="U75" s="23">
        <v>100</v>
      </c>
      <c r="V75" s="23">
        <v>4</v>
      </c>
      <c r="W75" s="23">
        <v>6</v>
      </c>
      <c r="X75" s="23">
        <v>8</v>
      </c>
      <c r="Y75" s="23">
        <v>12</v>
      </c>
    </row>
    <row r="76" spans="1:25" s="26" customFormat="1">
      <c r="A76" s="31">
        <v>15</v>
      </c>
      <c r="B76" s="22">
        <v>46297</v>
      </c>
      <c r="C76" s="23">
        <v>75</v>
      </c>
      <c r="D76" s="23">
        <v>20</v>
      </c>
      <c r="E76" s="30">
        <v>148.08666666666667</v>
      </c>
      <c r="F76" s="30">
        <v>101.24333333333334</v>
      </c>
      <c r="G76" s="30">
        <v>40.369999999999997</v>
      </c>
      <c r="H76" s="30">
        <v>16.653333333333332</v>
      </c>
      <c r="I76" s="30">
        <v>12.932857142857143</v>
      </c>
      <c r="J76" s="28">
        <v>2.4910000000000001</v>
      </c>
      <c r="K76" s="28">
        <v>0.22600000000000001</v>
      </c>
      <c r="P76" s="23">
        <v>100</v>
      </c>
      <c r="Q76" s="23">
        <v>200</v>
      </c>
      <c r="R76" s="23">
        <v>40</v>
      </c>
      <c r="S76" s="23">
        <v>150</v>
      </c>
      <c r="T76" s="23">
        <v>20</v>
      </c>
      <c r="U76" s="23">
        <v>100</v>
      </c>
      <c r="V76" s="23">
        <v>4</v>
      </c>
      <c r="W76" s="23">
        <v>6</v>
      </c>
      <c r="X76" s="23">
        <v>8</v>
      </c>
      <c r="Y76" s="23">
        <v>12</v>
      </c>
    </row>
    <row r="77" spans="1:25" s="26" customFormat="1">
      <c r="A77" s="31">
        <v>15</v>
      </c>
      <c r="B77" s="22">
        <v>46298</v>
      </c>
      <c r="C77" s="23">
        <v>76</v>
      </c>
      <c r="D77" s="23">
        <v>20</v>
      </c>
      <c r="E77" s="30">
        <v>154.88499999999999</v>
      </c>
      <c r="F77" s="30">
        <v>88.710000000000008</v>
      </c>
      <c r="G77" s="30">
        <v>48.024999999999999</v>
      </c>
      <c r="H77" s="30">
        <v>16.695</v>
      </c>
      <c r="I77" s="30">
        <v>14.4925</v>
      </c>
      <c r="J77" s="28">
        <v>1.288</v>
      </c>
      <c r="K77" s="28">
        <v>0.12</v>
      </c>
      <c r="P77" s="23">
        <v>100</v>
      </c>
      <c r="Q77" s="23">
        <v>200</v>
      </c>
      <c r="R77" s="23">
        <v>40</v>
      </c>
      <c r="S77" s="23">
        <v>150</v>
      </c>
      <c r="T77" s="23">
        <v>20</v>
      </c>
      <c r="U77" s="23">
        <v>100</v>
      </c>
      <c r="V77" s="23">
        <v>4</v>
      </c>
      <c r="W77" s="23">
        <v>6</v>
      </c>
      <c r="X77" s="23">
        <v>8</v>
      </c>
      <c r="Y77" s="23">
        <v>12</v>
      </c>
    </row>
    <row r="78" spans="1:25" s="26" customFormat="1">
      <c r="A78" s="31">
        <v>15</v>
      </c>
      <c r="B78" s="22">
        <v>46300</v>
      </c>
      <c r="C78" s="23">
        <v>77</v>
      </c>
      <c r="D78" s="23">
        <v>20</v>
      </c>
      <c r="E78" s="30">
        <v>150.465</v>
      </c>
      <c r="F78" s="30">
        <v>85.114999999999995</v>
      </c>
      <c r="G78" s="30">
        <v>47.185000000000002</v>
      </c>
      <c r="H78" s="30">
        <v>21.064999999999998</v>
      </c>
      <c r="I78" s="30">
        <v>13.261666666666668</v>
      </c>
      <c r="J78" s="28">
        <v>2.4900000000000002</v>
      </c>
      <c r="K78" s="28">
        <v>0.28799999999999998</v>
      </c>
      <c r="P78" s="23">
        <v>100</v>
      </c>
      <c r="Q78" s="23">
        <v>200</v>
      </c>
      <c r="R78" s="23">
        <v>40</v>
      </c>
      <c r="S78" s="23">
        <v>150</v>
      </c>
      <c r="T78" s="23">
        <v>20</v>
      </c>
      <c r="U78" s="23">
        <v>100</v>
      </c>
      <c r="V78" s="23">
        <v>4</v>
      </c>
      <c r="W78" s="23">
        <v>6</v>
      </c>
      <c r="X78" s="23">
        <v>8</v>
      </c>
      <c r="Y78" s="23">
        <v>12</v>
      </c>
    </row>
    <row r="79" spans="1:25" s="26" customFormat="1">
      <c r="A79" s="31">
        <v>15</v>
      </c>
      <c r="B79" s="22">
        <v>46301</v>
      </c>
      <c r="C79" s="23">
        <v>78</v>
      </c>
      <c r="D79" s="23">
        <v>20</v>
      </c>
      <c r="E79" s="30">
        <v>145.3175</v>
      </c>
      <c r="F79" s="30">
        <v>73.017499999999998</v>
      </c>
      <c r="G79" s="30">
        <v>56.512500000000003</v>
      </c>
      <c r="H79" s="30">
        <v>22.282499999999999</v>
      </c>
      <c r="I79" s="30">
        <v>13.910000000000002</v>
      </c>
      <c r="J79" s="28">
        <v>2.57</v>
      </c>
      <c r="K79" s="28">
        <v>0.29899999999999999</v>
      </c>
      <c r="P79" s="23">
        <v>100</v>
      </c>
      <c r="Q79" s="23">
        <v>200</v>
      </c>
      <c r="R79" s="23">
        <v>40</v>
      </c>
      <c r="S79" s="23">
        <v>150</v>
      </c>
      <c r="T79" s="23">
        <v>20</v>
      </c>
      <c r="U79" s="23">
        <v>100</v>
      </c>
      <c r="V79" s="23">
        <v>4</v>
      </c>
      <c r="W79" s="23">
        <v>6</v>
      </c>
      <c r="X79" s="23">
        <v>8</v>
      </c>
      <c r="Y79" s="23">
        <v>12</v>
      </c>
    </row>
    <row r="80" spans="1:25" s="26" customFormat="1">
      <c r="A80" s="31">
        <v>15</v>
      </c>
      <c r="B80" s="22">
        <v>46302</v>
      </c>
      <c r="C80" s="23">
        <v>79</v>
      </c>
      <c r="D80" s="23">
        <v>20</v>
      </c>
      <c r="E80" s="30">
        <v>157.1</v>
      </c>
      <c r="F80" s="30">
        <v>74.53</v>
      </c>
      <c r="G80" s="30">
        <v>49.924999999999997</v>
      </c>
      <c r="H80" s="30">
        <v>24.68</v>
      </c>
      <c r="I80" s="30">
        <v>12.8775</v>
      </c>
      <c r="J80" s="28">
        <v>0.83599999999999997</v>
      </c>
      <c r="K80" s="28">
        <v>0.158</v>
      </c>
      <c r="P80" s="23">
        <v>100</v>
      </c>
      <c r="Q80" s="23">
        <v>200</v>
      </c>
      <c r="R80" s="23">
        <v>40</v>
      </c>
      <c r="S80" s="23">
        <v>150</v>
      </c>
      <c r="T80" s="23">
        <v>20</v>
      </c>
      <c r="U80" s="23">
        <v>100</v>
      </c>
      <c r="V80" s="23">
        <v>4</v>
      </c>
      <c r="W80" s="23">
        <v>6</v>
      </c>
      <c r="X80" s="23">
        <v>8</v>
      </c>
      <c r="Y80" s="23">
        <v>12</v>
      </c>
    </row>
    <row r="81" spans="1:25" s="26" customFormat="1">
      <c r="A81" s="31"/>
      <c r="B81" s="22"/>
      <c r="C81" s="23"/>
      <c r="D81" s="23"/>
      <c r="E81" s="30"/>
      <c r="F81" s="30"/>
      <c r="G81" s="30"/>
      <c r="H81" s="30"/>
      <c r="I81" s="30"/>
      <c r="J81" s="28"/>
      <c r="K81" s="28"/>
      <c r="P81" s="23">
        <v>100</v>
      </c>
      <c r="Q81" s="23">
        <v>200</v>
      </c>
      <c r="R81" s="23">
        <v>40</v>
      </c>
      <c r="S81" s="23">
        <v>150</v>
      </c>
      <c r="T81" s="23">
        <v>20</v>
      </c>
      <c r="U81" s="23">
        <v>100</v>
      </c>
      <c r="V81" s="23">
        <v>4</v>
      </c>
      <c r="W81" s="23">
        <v>6</v>
      </c>
      <c r="X81" s="23">
        <v>8</v>
      </c>
      <c r="Y81" s="23">
        <v>12</v>
      </c>
    </row>
    <row r="82" spans="1:25" s="26" customFormat="1">
      <c r="A82" s="31"/>
      <c r="B82" s="22"/>
      <c r="C82" s="23"/>
      <c r="D82" s="23"/>
      <c r="E82" s="30"/>
      <c r="F82" s="30"/>
      <c r="G82" s="30"/>
      <c r="H82" s="30"/>
      <c r="I82" s="30"/>
      <c r="J82" s="28"/>
      <c r="K82" s="28"/>
      <c r="P82" s="23">
        <v>100</v>
      </c>
      <c r="Q82" s="23">
        <v>200</v>
      </c>
      <c r="R82" s="23">
        <v>40</v>
      </c>
      <c r="S82" s="23">
        <v>150</v>
      </c>
      <c r="T82" s="23">
        <v>20</v>
      </c>
      <c r="U82" s="23">
        <v>100</v>
      </c>
      <c r="V82" s="23">
        <v>4</v>
      </c>
      <c r="W82" s="23">
        <v>6</v>
      </c>
      <c r="X82" s="23">
        <v>8</v>
      </c>
      <c r="Y82" s="23">
        <v>12</v>
      </c>
    </row>
    <row r="83" spans="1:25" s="26" customFormat="1">
      <c r="A83" s="31"/>
      <c r="B83" s="22"/>
      <c r="C83" s="23"/>
      <c r="D83" s="23"/>
      <c r="E83" s="30"/>
      <c r="F83" s="30"/>
      <c r="G83" s="30"/>
      <c r="H83" s="30"/>
      <c r="I83" s="30"/>
      <c r="J83" s="28"/>
      <c r="K83" s="28"/>
      <c r="P83" s="23">
        <v>100</v>
      </c>
      <c r="Q83" s="23">
        <v>200</v>
      </c>
      <c r="R83" s="23">
        <v>40</v>
      </c>
      <c r="S83" s="23">
        <v>150</v>
      </c>
      <c r="T83" s="23">
        <v>20</v>
      </c>
      <c r="U83" s="23">
        <v>100</v>
      </c>
      <c r="V83" s="23">
        <v>4</v>
      </c>
      <c r="W83" s="23">
        <v>6</v>
      </c>
      <c r="X83" s="23">
        <v>8</v>
      </c>
      <c r="Y83" s="23">
        <v>12</v>
      </c>
    </row>
    <row r="84" spans="1:25" s="26" customFormat="1">
      <c r="A84" s="31"/>
      <c r="B84" s="22"/>
      <c r="C84" s="23"/>
      <c r="D84" s="23"/>
      <c r="E84" s="30"/>
      <c r="F84" s="30"/>
      <c r="G84" s="30"/>
      <c r="H84" s="30"/>
      <c r="I84" s="30"/>
      <c r="J84" s="28"/>
      <c r="K84" s="28"/>
      <c r="P84" s="23">
        <v>100</v>
      </c>
      <c r="Q84" s="23">
        <v>200</v>
      </c>
      <c r="R84" s="23">
        <v>40</v>
      </c>
      <c r="S84" s="23">
        <v>150</v>
      </c>
      <c r="T84" s="23">
        <v>20</v>
      </c>
      <c r="U84" s="23">
        <v>100</v>
      </c>
      <c r="V84" s="23">
        <v>4</v>
      </c>
      <c r="W84" s="23">
        <v>6</v>
      </c>
      <c r="X84" s="23">
        <v>8</v>
      </c>
      <c r="Y84" s="23">
        <v>12</v>
      </c>
    </row>
    <row r="85" spans="1:25" s="26" customFormat="1">
      <c r="A85" s="31"/>
      <c r="B85" s="22"/>
      <c r="C85" s="23"/>
      <c r="D85" s="23"/>
      <c r="E85" s="30"/>
      <c r="F85" s="30"/>
      <c r="G85" s="30"/>
      <c r="H85" s="30"/>
      <c r="I85" s="30"/>
      <c r="J85" s="28"/>
      <c r="K85" s="28"/>
      <c r="P85" s="23">
        <v>100</v>
      </c>
      <c r="Q85" s="23">
        <v>200</v>
      </c>
      <c r="R85" s="23">
        <v>40</v>
      </c>
      <c r="S85" s="23">
        <v>150</v>
      </c>
      <c r="T85" s="23">
        <v>20</v>
      </c>
      <c r="U85" s="23">
        <v>100</v>
      </c>
      <c r="V85" s="23">
        <v>4</v>
      </c>
      <c r="W85" s="23">
        <v>6</v>
      </c>
      <c r="X85" s="23">
        <v>8</v>
      </c>
      <c r="Y85" s="23">
        <v>12</v>
      </c>
    </row>
    <row r="86" spans="1:25" s="26" customFormat="1">
      <c r="A86" s="31"/>
      <c r="B86" s="22"/>
      <c r="C86" s="23"/>
      <c r="D86" s="23"/>
      <c r="E86" s="30"/>
      <c r="F86" s="30"/>
      <c r="G86" s="30"/>
      <c r="H86" s="30"/>
      <c r="I86" s="30"/>
      <c r="J86" s="28"/>
      <c r="K86" s="28"/>
      <c r="P86" s="23">
        <v>100</v>
      </c>
      <c r="Q86" s="23">
        <v>200</v>
      </c>
      <c r="R86" s="23">
        <v>40</v>
      </c>
      <c r="S86" s="23">
        <v>150</v>
      </c>
      <c r="T86" s="23">
        <v>20</v>
      </c>
      <c r="U86" s="23">
        <v>100</v>
      </c>
      <c r="V86" s="23">
        <v>4</v>
      </c>
      <c r="W86" s="23">
        <v>6</v>
      </c>
      <c r="X86" s="23">
        <v>8</v>
      </c>
      <c r="Y86" s="23">
        <v>12</v>
      </c>
    </row>
    <row r="87" spans="1:25" s="26" customFormat="1">
      <c r="A87" s="31"/>
      <c r="B87" s="22"/>
      <c r="C87" s="23"/>
      <c r="D87" s="23"/>
      <c r="E87" s="30"/>
      <c r="F87" s="30"/>
      <c r="G87" s="30"/>
      <c r="H87" s="30"/>
      <c r="I87" s="30"/>
      <c r="J87" s="28"/>
      <c r="K87" s="28"/>
      <c r="P87" s="23">
        <v>100</v>
      </c>
      <c r="Q87" s="23">
        <v>200</v>
      </c>
      <c r="R87" s="23">
        <v>40</v>
      </c>
      <c r="S87" s="23">
        <v>150</v>
      </c>
      <c r="T87" s="23">
        <v>20</v>
      </c>
      <c r="U87" s="23">
        <v>100</v>
      </c>
      <c r="V87" s="23">
        <v>4</v>
      </c>
      <c r="W87" s="23">
        <v>6</v>
      </c>
      <c r="X87" s="23">
        <v>8</v>
      </c>
      <c r="Y87" s="23">
        <v>12</v>
      </c>
    </row>
    <row r="88" spans="1:25" s="26" customFormat="1">
      <c r="A88" s="31"/>
      <c r="B88" s="23"/>
      <c r="C88" s="23"/>
      <c r="D88" s="23"/>
      <c r="E88" s="30"/>
      <c r="F88" s="30"/>
      <c r="G88" s="30"/>
      <c r="H88" s="30"/>
      <c r="I88" s="30"/>
      <c r="J88" s="23"/>
      <c r="K88" s="23"/>
      <c r="P88" s="23">
        <v>100</v>
      </c>
      <c r="Q88" s="23">
        <v>200</v>
      </c>
      <c r="R88" s="23">
        <v>40</v>
      </c>
      <c r="S88" s="23">
        <v>150</v>
      </c>
      <c r="T88" s="23">
        <v>20</v>
      </c>
      <c r="U88" s="23">
        <v>100</v>
      </c>
      <c r="V88" s="23">
        <v>4</v>
      </c>
      <c r="W88" s="23">
        <v>6</v>
      </c>
      <c r="X88" s="23">
        <v>8</v>
      </c>
      <c r="Y88" s="23">
        <v>12</v>
      </c>
    </row>
    <row r="89" spans="1:25" s="26" customFormat="1">
      <c r="A89" s="23"/>
      <c r="B89" s="23"/>
      <c r="C89" s="23"/>
      <c r="D89" s="23"/>
      <c r="E89" s="30"/>
      <c r="F89" s="30"/>
      <c r="G89" s="30"/>
      <c r="H89" s="30"/>
      <c r="I89" s="30"/>
      <c r="J89" s="23"/>
      <c r="K89" s="23"/>
      <c r="P89" s="23">
        <v>100</v>
      </c>
      <c r="Q89" s="23">
        <v>200</v>
      </c>
      <c r="R89" s="23">
        <v>40</v>
      </c>
      <c r="S89" s="23">
        <v>150</v>
      </c>
      <c r="T89" s="23">
        <v>20</v>
      </c>
      <c r="U89" s="23">
        <v>100</v>
      </c>
      <c r="V89" s="23">
        <v>4</v>
      </c>
      <c r="W89" s="23">
        <v>6</v>
      </c>
      <c r="X89" s="23">
        <v>8</v>
      </c>
      <c r="Y89" s="23">
        <v>12</v>
      </c>
    </row>
    <row r="90" spans="1:25" s="26" customFormat="1">
      <c r="P90" s="23">
        <v>100</v>
      </c>
      <c r="Q90" s="23">
        <v>200</v>
      </c>
      <c r="R90" s="23">
        <v>40</v>
      </c>
      <c r="S90" s="23">
        <v>150</v>
      </c>
      <c r="T90" s="23">
        <v>20</v>
      </c>
      <c r="U90" s="23">
        <v>100</v>
      </c>
      <c r="V90" s="23">
        <v>4</v>
      </c>
      <c r="W90" s="23">
        <v>6</v>
      </c>
      <c r="X90" s="23">
        <v>8</v>
      </c>
      <c r="Y90" s="23">
        <v>12</v>
      </c>
    </row>
    <row r="91" spans="1:25" s="26" customFormat="1">
      <c r="P91" s="23">
        <v>100</v>
      </c>
      <c r="Q91" s="23">
        <v>200</v>
      </c>
      <c r="R91" s="23">
        <v>40</v>
      </c>
      <c r="S91" s="23">
        <v>150</v>
      </c>
      <c r="T91" s="23">
        <v>20</v>
      </c>
      <c r="U91" s="23">
        <v>100</v>
      </c>
      <c r="V91" s="23">
        <v>4</v>
      </c>
      <c r="W91" s="23">
        <v>6</v>
      </c>
      <c r="X91" s="23">
        <v>8</v>
      </c>
      <c r="Y91" s="23">
        <v>12</v>
      </c>
    </row>
    <row r="92" spans="1:25" s="26" customFormat="1">
      <c r="P92" s="23">
        <v>100</v>
      </c>
      <c r="Q92" s="23">
        <v>200</v>
      </c>
      <c r="R92" s="23">
        <v>40</v>
      </c>
      <c r="S92" s="23">
        <v>150</v>
      </c>
      <c r="T92" s="23">
        <v>20</v>
      </c>
      <c r="U92" s="23">
        <v>100</v>
      </c>
      <c r="V92" s="23">
        <v>4</v>
      </c>
      <c r="W92" s="23">
        <v>6</v>
      </c>
      <c r="X92" s="23">
        <v>8</v>
      </c>
      <c r="Y92" s="23">
        <v>12</v>
      </c>
    </row>
    <row r="93" spans="1:25" s="26" customFormat="1">
      <c r="P93" s="23">
        <f>P5</f>
        <v>100</v>
      </c>
      <c r="Q93" s="23">
        <v>200</v>
      </c>
      <c r="R93" s="23">
        <f t="shared" ref="R93:Y93" si="0">R5</f>
        <v>40</v>
      </c>
      <c r="S93" s="23">
        <v>150</v>
      </c>
      <c r="T93" s="23">
        <f t="shared" si="0"/>
        <v>20</v>
      </c>
      <c r="U93" s="23">
        <v>100</v>
      </c>
      <c r="V93" s="23">
        <f t="shared" si="0"/>
        <v>4</v>
      </c>
      <c r="W93" s="23">
        <f t="shared" si="0"/>
        <v>6</v>
      </c>
      <c r="X93" s="23">
        <f t="shared" si="0"/>
        <v>8</v>
      </c>
      <c r="Y93" s="23">
        <f t="shared" si="0"/>
        <v>12</v>
      </c>
    </row>
    <row r="94" spans="1:25" s="26" customFormat="1">
      <c r="P94" s="23">
        <v>100</v>
      </c>
      <c r="Q94" s="23">
        <v>200</v>
      </c>
      <c r="R94" s="23">
        <v>40</v>
      </c>
      <c r="S94" s="23">
        <v>150</v>
      </c>
      <c r="T94" s="23">
        <v>20</v>
      </c>
      <c r="U94" s="23">
        <v>100</v>
      </c>
      <c r="V94" s="23">
        <v>4</v>
      </c>
      <c r="W94" s="23">
        <v>6</v>
      </c>
      <c r="X94" s="23">
        <v>8</v>
      </c>
      <c r="Y94" s="23">
        <v>12</v>
      </c>
    </row>
    <row r="95" spans="1:25" s="26" customFormat="1">
      <c r="P95" s="23">
        <f>P7</f>
        <v>100</v>
      </c>
      <c r="Q95" s="23">
        <v>200</v>
      </c>
      <c r="R95" s="23">
        <f t="shared" ref="R95:Y95" si="1">R7</f>
        <v>40</v>
      </c>
      <c r="S95" s="23">
        <v>150</v>
      </c>
      <c r="T95" s="23">
        <f t="shared" si="1"/>
        <v>20</v>
      </c>
      <c r="U95" s="23">
        <v>100</v>
      </c>
      <c r="V95" s="23">
        <f t="shared" si="1"/>
        <v>4</v>
      </c>
      <c r="W95" s="23">
        <f t="shared" si="1"/>
        <v>6</v>
      </c>
      <c r="X95" s="23">
        <f t="shared" si="1"/>
        <v>8</v>
      </c>
      <c r="Y95" s="23">
        <f t="shared" si="1"/>
        <v>12</v>
      </c>
    </row>
    <row r="96" spans="1:25" s="26" customFormat="1">
      <c r="P96" s="23">
        <v>100</v>
      </c>
      <c r="Q96" s="23">
        <v>200</v>
      </c>
      <c r="R96" s="23">
        <v>40</v>
      </c>
      <c r="S96" s="23">
        <v>150</v>
      </c>
      <c r="T96" s="23">
        <v>20</v>
      </c>
      <c r="U96" s="23">
        <v>100</v>
      </c>
      <c r="V96" s="23">
        <v>4</v>
      </c>
      <c r="W96" s="23">
        <v>6</v>
      </c>
      <c r="X96" s="23">
        <v>8</v>
      </c>
      <c r="Y96" s="23">
        <v>12</v>
      </c>
    </row>
    <row r="97" spans="16:25" s="26" customFormat="1">
      <c r="P97" s="23">
        <f>P9</f>
        <v>100</v>
      </c>
      <c r="Q97" s="23">
        <v>200</v>
      </c>
      <c r="R97" s="23">
        <f t="shared" ref="R97:Y97" si="2">R9</f>
        <v>40</v>
      </c>
      <c r="S97" s="23">
        <v>150</v>
      </c>
      <c r="T97" s="23">
        <f t="shared" si="2"/>
        <v>20</v>
      </c>
      <c r="U97" s="23">
        <v>100</v>
      </c>
      <c r="V97" s="23">
        <f t="shared" si="2"/>
        <v>4</v>
      </c>
      <c r="W97" s="23">
        <f t="shared" si="2"/>
        <v>6</v>
      </c>
      <c r="X97" s="23">
        <f t="shared" si="2"/>
        <v>8</v>
      </c>
      <c r="Y97" s="23">
        <f t="shared" si="2"/>
        <v>12</v>
      </c>
    </row>
    <row r="98" spans="16:25" s="26" customFormat="1"/>
    <row r="99" spans="16:25" s="26" customFormat="1"/>
    <row r="100" spans="16:25" s="26" customFormat="1"/>
    <row r="101" spans="16:25" s="26" customFormat="1"/>
    <row r="102" spans="16:25" s="26" customFormat="1"/>
    <row r="103" spans="16:25" s="26" customFormat="1"/>
    <row r="104" spans="16:25" s="26" customFormat="1"/>
    <row r="105" spans="16:25" s="26" customFormat="1"/>
    <row r="106" spans="16:25" s="26" customFormat="1"/>
    <row r="107" spans="16:25" s="26" customFormat="1"/>
    <row r="108" spans="16:25" s="26" customFormat="1"/>
    <row r="109" spans="16:25" s="26" customFormat="1"/>
    <row r="110" spans="16:25" s="26" customFormat="1"/>
    <row r="111" spans="16:25" s="26" customFormat="1"/>
    <row r="112" spans="16:25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  <row r="193" s="26" customFormat="1"/>
    <row r="194" s="26" customFormat="1"/>
    <row r="195" s="26" customFormat="1"/>
    <row r="196" s="26" customFormat="1"/>
    <row r="197" s="26" customFormat="1"/>
    <row r="198" s="26" customFormat="1"/>
    <row r="199" s="26" customFormat="1"/>
    <row r="200" s="26" customFormat="1"/>
    <row r="201" s="26" customFormat="1"/>
    <row r="202" s="26" customFormat="1"/>
    <row r="203" s="26" customFormat="1"/>
    <row r="204" s="26" customFormat="1"/>
    <row r="205" s="26" customFormat="1"/>
    <row r="206" s="26" customFormat="1"/>
    <row r="207" s="26" customFormat="1"/>
    <row r="208" s="26" customFormat="1"/>
    <row r="209" s="26" customFormat="1"/>
    <row r="210" s="26" customFormat="1"/>
    <row r="211" s="26" customFormat="1"/>
    <row r="212" s="26" customFormat="1"/>
    <row r="213" s="26" customFormat="1"/>
    <row r="214" s="26" customFormat="1"/>
    <row r="215" s="26" customFormat="1"/>
    <row r="216" s="26" customFormat="1"/>
    <row r="217" s="26" customFormat="1"/>
    <row r="218" s="26" customFormat="1"/>
    <row r="219" s="26" customFormat="1"/>
    <row r="220" s="26" customFormat="1"/>
    <row r="221" s="26" customFormat="1"/>
    <row r="222" s="26" customFormat="1"/>
    <row r="223" s="26" customFormat="1"/>
    <row r="224" s="26" customFormat="1"/>
    <row r="225" s="26" customFormat="1"/>
    <row r="226" s="26" customFormat="1"/>
    <row r="227" s="26" customFormat="1"/>
    <row r="228" s="26" customFormat="1"/>
    <row r="229" s="26" customFormat="1"/>
    <row r="230" s="26" customFormat="1"/>
    <row r="231" s="26" customFormat="1"/>
    <row r="232" s="26" customFormat="1"/>
    <row r="233" s="26" customFormat="1"/>
    <row r="234" s="26" customFormat="1"/>
    <row r="235" s="26" customFormat="1"/>
    <row r="236" s="26" customFormat="1"/>
    <row r="237" s="26" customFormat="1"/>
    <row r="238" s="26" customFormat="1"/>
    <row r="239" s="26" customFormat="1"/>
    <row r="240" s="26" customFormat="1"/>
    <row r="241" s="26" customFormat="1"/>
    <row r="242" s="26" customFormat="1"/>
    <row r="243" s="26" customFormat="1"/>
    <row r="244" s="26" customFormat="1"/>
    <row r="245" s="26" customFormat="1"/>
    <row r="246" s="26" customFormat="1"/>
    <row r="247" s="26" customFormat="1"/>
    <row r="248" s="26" customFormat="1"/>
    <row r="249" s="26" customFormat="1"/>
    <row r="250" s="26" customFormat="1"/>
    <row r="251" s="26" customFormat="1"/>
    <row r="252" s="26" customFormat="1"/>
    <row r="253" s="26" customFormat="1"/>
    <row r="254" s="26" customFormat="1"/>
    <row r="255" s="26" customFormat="1"/>
    <row r="256" s="26" customFormat="1"/>
    <row r="257" spans="16:25"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6:25"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6:25"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6:25"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6:25"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6:25"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6:25"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6:25"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6:25"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6:25"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6:25"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6:25"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6:25"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6:25"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6:25"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6:25"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6:25"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6:25"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6:25"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6:25"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6:25"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6:25"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6:25"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6:25"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6:25"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6:25"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6:25"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6:25"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6:25"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6:25"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6:25"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6:25"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6:25"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6:25"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6:25"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6:25"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6:25"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6:25"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6:25"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6:25"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6:25"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6:25"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6:25"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6:25"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6:25"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6:25"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6:25"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6:25"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6:25"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6:25"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6:25"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6:25"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6:25"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6:25"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6:25"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6:25"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6:25"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6:25"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6:25"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6:25"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6:25"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6:25"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6:25"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6:25"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6:25"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6:25"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6:25"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6:25"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6:25"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6:25"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6:25"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6:25"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6:25"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6:25"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6:25"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6:25"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6:25"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6:25"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6:25"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6:25"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6:25"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6:25"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6:25"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6:25"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6:25"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6:25"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6:25"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</sheetData>
  <mergeCells count="6">
    <mergeCell ref="P2:Y2"/>
    <mergeCell ref="P3:Q3"/>
    <mergeCell ref="R3:S3"/>
    <mergeCell ref="T3:U3"/>
    <mergeCell ref="V3:W3"/>
    <mergeCell ref="X3:Y3"/>
  </mergeCells>
  <pageMargins left="0.7" right="0.7" top="0.75" bottom="0.75" header="0.3" footer="0.3"/>
  <pageSetup scale="5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8848-CDDC-47AF-9982-8FF9735DDDC5}">
  <dimension ref="A1:U96"/>
  <sheetViews>
    <sheetView zoomScaleNormal="100" workbookViewId="0">
      <pane xSplit="4" topLeftCell="E1" activePane="topRight" state="frozen"/>
      <selection pane="topRight" activeCell="W2" sqref="W2"/>
    </sheetView>
  </sheetViews>
  <sheetFormatPr defaultColWidth="8.7265625" defaultRowHeight="14.5"/>
  <cols>
    <col min="1" max="1" width="5.54296875" style="1" bestFit="1" customWidth="1"/>
    <col min="2" max="2" width="11.453125" style="2" bestFit="1" customWidth="1"/>
    <col min="3" max="3" width="12.54296875" style="50" bestFit="1" customWidth="1"/>
    <col min="4" max="4" width="18" style="2" bestFit="1" customWidth="1"/>
    <col min="5" max="5" width="16.54296875" style="3" bestFit="1" customWidth="1"/>
    <col min="6" max="6" width="10.1796875" style="2" bestFit="1" customWidth="1"/>
    <col min="7" max="7" width="14.81640625" style="2" bestFit="1" customWidth="1"/>
    <col min="8" max="8" width="7.1796875" style="50" bestFit="1" customWidth="1"/>
    <col min="9" max="9" width="5.81640625" style="50" bestFit="1" customWidth="1"/>
    <col min="10" max="10" width="8" style="50" bestFit="1" customWidth="1"/>
    <col min="11" max="11" width="10.1796875" style="50" bestFit="1" customWidth="1"/>
    <col min="12" max="12" width="18.81640625" style="50" bestFit="1" customWidth="1"/>
    <col min="13" max="13" width="9.54296875" style="50" bestFit="1" customWidth="1"/>
    <col min="14" max="14" width="9.54296875" style="50" customWidth="1"/>
    <col min="15" max="17" width="7.54296875" style="50" bestFit="1" customWidth="1"/>
    <col min="18" max="18" width="7.7265625" style="50" bestFit="1" customWidth="1"/>
    <col min="19" max="19" width="7.54296875" style="50" bestFit="1" customWidth="1"/>
    <col min="20" max="20" width="16.54296875" style="50" bestFit="1" customWidth="1"/>
    <col min="21" max="21" width="14.81640625" style="50" bestFit="1" customWidth="1"/>
    <col min="22" max="16384" width="8.7265625" style="2"/>
  </cols>
  <sheetData>
    <row r="1" spans="1:21" s="4" customFormat="1">
      <c r="A1" s="19" t="s">
        <v>0</v>
      </c>
      <c r="B1" s="18" t="s">
        <v>49</v>
      </c>
      <c r="C1" s="36" t="s">
        <v>50</v>
      </c>
      <c r="D1" s="18" t="s">
        <v>51</v>
      </c>
      <c r="E1" s="37" t="s">
        <v>3</v>
      </c>
      <c r="F1" s="18" t="s">
        <v>52</v>
      </c>
      <c r="G1" s="18" t="s">
        <v>53</v>
      </c>
      <c r="H1" s="18" t="s">
        <v>54</v>
      </c>
      <c r="I1" s="18" t="s">
        <v>55</v>
      </c>
      <c r="J1" s="18" t="s">
        <v>56</v>
      </c>
      <c r="K1" s="18" t="s">
        <v>57</v>
      </c>
      <c r="L1" s="18" t="s">
        <v>58</v>
      </c>
      <c r="M1" s="18" t="s">
        <v>59</v>
      </c>
      <c r="N1" s="18" t="s">
        <v>60</v>
      </c>
      <c r="O1" s="18" t="s">
        <v>61</v>
      </c>
      <c r="P1" s="18" t="s">
        <v>62</v>
      </c>
      <c r="Q1" s="18" t="s">
        <v>63</v>
      </c>
      <c r="R1" s="18" t="s">
        <v>54</v>
      </c>
      <c r="S1" s="18" t="s">
        <v>64</v>
      </c>
      <c r="T1" s="18" t="s">
        <v>3</v>
      </c>
      <c r="U1" s="18" t="s">
        <v>53</v>
      </c>
    </row>
    <row r="2" spans="1:21">
      <c r="A2" s="5">
        <v>28</v>
      </c>
      <c r="B2" s="10">
        <v>1</v>
      </c>
      <c r="C2" s="38" t="s">
        <v>65</v>
      </c>
      <c r="D2" s="39">
        <v>46011</v>
      </c>
      <c r="E2" s="40">
        <v>23708</v>
      </c>
      <c r="F2" s="41">
        <v>68.643333333333331</v>
      </c>
      <c r="G2" s="40">
        <f>E2*F2/100</f>
        <v>16273.961466666666</v>
      </c>
      <c r="H2" s="42">
        <v>0.11966666666666666</v>
      </c>
      <c r="I2" s="38">
        <v>1</v>
      </c>
      <c r="J2" s="38">
        <v>7</v>
      </c>
      <c r="K2" s="38" t="s">
        <v>66</v>
      </c>
      <c r="L2" s="39">
        <v>46092</v>
      </c>
      <c r="M2" s="38">
        <f>L2-D2</f>
        <v>81</v>
      </c>
      <c r="N2" s="43">
        <v>98.226666666666674</v>
      </c>
      <c r="O2" s="44">
        <v>38.666666666666664</v>
      </c>
      <c r="P2" s="44">
        <v>31</v>
      </c>
      <c r="Q2" s="44">
        <v>80.333333333333329</v>
      </c>
      <c r="R2" s="42">
        <v>0.10433333333333333</v>
      </c>
      <c r="S2" s="44"/>
      <c r="T2" s="45">
        <f t="shared" ref="T2:T65" si="0">G2</f>
        <v>16273.961466666666</v>
      </c>
      <c r="U2" s="45">
        <f>T2*N2/100</f>
        <v>15985.369883324445</v>
      </c>
    </row>
    <row r="3" spans="1:21">
      <c r="A3" s="5">
        <v>28</v>
      </c>
      <c r="B3" s="10">
        <v>2</v>
      </c>
      <c r="C3" s="38" t="s">
        <v>65</v>
      </c>
      <c r="D3" s="39">
        <v>46013</v>
      </c>
      <c r="E3" s="40">
        <v>18402</v>
      </c>
      <c r="F3" s="41">
        <v>76.046666666666667</v>
      </c>
      <c r="G3" s="40">
        <f t="shared" ref="G3:G66" si="1">E3*F3/100</f>
        <v>13994.107599999999</v>
      </c>
      <c r="H3" s="42">
        <v>0.10333333333333333</v>
      </c>
      <c r="I3" s="38">
        <v>1</v>
      </c>
      <c r="J3" s="46" t="s">
        <v>67</v>
      </c>
      <c r="K3" s="38" t="s">
        <v>68</v>
      </c>
      <c r="L3" s="39">
        <v>46051</v>
      </c>
      <c r="M3" s="38">
        <f t="shared" ref="M3:M76" si="2">L3-D3</f>
        <v>38</v>
      </c>
      <c r="N3" s="43">
        <v>95.196666666666673</v>
      </c>
      <c r="O3" s="44">
        <v>37.333333333333336</v>
      </c>
      <c r="P3" s="44">
        <v>28.333333333333332</v>
      </c>
      <c r="Q3" s="44">
        <v>75.666666666666671</v>
      </c>
      <c r="R3" s="42">
        <v>0.12</v>
      </c>
      <c r="S3" s="44">
        <v>70.683333333333337</v>
      </c>
      <c r="T3" s="45">
        <f t="shared" si="0"/>
        <v>13994.107599999999</v>
      </c>
      <c r="U3" s="45">
        <f t="shared" ref="U3:U65" si="3">T3*N3/100</f>
        <v>13321.923964946665</v>
      </c>
    </row>
    <row r="4" spans="1:21">
      <c r="A4" s="5">
        <v>28</v>
      </c>
      <c r="B4" s="10">
        <v>3</v>
      </c>
      <c r="C4" s="38" t="s">
        <v>65</v>
      </c>
      <c r="D4" s="39">
        <v>46020</v>
      </c>
      <c r="E4" s="40">
        <v>23481</v>
      </c>
      <c r="F4" s="41">
        <v>65.540000000000006</v>
      </c>
      <c r="G4" s="40">
        <f t="shared" si="1"/>
        <v>15389.447400000003</v>
      </c>
      <c r="H4" s="42">
        <v>0.11699999999999999</v>
      </c>
      <c r="I4" s="47" t="s">
        <v>69</v>
      </c>
      <c r="J4" s="38" t="s">
        <v>70</v>
      </c>
      <c r="K4" s="38" t="s">
        <v>71</v>
      </c>
      <c r="L4" s="39">
        <v>46052</v>
      </c>
      <c r="M4" s="38">
        <f t="shared" si="2"/>
        <v>32</v>
      </c>
      <c r="N4" s="43">
        <v>93.706666666666663</v>
      </c>
      <c r="O4" s="44">
        <v>31.333333333333332</v>
      </c>
      <c r="P4" s="44">
        <v>22.666666666666668</v>
      </c>
      <c r="Q4" s="44">
        <v>72.333333333333329</v>
      </c>
      <c r="R4" s="42">
        <v>0.12133333333333333</v>
      </c>
      <c r="S4" s="44">
        <v>63</v>
      </c>
      <c r="T4" s="45">
        <f t="shared" si="0"/>
        <v>15389.447400000003</v>
      </c>
      <c r="U4" s="45">
        <f t="shared" si="3"/>
        <v>14420.938176960002</v>
      </c>
    </row>
    <row r="5" spans="1:21">
      <c r="A5" s="5">
        <v>28</v>
      </c>
      <c r="B5" s="10">
        <v>4</v>
      </c>
      <c r="C5" s="38" t="s">
        <v>65</v>
      </c>
      <c r="D5" s="39">
        <v>46022</v>
      </c>
      <c r="E5" s="40">
        <v>5274</v>
      </c>
      <c r="F5" s="41">
        <v>64.489999999999995</v>
      </c>
      <c r="G5" s="40">
        <f t="shared" si="1"/>
        <v>3401.2025999999996</v>
      </c>
      <c r="H5" s="42">
        <v>0.11866666666666666</v>
      </c>
      <c r="I5" s="38">
        <v>2</v>
      </c>
      <c r="J5" s="38">
        <v>1</v>
      </c>
      <c r="K5" s="38" t="s">
        <v>72</v>
      </c>
      <c r="L5" s="39">
        <v>46053</v>
      </c>
      <c r="M5" s="38">
        <f t="shared" si="2"/>
        <v>31</v>
      </c>
      <c r="N5" s="43">
        <v>93.646666666666661</v>
      </c>
      <c r="O5" s="44">
        <v>39</v>
      </c>
      <c r="P5" s="44">
        <v>29.666666666666668</v>
      </c>
      <c r="Q5" s="44">
        <v>76</v>
      </c>
      <c r="R5" s="42">
        <v>0.122</v>
      </c>
      <c r="S5" s="44">
        <v>72.833333333333329</v>
      </c>
      <c r="T5" s="45">
        <f t="shared" si="0"/>
        <v>3401.2025999999996</v>
      </c>
      <c r="U5" s="45">
        <f t="shared" si="3"/>
        <v>3185.1128614799991</v>
      </c>
    </row>
    <row r="6" spans="1:21">
      <c r="A6" s="5">
        <v>28</v>
      </c>
      <c r="B6" s="10">
        <v>5</v>
      </c>
      <c r="C6" s="38" t="s">
        <v>65</v>
      </c>
      <c r="D6" s="39">
        <v>46024</v>
      </c>
      <c r="E6" s="40">
        <v>15626</v>
      </c>
      <c r="F6" s="41">
        <v>67.773333333333326</v>
      </c>
      <c r="G6" s="40">
        <f t="shared" si="1"/>
        <v>10590.261066666664</v>
      </c>
      <c r="H6" s="48">
        <v>0.109</v>
      </c>
      <c r="I6" s="38">
        <v>2</v>
      </c>
      <c r="J6" s="38" t="s">
        <v>73</v>
      </c>
      <c r="K6" s="38" t="s">
        <v>74</v>
      </c>
      <c r="L6" s="39">
        <v>46158</v>
      </c>
      <c r="M6" s="38">
        <f t="shared" si="2"/>
        <v>134</v>
      </c>
      <c r="N6" s="43"/>
      <c r="O6" s="44"/>
      <c r="P6" s="44"/>
      <c r="Q6" s="44"/>
      <c r="R6" s="42"/>
      <c r="S6" s="44"/>
      <c r="T6" s="45">
        <f t="shared" si="0"/>
        <v>10590.261066666664</v>
      </c>
      <c r="U6" s="45">
        <f t="shared" si="3"/>
        <v>0</v>
      </c>
    </row>
    <row r="7" spans="1:21">
      <c r="A7" s="5">
        <v>28</v>
      </c>
      <c r="B7" s="10">
        <v>6</v>
      </c>
      <c r="C7" s="38" t="s">
        <v>65</v>
      </c>
      <c r="D7" s="39">
        <v>46025</v>
      </c>
      <c r="E7" s="40">
        <v>6956</v>
      </c>
      <c r="F7" s="41">
        <v>66.233333333333334</v>
      </c>
      <c r="G7" s="40">
        <f t="shared" si="1"/>
        <v>4607.1906666666664</v>
      </c>
      <c r="H7" s="48">
        <v>0.12166666666666666</v>
      </c>
      <c r="I7" s="38">
        <v>3</v>
      </c>
      <c r="J7" s="38">
        <v>2</v>
      </c>
      <c r="K7" s="38" t="s">
        <v>75</v>
      </c>
      <c r="L7" s="39">
        <v>46158</v>
      </c>
      <c r="M7" s="38">
        <f t="shared" si="2"/>
        <v>133</v>
      </c>
      <c r="N7" s="43"/>
      <c r="O7" s="44"/>
      <c r="P7" s="44"/>
      <c r="Q7" s="44"/>
      <c r="R7" s="42"/>
      <c r="S7" s="44"/>
      <c r="T7" s="45">
        <f t="shared" si="0"/>
        <v>4607.1906666666664</v>
      </c>
      <c r="U7" s="45">
        <f t="shared" si="3"/>
        <v>0</v>
      </c>
    </row>
    <row r="8" spans="1:21">
      <c r="A8" s="5">
        <v>1</v>
      </c>
      <c r="B8" s="10">
        <v>7</v>
      </c>
      <c r="C8" s="38" t="s">
        <v>65</v>
      </c>
      <c r="D8" s="39">
        <v>46042</v>
      </c>
      <c r="E8" s="49">
        <v>12272</v>
      </c>
      <c r="F8" s="41">
        <v>67.913333333333341</v>
      </c>
      <c r="G8" s="40">
        <f t="shared" si="1"/>
        <v>8334.3242666666683</v>
      </c>
      <c r="H8" s="42">
        <v>0.11266666666666668</v>
      </c>
      <c r="I8" s="38">
        <v>1</v>
      </c>
      <c r="J8" s="38">
        <v>2</v>
      </c>
      <c r="K8" s="38" t="s">
        <v>76</v>
      </c>
      <c r="L8" s="39">
        <v>46193</v>
      </c>
      <c r="M8" s="38">
        <f t="shared" si="2"/>
        <v>151</v>
      </c>
      <c r="N8" s="43">
        <v>98.963333333333324</v>
      </c>
      <c r="O8" s="44">
        <v>34.666666666666664</v>
      </c>
      <c r="P8" s="44">
        <v>22</v>
      </c>
      <c r="Q8" s="44">
        <v>63.466666666666669</v>
      </c>
      <c r="R8" s="42"/>
      <c r="S8" s="44">
        <v>70.333333333333329</v>
      </c>
      <c r="T8" s="45">
        <f t="shared" si="0"/>
        <v>8334.3242666666683</v>
      </c>
      <c r="U8" s="45">
        <f t="shared" si="3"/>
        <v>8247.925105102222</v>
      </c>
    </row>
    <row r="9" spans="1:21">
      <c r="A9" s="5">
        <v>1</v>
      </c>
      <c r="B9" s="10">
        <v>8</v>
      </c>
      <c r="C9" s="38" t="s">
        <v>65</v>
      </c>
      <c r="D9" s="39">
        <v>46043</v>
      </c>
      <c r="E9" s="49">
        <v>18302</v>
      </c>
      <c r="F9" s="41">
        <v>70.15666666666668</v>
      </c>
      <c r="G9" s="40">
        <f t="shared" si="1"/>
        <v>12840.073133333337</v>
      </c>
      <c r="H9" s="42">
        <v>0.10866666666666668</v>
      </c>
      <c r="I9" s="38">
        <v>1</v>
      </c>
      <c r="J9" s="38" t="s">
        <v>77</v>
      </c>
      <c r="K9" s="38" t="s">
        <v>78</v>
      </c>
      <c r="L9" s="39">
        <v>46158</v>
      </c>
      <c r="M9" s="38">
        <f t="shared" si="2"/>
        <v>115</v>
      </c>
      <c r="N9" s="43"/>
      <c r="O9" s="44"/>
      <c r="P9" s="44"/>
      <c r="Q9" s="44"/>
      <c r="R9" s="42"/>
      <c r="S9" s="44"/>
      <c r="T9" s="45">
        <f t="shared" si="0"/>
        <v>12840.073133333337</v>
      </c>
      <c r="U9" s="45">
        <f t="shared" si="3"/>
        <v>0</v>
      </c>
    </row>
    <row r="10" spans="1:21">
      <c r="A10" s="5">
        <v>1</v>
      </c>
      <c r="B10" s="10">
        <v>9</v>
      </c>
      <c r="C10" s="38" t="s">
        <v>65</v>
      </c>
      <c r="D10" s="39">
        <v>46044</v>
      </c>
      <c r="E10" s="49">
        <v>20668</v>
      </c>
      <c r="F10" s="41">
        <v>68.52</v>
      </c>
      <c r="G10" s="40">
        <f t="shared" si="1"/>
        <v>14161.713599999999</v>
      </c>
      <c r="H10" s="42">
        <v>0.12033333333333333</v>
      </c>
      <c r="I10" s="38">
        <v>1</v>
      </c>
      <c r="J10" s="47" t="s">
        <v>79</v>
      </c>
      <c r="K10" s="38" t="s">
        <v>74</v>
      </c>
      <c r="L10" s="39">
        <v>46158</v>
      </c>
      <c r="M10" s="38">
        <f t="shared" si="2"/>
        <v>114</v>
      </c>
      <c r="N10" s="43"/>
      <c r="O10" s="44"/>
      <c r="P10" s="44"/>
      <c r="Q10" s="44"/>
      <c r="R10" s="42"/>
      <c r="S10" s="44"/>
      <c r="T10" s="45">
        <f t="shared" si="0"/>
        <v>14161.713599999999</v>
      </c>
      <c r="U10" s="45">
        <f t="shared" si="3"/>
        <v>0</v>
      </c>
    </row>
    <row r="11" spans="1:21">
      <c r="A11" s="5">
        <v>2</v>
      </c>
      <c r="B11" s="10">
        <v>10</v>
      </c>
      <c r="C11" s="38" t="s">
        <v>65</v>
      </c>
      <c r="D11" s="39">
        <v>46045</v>
      </c>
      <c r="E11" s="49">
        <v>17052</v>
      </c>
      <c r="F11" s="41">
        <v>71.903333333333336</v>
      </c>
      <c r="G11" s="40">
        <f t="shared" si="1"/>
        <v>12260.956400000001</v>
      </c>
      <c r="H11" s="42">
        <v>0.11433333333333334</v>
      </c>
      <c r="I11" s="38">
        <v>1</v>
      </c>
      <c r="J11" s="47" t="s">
        <v>80</v>
      </c>
      <c r="K11" s="38" t="s">
        <v>72</v>
      </c>
      <c r="L11" s="39">
        <v>46193</v>
      </c>
      <c r="M11" s="38">
        <f t="shared" si="2"/>
        <v>148</v>
      </c>
      <c r="N11" s="43">
        <v>98.946666666666673</v>
      </c>
      <c r="O11" s="44">
        <v>34.666666666666664</v>
      </c>
      <c r="P11" s="44">
        <v>22</v>
      </c>
      <c r="Q11" s="44">
        <v>63.433333333333337</v>
      </c>
      <c r="R11" s="42"/>
      <c r="S11" s="44">
        <v>71.166666666666671</v>
      </c>
      <c r="T11" s="45">
        <f t="shared" si="0"/>
        <v>12260.956400000001</v>
      </c>
      <c r="U11" s="45">
        <f t="shared" si="3"/>
        <v>12131.807659253336</v>
      </c>
    </row>
    <row r="12" spans="1:21">
      <c r="A12" s="5">
        <v>2</v>
      </c>
      <c r="B12" s="10">
        <v>11</v>
      </c>
      <c r="C12" s="38" t="s">
        <v>65</v>
      </c>
      <c r="D12" s="39">
        <v>46046</v>
      </c>
      <c r="E12" s="49">
        <v>17006</v>
      </c>
      <c r="F12" s="41">
        <v>71.943333333333328</v>
      </c>
      <c r="G12" s="40">
        <f t="shared" si="1"/>
        <v>12234.683266666667</v>
      </c>
      <c r="H12" s="42">
        <v>0.10100000000000002</v>
      </c>
      <c r="I12" s="38">
        <v>1</v>
      </c>
      <c r="J12" s="38" t="s">
        <v>81</v>
      </c>
      <c r="K12" s="38" t="s">
        <v>82</v>
      </c>
      <c r="L12" s="39">
        <v>46158</v>
      </c>
      <c r="M12" s="38">
        <f t="shared" si="2"/>
        <v>112</v>
      </c>
      <c r="N12" s="43"/>
      <c r="O12" s="44"/>
      <c r="P12" s="44"/>
      <c r="Q12" s="44"/>
      <c r="R12" s="42"/>
      <c r="S12" s="44"/>
      <c r="T12" s="45">
        <f t="shared" si="0"/>
        <v>12234.683266666667</v>
      </c>
      <c r="U12" s="45">
        <f t="shared" si="3"/>
        <v>0</v>
      </c>
    </row>
    <row r="13" spans="1:21">
      <c r="A13" s="5">
        <v>2</v>
      </c>
      <c r="B13" s="10">
        <v>12</v>
      </c>
      <c r="C13" s="38" t="s">
        <v>65</v>
      </c>
      <c r="D13" s="39">
        <v>46048</v>
      </c>
      <c r="E13" s="49">
        <v>19912</v>
      </c>
      <c r="F13" s="41">
        <v>70.643333333333331</v>
      </c>
      <c r="G13" s="40">
        <f t="shared" si="1"/>
        <v>14066.500533333332</v>
      </c>
      <c r="H13" s="42">
        <v>0.11766666666666666</v>
      </c>
      <c r="I13" s="38">
        <v>1</v>
      </c>
      <c r="J13" s="38" t="s">
        <v>83</v>
      </c>
      <c r="K13" s="38" t="s">
        <v>84</v>
      </c>
      <c r="L13" s="39">
        <v>46158</v>
      </c>
      <c r="M13" s="38">
        <f t="shared" si="2"/>
        <v>110</v>
      </c>
      <c r="N13" s="43"/>
      <c r="O13" s="44"/>
      <c r="P13" s="44"/>
      <c r="Q13" s="44"/>
      <c r="R13" s="42"/>
      <c r="S13" s="44"/>
      <c r="T13" s="45">
        <f t="shared" si="0"/>
        <v>14066.500533333332</v>
      </c>
      <c r="U13" s="45">
        <f t="shared" si="3"/>
        <v>0</v>
      </c>
    </row>
    <row r="14" spans="1:21">
      <c r="A14" s="5">
        <v>3</v>
      </c>
      <c r="B14" s="10">
        <v>12</v>
      </c>
      <c r="C14" s="38" t="s">
        <v>65</v>
      </c>
      <c r="D14" s="39">
        <v>46048</v>
      </c>
      <c r="E14" s="49">
        <v>4082</v>
      </c>
      <c r="F14" s="41">
        <v>74.223333333333343</v>
      </c>
      <c r="G14" s="40">
        <f t="shared" si="1"/>
        <v>3029.7964666666671</v>
      </c>
      <c r="H14" s="42">
        <v>0.10666666666666667</v>
      </c>
      <c r="I14" s="38">
        <v>1</v>
      </c>
      <c r="J14" s="38">
        <v>13</v>
      </c>
      <c r="K14" s="38" t="s">
        <v>85</v>
      </c>
      <c r="L14" s="39">
        <v>46193</v>
      </c>
      <c r="M14" s="38">
        <f t="shared" si="2"/>
        <v>145</v>
      </c>
      <c r="N14" s="43">
        <v>98.966666666666683</v>
      </c>
      <c r="O14" s="44">
        <v>37.333333333333336</v>
      </c>
      <c r="P14" s="44">
        <v>24.333333333333332</v>
      </c>
      <c r="Q14" s="44">
        <v>65.266666666666666</v>
      </c>
      <c r="R14" s="42"/>
      <c r="S14" s="44">
        <v>71.166666666666671</v>
      </c>
      <c r="T14" s="45">
        <f t="shared" si="0"/>
        <v>3029.7964666666671</v>
      </c>
      <c r="U14" s="45">
        <f t="shared" si="3"/>
        <v>2998.4885698444455</v>
      </c>
    </row>
    <row r="15" spans="1:21">
      <c r="A15" s="5">
        <v>3</v>
      </c>
      <c r="B15" s="10">
        <v>13</v>
      </c>
      <c r="C15" s="38" t="s">
        <v>65</v>
      </c>
      <c r="D15" s="39">
        <v>46049</v>
      </c>
      <c r="E15" s="49">
        <v>26894</v>
      </c>
      <c r="F15" s="41">
        <v>70.483333333333334</v>
      </c>
      <c r="G15" s="40">
        <f t="shared" si="1"/>
        <v>18955.787666666667</v>
      </c>
      <c r="H15" s="42">
        <v>0.10666666666666667</v>
      </c>
      <c r="I15" s="38" t="s">
        <v>69</v>
      </c>
      <c r="J15" s="38" t="s">
        <v>86</v>
      </c>
      <c r="K15" s="38" t="s">
        <v>87</v>
      </c>
      <c r="L15" s="39">
        <v>46158</v>
      </c>
      <c r="M15" s="38">
        <f t="shared" si="2"/>
        <v>109</v>
      </c>
      <c r="N15" s="43"/>
      <c r="O15" s="44"/>
      <c r="P15" s="44"/>
      <c r="Q15" s="44"/>
      <c r="R15" s="42"/>
      <c r="S15" s="44"/>
      <c r="T15" s="45">
        <f t="shared" si="0"/>
        <v>18955.787666666667</v>
      </c>
      <c r="U15" s="45">
        <f t="shared" si="3"/>
        <v>0</v>
      </c>
    </row>
    <row r="16" spans="1:21">
      <c r="A16" s="5">
        <v>3</v>
      </c>
      <c r="B16" s="10">
        <v>14</v>
      </c>
      <c r="C16" s="38" t="s">
        <v>65</v>
      </c>
      <c r="D16" s="39">
        <v>46050</v>
      </c>
      <c r="E16" s="49">
        <v>20056</v>
      </c>
      <c r="F16" s="41">
        <v>72.966666666666683</v>
      </c>
      <c r="G16" s="40">
        <f t="shared" si="1"/>
        <v>14634.19466666667</v>
      </c>
      <c r="H16" s="42">
        <v>0.10933333333333334</v>
      </c>
      <c r="I16" s="38">
        <v>2</v>
      </c>
      <c r="J16" s="38" t="s">
        <v>88</v>
      </c>
      <c r="K16" s="38" t="s">
        <v>89</v>
      </c>
      <c r="L16" s="39">
        <v>46158</v>
      </c>
      <c r="M16" s="38">
        <f t="shared" si="2"/>
        <v>108</v>
      </c>
      <c r="N16" s="43"/>
      <c r="O16" s="44"/>
      <c r="P16" s="44"/>
      <c r="Q16" s="44"/>
      <c r="R16" s="42"/>
      <c r="S16" s="44"/>
      <c r="T16" s="45">
        <f t="shared" si="0"/>
        <v>14634.19466666667</v>
      </c>
      <c r="U16" s="45">
        <f t="shared" si="3"/>
        <v>0</v>
      </c>
    </row>
    <row r="17" spans="1:21" ht="14.5" customHeight="1">
      <c r="A17" s="5">
        <v>4</v>
      </c>
      <c r="B17" s="10">
        <v>20</v>
      </c>
      <c r="C17" s="38" t="s">
        <v>65</v>
      </c>
      <c r="D17" s="39">
        <v>46080</v>
      </c>
      <c r="E17" s="49">
        <v>9416</v>
      </c>
      <c r="F17" s="41">
        <v>73.100000000000009</v>
      </c>
      <c r="G17" s="40">
        <f t="shared" si="1"/>
        <v>6883.0960000000014</v>
      </c>
      <c r="H17" s="42">
        <v>0.105</v>
      </c>
      <c r="I17" s="38">
        <v>2</v>
      </c>
      <c r="J17" s="38">
        <v>7</v>
      </c>
      <c r="K17" s="38" t="s">
        <v>90</v>
      </c>
      <c r="L17" s="39">
        <v>46092</v>
      </c>
      <c r="M17" s="38">
        <f t="shared" si="2"/>
        <v>12</v>
      </c>
      <c r="N17" s="43">
        <v>88.733333333333334</v>
      </c>
      <c r="O17" s="44"/>
      <c r="P17" s="44"/>
      <c r="Q17" s="44"/>
      <c r="R17" s="42">
        <v>0.122</v>
      </c>
      <c r="S17" s="44"/>
      <c r="T17" s="45">
        <f t="shared" si="0"/>
        <v>6883.0960000000014</v>
      </c>
      <c r="U17" s="45">
        <f t="shared" si="3"/>
        <v>6107.6005173333351</v>
      </c>
    </row>
    <row r="18" spans="1:21">
      <c r="A18" s="5">
        <v>4</v>
      </c>
      <c r="B18" s="10">
        <v>21</v>
      </c>
      <c r="C18" s="38" t="s">
        <v>65</v>
      </c>
      <c r="D18" s="39">
        <v>46081</v>
      </c>
      <c r="E18" s="49">
        <v>9948</v>
      </c>
      <c r="F18" s="41">
        <v>73.506666666666675</v>
      </c>
      <c r="G18" s="40">
        <f t="shared" si="1"/>
        <v>7312.4432000000006</v>
      </c>
      <c r="H18" s="42">
        <v>0.11</v>
      </c>
      <c r="I18" s="38">
        <v>2</v>
      </c>
      <c r="J18" s="38" t="s">
        <v>91</v>
      </c>
      <c r="K18" s="38" t="s">
        <v>92</v>
      </c>
      <c r="L18" s="39">
        <v>46158</v>
      </c>
      <c r="M18" s="38">
        <f t="shared" si="2"/>
        <v>77</v>
      </c>
      <c r="N18" s="43">
        <v>99.160000000000011</v>
      </c>
      <c r="O18" s="44">
        <v>40</v>
      </c>
      <c r="P18" s="44">
        <v>28.333333333333332</v>
      </c>
      <c r="Q18" s="44">
        <v>71</v>
      </c>
      <c r="R18" s="42">
        <v>0.13533333333333333</v>
      </c>
      <c r="S18" s="44">
        <v>82</v>
      </c>
      <c r="T18" s="45">
        <f t="shared" si="0"/>
        <v>7312.4432000000006</v>
      </c>
      <c r="U18" s="45">
        <f t="shared" si="3"/>
        <v>7251.0186771200015</v>
      </c>
    </row>
    <row r="19" spans="1:21">
      <c r="A19" s="5">
        <v>4</v>
      </c>
      <c r="B19" s="10">
        <v>22</v>
      </c>
      <c r="C19" s="38" t="s">
        <v>65</v>
      </c>
      <c r="D19" s="39">
        <v>46083</v>
      </c>
      <c r="E19" s="49">
        <v>12128</v>
      </c>
      <c r="F19" s="41">
        <v>71.876666666666665</v>
      </c>
      <c r="G19" s="40">
        <f t="shared" si="1"/>
        <v>8717.2021333333323</v>
      </c>
      <c r="H19" s="42">
        <v>0.11533333333333334</v>
      </c>
      <c r="I19" s="38">
        <v>2</v>
      </c>
      <c r="J19" s="38">
        <v>6</v>
      </c>
      <c r="K19" s="38" t="s">
        <v>93</v>
      </c>
      <c r="L19" s="39">
        <v>46127</v>
      </c>
      <c r="M19" s="38">
        <f t="shared" si="2"/>
        <v>44</v>
      </c>
      <c r="N19" s="43">
        <v>97.096666666666678</v>
      </c>
      <c r="O19" s="44">
        <v>39</v>
      </c>
      <c r="P19" s="44">
        <v>29.333333333333332</v>
      </c>
      <c r="Q19" s="44">
        <v>75</v>
      </c>
      <c r="R19" s="42">
        <v>0.10933333333333334</v>
      </c>
      <c r="S19" s="44">
        <v>77.333333333333329</v>
      </c>
      <c r="T19" s="45">
        <f t="shared" si="0"/>
        <v>8717.2021333333323</v>
      </c>
      <c r="U19" s="45">
        <f t="shared" si="3"/>
        <v>8464.1126980622212</v>
      </c>
    </row>
    <row r="20" spans="1:21">
      <c r="A20" s="5">
        <v>4</v>
      </c>
      <c r="B20" s="10">
        <v>23</v>
      </c>
      <c r="C20" s="38" t="s">
        <v>65</v>
      </c>
      <c r="D20" s="39">
        <v>46084</v>
      </c>
      <c r="E20" s="49">
        <v>12158</v>
      </c>
      <c r="F20" s="41">
        <v>74.981999999999999</v>
      </c>
      <c r="G20" s="40">
        <f t="shared" si="1"/>
        <v>9116.3115600000001</v>
      </c>
      <c r="H20" s="42">
        <v>0.12233333333333334</v>
      </c>
      <c r="I20" s="38">
        <v>2</v>
      </c>
      <c r="J20" s="38">
        <v>5</v>
      </c>
      <c r="K20" s="38" t="s">
        <v>94</v>
      </c>
      <c r="L20" s="39">
        <v>46127</v>
      </c>
      <c r="M20" s="38">
        <f t="shared" si="2"/>
        <v>43</v>
      </c>
      <c r="N20" s="43">
        <v>97.096666666666678</v>
      </c>
      <c r="O20" s="44">
        <v>39</v>
      </c>
      <c r="P20" s="44">
        <v>29.333333333333332</v>
      </c>
      <c r="Q20" s="44">
        <v>75</v>
      </c>
      <c r="R20" s="42">
        <v>0.10933333333333334</v>
      </c>
      <c r="S20" s="44">
        <v>77.333333333333329</v>
      </c>
      <c r="T20" s="45">
        <f t="shared" si="0"/>
        <v>9116.3115600000001</v>
      </c>
      <c r="U20" s="45">
        <f t="shared" si="3"/>
        <v>8851.6346477080006</v>
      </c>
    </row>
    <row r="21" spans="1:21">
      <c r="A21" s="5">
        <v>4</v>
      </c>
      <c r="B21" s="10">
        <v>24</v>
      </c>
      <c r="C21" s="38" t="s">
        <v>65</v>
      </c>
      <c r="D21" s="39">
        <v>46085</v>
      </c>
      <c r="E21" s="49">
        <v>10038</v>
      </c>
      <c r="F21" s="41">
        <v>76.866666666666674</v>
      </c>
      <c r="G21" s="40">
        <f t="shared" si="1"/>
        <v>7715.8760000000011</v>
      </c>
      <c r="H21" s="42">
        <v>0.11733333333333333</v>
      </c>
      <c r="I21" s="38">
        <v>2</v>
      </c>
      <c r="J21" s="38">
        <v>4</v>
      </c>
      <c r="K21" s="38" t="s">
        <v>94</v>
      </c>
      <c r="L21" s="39">
        <v>46127</v>
      </c>
      <c r="M21" s="38">
        <f t="shared" si="2"/>
        <v>42</v>
      </c>
      <c r="N21" s="43">
        <v>97.096666666666678</v>
      </c>
      <c r="O21" s="44">
        <v>39</v>
      </c>
      <c r="P21" s="44">
        <v>29.333333333333332</v>
      </c>
      <c r="Q21" s="44">
        <v>75</v>
      </c>
      <c r="R21" s="42">
        <v>0.10933333333333334</v>
      </c>
      <c r="S21" s="44">
        <v>77.333333333333329</v>
      </c>
      <c r="T21" s="45">
        <f t="shared" si="0"/>
        <v>7715.8760000000011</v>
      </c>
      <c r="U21" s="45">
        <f t="shared" si="3"/>
        <v>7491.8584001333347</v>
      </c>
    </row>
    <row r="22" spans="1:21" ht="14.5" customHeight="1">
      <c r="A22" s="5">
        <v>5</v>
      </c>
      <c r="B22" s="10">
        <v>15</v>
      </c>
      <c r="C22" s="38" t="s">
        <v>65</v>
      </c>
      <c r="D22" s="39">
        <v>46072</v>
      </c>
      <c r="E22" s="49">
        <v>3708</v>
      </c>
      <c r="F22" s="41">
        <v>73.023333333333326</v>
      </c>
      <c r="G22" s="40">
        <f t="shared" si="1"/>
        <v>2707.7051999999994</v>
      </c>
      <c r="H22" s="42">
        <v>0.115</v>
      </c>
      <c r="I22" s="38">
        <v>2</v>
      </c>
      <c r="J22" s="38">
        <v>12</v>
      </c>
      <c r="K22" s="38" t="s">
        <v>85</v>
      </c>
      <c r="L22" s="39">
        <v>46158</v>
      </c>
      <c r="M22" s="38">
        <f t="shared" si="2"/>
        <v>86</v>
      </c>
      <c r="N22" s="43">
        <v>98.61333333333333</v>
      </c>
      <c r="O22" s="44">
        <v>43</v>
      </c>
      <c r="P22" s="44">
        <v>31.666666666666668</v>
      </c>
      <c r="Q22" s="44">
        <v>73.666666666666671</v>
      </c>
      <c r="R22" s="42">
        <v>0.11599999999999999</v>
      </c>
      <c r="S22" s="44">
        <v>79.833333333333329</v>
      </c>
      <c r="T22" s="45">
        <f t="shared" si="0"/>
        <v>2707.7051999999994</v>
      </c>
      <c r="U22" s="45">
        <f t="shared" si="3"/>
        <v>2670.1583545599992</v>
      </c>
    </row>
    <row r="23" spans="1:21">
      <c r="A23" s="5">
        <v>5</v>
      </c>
      <c r="B23" s="10">
        <v>16</v>
      </c>
      <c r="C23" s="38" t="s">
        <v>65</v>
      </c>
      <c r="D23" s="39">
        <v>46076</v>
      </c>
      <c r="E23" s="49">
        <v>10374</v>
      </c>
      <c r="F23" s="41">
        <v>71.393333333333331</v>
      </c>
      <c r="G23" s="40">
        <f t="shared" si="1"/>
        <v>7406.344399999999</v>
      </c>
      <c r="H23" s="42">
        <v>0.105</v>
      </c>
      <c r="I23" s="38">
        <v>2</v>
      </c>
      <c r="J23" s="38">
        <v>12</v>
      </c>
      <c r="K23" s="38" t="s">
        <v>94</v>
      </c>
      <c r="L23" s="39">
        <v>46092</v>
      </c>
      <c r="M23" s="38">
        <f t="shared" si="2"/>
        <v>16</v>
      </c>
      <c r="N23" s="43">
        <v>90.616666666666674</v>
      </c>
      <c r="O23" s="44"/>
      <c r="P23" s="44"/>
      <c r="Q23" s="44"/>
      <c r="R23" s="42">
        <v>0.104</v>
      </c>
      <c r="S23" s="44"/>
      <c r="T23" s="45">
        <f t="shared" si="0"/>
        <v>7406.344399999999</v>
      </c>
      <c r="U23" s="45">
        <f t="shared" si="3"/>
        <v>6711.3824171333326</v>
      </c>
    </row>
    <row r="24" spans="1:21">
      <c r="A24" s="5">
        <v>5</v>
      </c>
      <c r="B24" s="10">
        <v>17</v>
      </c>
      <c r="C24" s="38" t="s">
        <v>65</v>
      </c>
      <c r="D24" s="39">
        <v>46077</v>
      </c>
      <c r="E24" s="49">
        <v>15858</v>
      </c>
      <c r="F24" s="41">
        <v>71.010000000000005</v>
      </c>
      <c r="G24" s="40">
        <f t="shared" si="1"/>
        <v>11260.765800000001</v>
      </c>
      <c r="H24" s="42">
        <v>0.111</v>
      </c>
      <c r="I24" s="38">
        <v>2</v>
      </c>
      <c r="J24" s="38">
        <v>12</v>
      </c>
      <c r="K24" s="38" t="s">
        <v>95</v>
      </c>
      <c r="L24" s="39">
        <v>46092</v>
      </c>
      <c r="M24" s="38">
        <f t="shared" si="2"/>
        <v>15</v>
      </c>
      <c r="N24" s="43">
        <v>89.936666666666667</v>
      </c>
      <c r="O24" s="44"/>
      <c r="P24" s="44"/>
      <c r="Q24" s="44"/>
      <c r="R24" s="42">
        <v>0.10566666666666667</v>
      </c>
      <c r="S24" s="44"/>
      <c r="T24" s="45">
        <f t="shared" si="0"/>
        <v>11260.765800000001</v>
      </c>
      <c r="U24" s="45">
        <f t="shared" si="3"/>
        <v>10127.55740166</v>
      </c>
    </row>
    <row r="25" spans="1:21">
      <c r="A25" s="5">
        <v>5</v>
      </c>
      <c r="B25" s="10">
        <v>18</v>
      </c>
      <c r="C25" s="38" t="s">
        <v>65</v>
      </c>
      <c r="D25" s="39">
        <v>46078</v>
      </c>
      <c r="E25" s="49">
        <v>14402</v>
      </c>
      <c r="F25" s="41">
        <v>74.656666666666666</v>
      </c>
      <c r="G25" s="40">
        <f t="shared" si="1"/>
        <v>10752.053133333333</v>
      </c>
      <c r="H25" s="42">
        <v>0.11133333333333334</v>
      </c>
      <c r="I25" s="38">
        <v>2</v>
      </c>
      <c r="J25" s="38">
        <v>10</v>
      </c>
      <c r="K25" s="38" t="s">
        <v>94</v>
      </c>
      <c r="L25" s="39">
        <v>46092</v>
      </c>
      <c r="M25" s="38">
        <f t="shared" si="2"/>
        <v>14</v>
      </c>
      <c r="N25" s="43">
        <v>88.536666666666676</v>
      </c>
      <c r="O25" s="44"/>
      <c r="P25" s="44"/>
      <c r="Q25" s="44"/>
      <c r="R25" s="42">
        <v>0.11499999999999999</v>
      </c>
      <c r="S25" s="44"/>
      <c r="T25" s="45">
        <f t="shared" si="0"/>
        <v>10752.053133333333</v>
      </c>
      <c r="U25" s="45">
        <f t="shared" si="3"/>
        <v>9519.5094424822237</v>
      </c>
    </row>
    <row r="26" spans="1:21">
      <c r="A26" s="5">
        <v>5</v>
      </c>
      <c r="B26" s="10">
        <v>19</v>
      </c>
      <c r="C26" s="38" t="s">
        <v>65</v>
      </c>
      <c r="D26" s="39">
        <v>46079</v>
      </c>
      <c r="E26" s="49">
        <v>11430</v>
      </c>
      <c r="F26" s="41">
        <v>71.606666666666669</v>
      </c>
      <c r="G26" s="40">
        <f t="shared" si="1"/>
        <v>8184.6420000000007</v>
      </c>
      <c r="H26" s="42">
        <v>0.108</v>
      </c>
      <c r="I26" s="38">
        <v>2</v>
      </c>
      <c r="J26" s="38">
        <v>9</v>
      </c>
      <c r="K26" s="38" t="s">
        <v>85</v>
      </c>
      <c r="L26" s="39">
        <v>46092</v>
      </c>
      <c r="M26" s="38">
        <f t="shared" si="2"/>
        <v>13</v>
      </c>
      <c r="N26" s="43">
        <v>91.136666666666656</v>
      </c>
      <c r="O26" s="44"/>
      <c r="P26" s="44"/>
      <c r="Q26" s="44"/>
      <c r="R26" s="42">
        <v>0.106</v>
      </c>
      <c r="S26" s="44"/>
      <c r="T26" s="45">
        <f t="shared" si="0"/>
        <v>8184.6420000000007</v>
      </c>
      <c r="U26" s="45">
        <f t="shared" si="3"/>
        <v>7459.2098974</v>
      </c>
    </row>
    <row r="27" spans="1:21">
      <c r="A27" s="5">
        <v>6</v>
      </c>
      <c r="B27" s="10">
        <v>24</v>
      </c>
      <c r="C27" s="38" t="s">
        <v>65</v>
      </c>
      <c r="D27" s="39">
        <v>46085</v>
      </c>
      <c r="E27" s="49">
        <v>4538</v>
      </c>
      <c r="F27" s="41">
        <v>72.623333333333335</v>
      </c>
      <c r="G27" s="40">
        <f t="shared" si="1"/>
        <v>3295.6468666666665</v>
      </c>
      <c r="H27" s="42">
        <v>0.121</v>
      </c>
      <c r="I27" s="38">
        <v>2</v>
      </c>
      <c r="J27" s="38">
        <v>2</v>
      </c>
      <c r="K27" s="38" t="s">
        <v>66</v>
      </c>
      <c r="L27" s="39">
        <v>46128</v>
      </c>
      <c r="M27" s="38">
        <f t="shared" si="2"/>
        <v>43</v>
      </c>
      <c r="N27" s="43">
        <v>98.926666666666677</v>
      </c>
      <c r="O27" s="44">
        <v>39.666666666666664</v>
      </c>
      <c r="P27" s="44">
        <v>28.333333333333332</v>
      </c>
      <c r="Q27" s="44">
        <v>71.333333333333329</v>
      </c>
      <c r="R27" s="42">
        <v>0.11266666666666668</v>
      </c>
      <c r="S27" s="44">
        <v>79.666666666666671</v>
      </c>
      <c r="T27" s="45">
        <f t="shared" si="0"/>
        <v>3295.6468666666665</v>
      </c>
      <c r="U27" s="45">
        <f t="shared" si="3"/>
        <v>3260.2735902977784</v>
      </c>
    </row>
    <row r="28" spans="1:21">
      <c r="A28" s="5">
        <v>6</v>
      </c>
      <c r="B28" s="10">
        <v>25</v>
      </c>
      <c r="C28" s="38" t="s">
        <v>65</v>
      </c>
      <c r="D28" s="39">
        <v>46086</v>
      </c>
      <c r="E28" s="49">
        <v>9020</v>
      </c>
      <c r="F28" s="41">
        <v>71.123333333333335</v>
      </c>
      <c r="G28" s="40">
        <f t="shared" si="1"/>
        <v>6415.3246666666664</v>
      </c>
      <c r="H28" s="42">
        <v>0.12166666666666666</v>
      </c>
      <c r="I28" s="38">
        <v>2</v>
      </c>
      <c r="J28" s="38">
        <v>2</v>
      </c>
      <c r="K28" s="38" t="s">
        <v>76</v>
      </c>
      <c r="L28" s="39">
        <v>46128</v>
      </c>
      <c r="M28" s="38">
        <f t="shared" si="2"/>
        <v>42</v>
      </c>
      <c r="N28" s="43">
        <v>97.243333333333339</v>
      </c>
      <c r="O28" s="44">
        <v>35.333333333333336</v>
      </c>
      <c r="P28" s="44">
        <v>26.666666666666668</v>
      </c>
      <c r="Q28" s="44">
        <v>75.333333333333329</v>
      </c>
      <c r="R28" s="42">
        <v>0.10833333333333334</v>
      </c>
      <c r="S28" s="44">
        <v>77.166666666666671</v>
      </c>
      <c r="T28" s="45">
        <f t="shared" si="0"/>
        <v>6415.3246666666664</v>
      </c>
      <c r="U28" s="45">
        <f t="shared" si="3"/>
        <v>6238.4755500222218</v>
      </c>
    </row>
    <row r="29" spans="1:21">
      <c r="A29" s="5">
        <v>6</v>
      </c>
      <c r="B29" s="10">
        <v>26</v>
      </c>
      <c r="C29" s="38" t="s">
        <v>65</v>
      </c>
      <c r="D29" s="39">
        <v>46087</v>
      </c>
      <c r="E29" s="49">
        <v>15316</v>
      </c>
      <c r="F29" s="41">
        <v>72.463333333333324</v>
      </c>
      <c r="G29" s="40">
        <f t="shared" si="1"/>
        <v>11098.484133333332</v>
      </c>
      <c r="H29" s="42">
        <v>0.13233333333333333</v>
      </c>
      <c r="I29" s="38">
        <v>2</v>
      </c>
      <c r="J29" s="38" t="s">
        <v>96</v>
      </c>
      <c r="K29" s="38" t="s">
        <v>97</v>
      </c>
      <c r="L29" s="39">
        <v>46128</v>
      </c>
      <c r="M29" s="38">
        <f t="shared" si="2"/>
        <v>41</v>
      </c>
      <c r="N29" s="43">
        <v>97.106666666666669</v>
      </c>
      <c r="O29" s="44">
        <v>38.333333333333336</v>
      </c>
      <c r="P29" s="44">
        <v>28.666666666666668</v>
      </c>
      <c r="Q29" s="44">
        <v>74.666666666666671</v>
      </c>
      <c r="R29" s="42">
        <v>0.11133333333333334</v>
      </c>
      <c r="S29" s="44">
        <v>78.166666666666671</v>
      </c>
      <c r="T29" s="45">
        <f t="shared" si="0"/>
        <v>11098.484133333332</v>
      </c>
      <c r="U29" s="45">
        <f t="shared" si="3"/>
        <v>10777.367992408888</v>
      </c>
    </row>
    <row r="30" spans="1:21">
      <c r="A30" s="5">
        <v>6</v>
      </c>
      <c r="B30" s="10">
        <v>27</v>
      </c>
      <c r="C30" s="38" t="s">
        <v>65</v>
      </c>
      <c r="D30" s="39">
        <v>46090</v>
      </c>
      <c r="E30" s="49">
        <v>16102</v>
      </c>
      <c r="F30" s="41">
        <v>70.64</v>
      </c>
      <c r="G30" s="40">
        <f t="shared" si="1"/>
        <v>11374.452800000001</v>
      </c>
      <c r="H30" s="42">
        <v>0.11866666666666666</v>
      </c>
      <c r="I30" s="38">
        <v>2</v>
      </c>
      <c r="J30" s="38" t="s">
        <v>98</v>
      </c>
      <c r="K30" s="38" t="s">
        <v>99</v>
      </c>
      <c r="L30" s="39">
        <v>46128</v>
      </c>
      <c r="M30" s="38">
        <f t="shared" si="2"/>
        <v>38</v>
      </c>
      <c r="N30" s="43">
        <v>96.49666666666667</v>
      </c>
      <c r="O30" s="44">
        <v>38.333333333333336</v>
      </c>
      <c r="P30" s="44">
        <v>29</v>
      </c>
      <c r="Q30" s="44">
        <v>75.333333333333329</v>
      </c>
      <c r="R30" s="42">
        <v>0.10833333333333334</v>
      </c>
      <c r="S30" s="44">
        <v>77.333333333333329</v>
      </c>
      <c r="T30" s="45">
        <f t="shared" si="0"/>
        <v>11374.452800000001</v>
      </c>
      <c r="U30" s="45">
        <f t="shared" si="3"/>
        <v>10975.967803573334</v>
      </c>
    </row>
    <row r="31" spans="1:21">
      <c r="A31" s="5">
        <v>6</v>
      </c>
      <c r="B31" s="10">
        <v>28</v>
      </c>
      <c r="C31" s="38" t="s">
        <v>65</v>
      </c>
      <c r="D31" s="39">
        <v>46091</v>
      </c>
      <c r="E31" s="49">
        <v>6926</v>
      </c>
      <c r="F31" s="41">
        <v>74.016666666666666</v>
      </c>
      <c r="G31" s="40">
        <f t="shared" si="1"/>
        <v>5126.3943333333336</v>
      </c>
      <c r="H31" s="42">
        <v>0.11566666666666668</v>
      </c>
      <c r="I31" s="38">
        <v>2</v>
      </c>
      <c r="J31" s="38" t="s">
        <v>100</v>
      </c>
      <c r="K31" s="38" t="s">
        <v>101</v>
      </c>
      <c r="L31" s="39">
        <v>46132</v>
      </c>
      <c r="M31" s="38">
        <f t="shared" si="2"/>
        <v>41</v>
      </c>
      <c r="N31" s="43">
        <v>97.293333333333337</v>
      </c>
      <c r="O31" s="44">
        <v>38.333333333333336</v>
      </c>
      <c r="P31" s="44">
        <v>29</v>
      </c>
      <c r="Q31" s="44">
        <v>75.666666666666671</v>
      </c>
      <c r="R31" s="42">
        <v>0.111</v>
      </c>
      <c r="S31" s="44">
        <v>311.33333333333331</v>
      </c>
      <c r="T31" s="45">
        <f t="shared" si="0"/>
        <v>5126.3943333333336</v>
      </c>
      <c r="U31" s="45">
        <f t="shared" si="3"/>
        <v>4987.639926711111</v>
      </c>
    </row>
    <row r="32" spans="1:21">
      <c r="A32" s="5">
        <v>7</v>
      </c>
      <c r="B32" s="10">
        <v>29</v>
      </c>
      <c r="C32" s="38" t="s">
        <v>65</v>
      </c>
      <c r="D32" s="39">
        <v>46091</v>
      </c>
      <c r="E32" s="49">
        <v>6088</v>
      </c>
      <c r="F32" s="41">
        <v>74.123333333333335</v>
      </c>
      <c r="G32" s="40">
        <f t="shared" si="1"/>
        <v>4512.6285333333335</v>
      </c>
      <c r="H32" s="42">
        <v>0.11766666666666666</v>
      </c>
      <c r="I32" s="38">
        <v>2</v>
      </c>
      <c r="J32" s="38">
        <v>10</v>
      </c>
      <c r="K32" s="38" t="s">
        <v>72</v>
      </c>
      <c r="L32" s="39">
        <v>46158</v>
      </c>
      <c r="M32" s="38">
        <f t="shared" si="2"/>
        <v>67</v>
      </c>
      <c r="N32" s="43">
        <v>98.723333333333343</v>
      </c>
      <c r="O32" s="44">
        <v>44.666666666666664</v>
      </c>
      <c r="P32" s="44">
        <v>32.333333333333336</v>
      </c>
      <c r="Q32" s="44">
        <v>72.333333333333329</v>
      </c>
      <c r="R32" s="42"/>
      <c r="S32" s="44">
        <v>84.666666666666671</v>
      </c>
      <c r="T32" s="45">
        <f t="shared" si="0"/>
        <v>4512.6285333333335</v>
      </c>
      <c r="U32" s="45">
        <f t="shared" si="3"/>
        <v>4455.0173090577782</v>
      </c>
    </row>
    <row r="33" spans="1:21">
      <c r="A33" s="5">
        <v>7</v>
      </c>
      <c r="B33" s="10">
        <v>30</v>
      </c>
      <c r="C33" s="38" t="s">
        <v>65</v>
      </c>
      <c r="D33" s="39">
        <v>46092</v>
      </c>
      <c r="E33" s="49">
        <v>12468</v>
      </c>
      <c r="F33" s="41">
        <v>73.646666666666661</v>
      </c>
      <c r="G33" s="40">
        <f t="shared" si="1"/>
        <v>9182.2663999999986</v>
      </c>
      <c r="H33" s="42">
        <v>0.11033333333333334</v>
      </c>
      <c r="I33" s="38">
        <v>2</v>
      </c>
      <c r="J33" s="38" t="s">
        <v>102</v>
      </c>
      <c r="K33" s="38" t="s">
        <v>74</v>
      </c>
      <c r="L33" s="39">
        <v>46127</v>
      </c>
      <c r="M33" s="38">
        <f t="shared" si="2"/>
        <v>35</v>
      </c>
      <c r="N33" s="43">
        <v>96.953333333333333</v>
      </c>
      <c r="O33" s="44">
        <v>39.333333333333336</v>
      </c>
      <c r="P33" s="44">
        <v>29</v>
      </c>
      <c r="Q33" s="44">
        <v>73.666666666666671</v>
      </c>
      <c r="R33" s="42">
        <v>0.106</v>
      </c>
      <c r="S33" s="44">
        <v>77</v>
      </c>
      <c r="T33" s="45">
        <f t="shared" si="0"/>
        <v>9182.2663999999986</v>
      </c>
      <c r="U33" s="45">
        <f t="shared" si="3"/>
        <v>8902.5133503466659</v>
      </c>
    </row>
    <row r="34" spans="1:21">
      <c r="A34" s="5">
        <v>7</v>
      </c>
      <c r="B34" s="10">
        <v>31</v>
      </c>
      <c r="C34" s="38" t="s">
        <v>65</v>
      </c>
      <c r="D34" s="39">
        <v>46093</v>
      </c>
      <c r="E34" s="49">
        <v>13328</v>
      </c>
      <c r="F34" s="41">
        <v>72.226666666666674</v>
      </c>
      <c r="G34" s="40">
        <f t="shared" si="1"/>
        <v>9626.3701333333338</v>
      </c>
      <c r="H34" s="42"/>
      <c r="I34" s="38">
        <v>2</v>
      </c>
      <c r="J34" s="38" t="s">
        <v>102</v>
      </c>
      <c r="K34" s="38" t="s">
        <v>74</v>
      </c>
      <c r="L34" s="39">
        <v>46127</v>
      </c>
      <c r="M34" s="38">
        <f t="shared" si="2"/>
        <v>34</v>
      </c>
      <c r="N34" s="43">
        <v>96.839999999999989</v>
      </c>
      <c r="O34" s="44">
        <v>39.666666666666664</v>
      </c>
      <c r="P34" s="44">
        <v>29.333333333333332</v>
      </c>
      <c r="Q34" s="44">
        <v>74</v>
      </c>
      <c r="R34" s="42">
        <v>0.115</v>
      </c>
      <c r="S34" s="44">
        <v>76.666666666666671</v>
      </c>
      <c r="T34" s="45">
        <f t="shared" si="0"/>
        <v>9626.3701333333338</v>
      </c>
      <c r="U34" s="45">
        <f t="shared" si="3"/>
        <v>9322.1768371199996</v>
      </c>
    </row>
    <row r="35" spans="1:21">
      <c r="A35" s="5">
        <v>7</v>
      </c>
      <c r="B35" s="10">
        <v>32</v>
      </c>
      <c r="C35" s="38" t="s">
        <v>65</v>
      </c>
      <c r="D35" s="39">
        <v>46094</v>
      </c>
      <c r="E35" s="49">
        <v>14370</v>
      </c>
      <c r="F35" s="41">
        <v>72.096666666666678</v>
      </c>
      <c r="G35" s="40">
        <f t="shared" si="1"/>
        <v>10360.291000000003</v>
      </c>
      <c r="H35" s="42">
        <v>0.10566666666666667</v>
      </c>
      <c r="I35" s="38">
        <v>2</v>
      </c>
      <c r="J35" s="38" t="s">
        <v>103</v>
      </c>
      <c r="K35" s="38" t="s">
        <v>74</v>
      </c>
      <c r="L35" s="39">
        <v>46127</v>
      </c>
      <c r="M35" s="38">
        <f t="shared" si="2"/>
        <v>33</v>
      </c>
      <c r="N35" s="43">
        <v>96.839999999999989</v>
      </c>
      <c r="O35" s="44">
        <v>39.666666666666664</v>
      </c>
      <c r="P35" s="44">
        <v>29.333333333333332</v>
      </c>
      <c r="Q35" s="44">
        <v>74</v>
      </c>
      <c r="R35" s="42">
        <v>0.115</v>
      </c>
      <c r="S35" s="44">
        <v>76.666666666666671</v>
      </c>
      <c r="T35" s="45">
        <f t="shared" si="0"/>
        <v>10360.291000000003</v>
      </c>
      <c r="U35" s="45">
        <f t="shared" si="3"/>
        <v>10032.905804400001</v>
      </c>
    </row>
    <row r="36" spans="1:21">
      <c r="A36" s="5">
        <v>7</v>
      </c>
      <c r="B36" s="10">
        <v>33</v>
      </c>
      <c r="C36" s="38" t="s">
        <v>65</v>
      </c>
      <c r="D36" s="39">
        <v>46095</v>
      </c>
      <c r="E36" s="49">
        <v>5304</v>
      </c>
      <c r="F36" s="41">
        <v>73.813333333333333</v>
      </c>
      <c r="G36" s="40">
        <f t="shared" si="1"/>
        <v>3915.0591999999997</v>
      </c>
      <c r="H36" s="42">
        <v>0.12066666666666666</v>
      </c>
      <c r="I36" s="38">
        <v>2</v>
      </c>
      <c r="J36" s="38">
        <v>13</v>
      </c>
      <c r="K36" s="38" t="s">
        <v>75</v>
      </c>
      <c r="L36" s="39">
        <v>46127</v>
      </c>
      <c r="M36" s="38">
        <f t="shared" si="2"/>
        <v>32</v>
      </c>
      <c r="N36" s="43">
        <v>96.929999999999993</v>
      </c>
      <c r="O36" s="44">
        <v>38.666666666666664</v>
      </c>
      <c r="P36" s="44">
        <v>28.333333333333332</v>
      </c>
      <c r="Q36" s="44">
        <v>73.333333333333329</v>
      </c>
      <c r="R36" s="42">
        <v>0.106</v>
      </c>
      <c r="S36" s="44">
        <v>77.333333333333329</v>
      </c>
      <c r="T36" s="45">
        <f t="shared" si="0"/>
        <v>3915.0591999999997</v>
      </c>
      <c r="U36" s="45">
        <f t="shared" si="3"/>
        <v>3794.8668825599993</v>
      </c>
    </row>
    <row r="37" spans="1:21">
      <c r="A37" s="5">
        <v>8</v>
      </c>
      <c r="B37" s="10">
        <v>34</v>
      </c>
      <c r="C37" s="38" t="s">
        <v>65</v>
      </c>
      <c r="D37" s="39">
        <v>46113</v>
      </c>
      <c r="E37" s="49">
        <v>2291</v>
      </c>
      <c r="F37" s="41">
        <v>72.906666666666666</v>
      </c>
      <c r="G37" s="40">
        <f t="shared" si="1"/>
        <v>1670.2917333333335</v>
      </c>
      <c r="H37" s="42">
        <v>0.13466666666666668</v>
      </c>
      <c r="I37" s="38">
        <v>1</v>
      </c>
      <c r="J37" s="38">
        <v>12</v>
      </c>
      <c r="K37" s="38" t="s">
        <v>85</v>
      </c>
      <c r="L37" s="39">
        <v>46158</v>
      </c>
      <c r="M37" s="38">
        <f t="shared" si="2"/>
        <v>45</v>
      </c>
      <c r="N37" s="43">
        <v>97.706666666666663</v>
      </c>
      <c r="O37" s="44">
        <v>42.666666666666664</v>
      </c>
      <c r="P37" s="44">
        <v>30.666666666666668</v>
      </c>
      <c r="Q37" s="44">
        <v>72</v>
      </c>
      <c r="R37" s="42"/>
      <c r="S37" s="44">
        <v>81.5</v>
      </c>
      <c r="T37" s="45">
        <f t="shared" si="0"/>
        <v>1670.2917333333335</v>
      </c>
      <c r="U37" s="45">
        <f t="shared" si="3"/>
        <v>1631.9863762488887</v>
      </c>
    </row>
    <row r="38" spans="1:21">
      <c r="A38" s="5">
        <v>8</v>
      </c>
      <c r="B38" s="10">
        <v>35</v>
      </c>
      <c r="C38" s="38" t="s">
        <v>65</v>
      </c>
      <c r="D38" s="39">
        <v>46114</v>
      </c>
      <c r="E38" s="49">
        <v>17316</v>
      </c>
      <c r="F38" s="41">
        <v>73.25</v>
      </c>
      <c r="G38" s="40">
        <f t="shared" si="1"/>
        <v>12683.97</v>
      </c>
      <c r="H38" s="42">
        <v>0.10199999999999999</v>
      </c>
      <c r="I38" s="38">
        <v>1</v>
      </c>
      <c r="J38" s="38">
        <v>12</v>
      </c>
      <c r="K38" s="38" t="s">
        <v>104</v>
      </c>
      <c r="L38" s="39">
        <v>46129</v>
      </c>
      <c r="M38" s="38">
        <f t="shared" si="2"/>
        <v>15</v>
      </c>
      <c r="N38" s="43">
        <v>87.87</v>
      </c>
      <c r="O38" s="44">
        <v>30.333333333333332</v>
      </c>
      <c r="P38" s="44">
        <v>21.666666666666668</v>
      </c>
      <c r="Q38" s="44">
        <v>71.333333333333329</v>
      </c>
      <c r="R38" s="42">
        <v>0.11533333333333333</v>
      </c>
      <c r="S38" s="44">
        <v>71.333333333333329</v>
      </c>
      <c r="T38" s="45">
        <f t="shared" si="0"/>
        <v>12683.97</v>
      </c>
      <c r="U38" s="45">
        <f t="shared" si="3"/>
        <v>11145.404439</v>
      </c>
    </row>
    <row r="39" spans="1:21">
      <c r="A39" s="5">
        <v>8</v>
      </c>
      <c r="B39" s="10">
        <v>36</v>
      </c>
      <c r="C39" s="38" t="s">
        <v>65</v>
      </c>
      <c r="D39" s="39">
        <v>46116</v>
      </c>
      <c r="E39" s="49">
        <v>11557</v>
      </c>
      <c r="F39" s="41">
        <v>69.75333333333333</v>
      </c>
      <c r="G39" s="40">
        <f t="shared" si="1"/>
        <v>8061.3927333333331</v>
      </c>
      <c r="H39" s="42">
        <v>0.108</v>
      </c>
      <c r="I39" s="38">
        <v>1</v>
      </c>
      <c r="J39" s="38" t="s">
        <v>105</v>
      </c>
      <c r="K39" s="38" t="s">
        <v>104</v>
      </c>
      <c r="L39" s="39">
        <v>46132</v>
      </c>
      <c r="M39" s="38">
        <f t="shared" si="2"/>
        <v>16</v>
      </c>
      <c r="N39" s="43">
        <v>92.18</v>
      </c>
      <c r="O39" s="44">
        <v>38</v>
      </c>
      <c r="P39" s="44">
        <v>30.666666666666668</v>
      </c>
      <c r="Q39" s="44">
        <v>80.666666666666671</v>
      </c>
      <c r="R39" s="42">
        <v>0.11133333333333334</v>
      </c>
      <c r="S39" s="44">
        <v>69.5</v>
      </c>
      <c r="T39" s="45">
        <f t="shared" si="0"/>
        <v>8061.3927333333331</v>
      </c>
      <c r="U39" s="45">
        <f t="shared" si="3"/>
        <v>7430.9918215866664</v>
      </c>
    </row>
    <row r="40" spans="1:21">
      <c r="A40" s="5">
        <v>8</v>
      </c>
      <c r="B40" s="10">
        <v>37</v>
      </c>
      <c r="C40" s="38" t="s">
        <v>65</v>
      </c>
      <c r="D40" s="39">
        <v>46118</v>
      </c>
      <c r="E40" s="49">
        <v>26278</v>
      </c>
      <c r="F40" s="41">
        <v>69.45</v>
      </c>
      <c r="G40" s="40">
        <f t="shared" si="1"/>
        <v>18250.071</v>
      </c>
      <c r="H40" s="42">
        <v>0.11799999999999999</v>
      </c>
      <c r="I40" s="38">
        <v>1</v>
      </c>
      <c r="J40" s="38" t="s">
        <v>106</v>
      </c>
      <c r="K40" s="38" t="s">
        <v>107</v>
      </c>
      <c r="L40" s="39">
        <v>46132</v>
      </c>
      <c r="M40" s="38">
        <f t="shared" si="2"/>
        <v>14</v>
      </c>
      <c r="N40" s="43">
        <v>91.31</v>
      </c>
      <c r="O40" s="44">
        <v>36.666666666666664</v>
      </c>
      <c r="P40" s="44">
        <v>28.666666666666668</v>
      </c>
      <c r="Q40" s="44">
        <v>78</v>
      </c>
      <c r="R40" s="42">
        <v>0.11233333333333334</v>
      </c>
      <c r="S40" s="44">
        <v>68</v>
      </c>
      <c r="T40" s="45">
        <f t="shared" si="0"/>
        <v>18250.071</v>
      </c>
      <c r="U40" s="45">
        <f t="shared" si="3"/>
        <v>16664.139830100001</v>
      </c>
    </row>
    <row r="41" spans="1:21">
      <c r="A41" s="5">
        <v>8</v>
      </c>
      <c r="B41" s="10">
        <v>38</v>
      </c>
      <c r="C41" s="38" t="s">
        <v>65</v>
      </c>
      <c r="D41" s="39">
        <v>46119</v>
      </c>
      <c r="E41" s="49">
        <v>13120</v>
      </c>
      <c r="F41" s="41">
        <v>76.209999999999994</v>
      </c>
      <c r="G41" s="40">
        <f t="shared" si="1"/>
        <v>9998.7520000000004</v>
      </c>
      <c r="H41" s="42">
        <v>0.126</v>
      </c>
      <c r="I41" s="38">
        <v>3</v>
      </c>
      <c r="J41" s="38">
        <v>1</v>
      </c>
      <c r="K41" s="38" t="s">
        <v>108</v>
      </c>
      <c r="L41" s="39">
        <v>46133</v>
      </c>
      <c r="M41" s="38">
        <f t="shared" si="2"/>
        <v>14</v>
      </c>
      <c r="N41" s="43">
        <v>92.44</v>
      </c>
      <c r="O41" s="44">
        <v>36.666666666666664</v>
      </c>
      <c r="P41" s="44">
        <v>28.333333333333332</v>
      </c>
      <c r="Q41" s="44">
        <v>77</v>
      </c>
      <c r="R41" s="42">
        <v>0.11166666666666668</v>
      </c>
      <c r="S41" s="44">
        <v>72.166666666666671</v>
      </c>
      <c r="T41" s="45">
        <f t="shared" si="0"/>
        <v>9998.7520000000004</v>
      </c>
      <c r="U41" s="45">
        <f t="shared" si="3"/>
        <v>9242.8463487999998</v>
      </c>
    </row>
    <row r="42" spans="1:21">
      <c r="A42" s="5">
        <v>8</v>
      </c>
      <c r="B42" s="10">
        <v>39</v>
      </c>
      <c r="C42" s="38" t="s">
        <v>65</v>
      </c>
      <c r="D42" s="39">
        <v>46120</v>
      </c>
      <c r="E42" s="49">
        <v>11403</v>
      </c>
      <c r="F42" s="41">
        <v>77.203333333333333</v>
      </c>
      <c r="G42" s="40">
        <f t="shared" si="1"/>
        <v>8803.4961000000003</v>
      </c>
      <c r="H42" s="42"/>
      <c r="I42" s="38">
        <v>3</v>
      </c>
      <c r="J42" s="38">
        <v>1</v>
      </c>
      <c r="K42" s="38" t="s">
        <v>94</v>
      </c>
      <c r="L42" s="39">
        <v>46134</v>
      </c>
      <c r="M42" s="38">
        <f t="shared" si="2"/>
        <v>14</v>
      </c>
      <c r="N42" s="43">
        <v>92.326666666666668</v>
      </c>
      <c r="O42" s="44">
        <v>37</v>
      </c>
      <c r="P42" s="44">
        <v>28.333333333333332</v>
      </c>
      <c r="Q42" s="44">
        <v>76.333333333333329</v>
      </c>
      <c r="R42" s="42">
        <v>0.11166666666666668</v>
      </c>
      <c r="S42" s="44">
        <v>71.166666666666671</v>
      </c>
      <c r="T42" s="45">
        <f t="shared" si="0"/>
        <v>8803.4961000000003</v>
      </c>
      <c r="U42" s="45">
        <f t="shared" si="3"/>
        <v>8127.9744992600008</v>
      </c>
    </row>
    <row r="43" spans="1:21">
      <c r="A43" s="5">
        <v>9</v>
      </c>
      <c r="B43" s="10">
        <v>40</v>
      </c>
      <c r="C43" s="38" t="s">
        <v>65</v>
      </c>
      <c r="D43" s="39">
        <v>46155</v>
      </c>
      <c r="E43" s="49">
        <v>13836</v>
      </c>
      <c r="F43" s="41">
        <v>75.813333333333333</v>
      </c>
      <c r="G43" s="40">
        <f t="shared" si="1"/>
        <v>10489.532800000001</v>
      </c>
      <c r="H43" s="42">
        <v>0.10366666666666667</v>
      </c>
      <c r="I43" s="38">
        <v>1</v>
      </c>
      <c r="J43" s="38">
        <v>8</v>
      </c>
      <c r="K43" s="38" t="s">
        <v>94</v>
      </c>
      <c r="L43" s="39">
        <v>46175</v>
      </c>
      <c r="M43" s="38">
        <f t="shared" si="2"/>
        <v>20</v>
      </c>
      <c r="N43" s="43">
        <v>94.18</v>
      </c>
      <c r="O43" s="44">
        <v>36.666666666666664</v>
      </c>
      <c r="P43" s="44">
        <v>27.333333333333332</v>
      </c>
      <c r="Q43" s="44">
        <v>74.599999999999994</v>
      </c>
      <c r="R43" s="42">
        <v>0.10866666666666668</v>
      </c>
      <c r="S43" s="44">
        <v>70.333333333333329</v>
      </c>
      <c r="T43" s="45">
        <f t="shared" si="0"/>
        <v>10489.532800000001</v>
      </c>
      <c r="U43" s="45">
        <f t="shared" si="3"/>
        <v>9879.0419910400014</v>
      </c>
    </row>
    <row r="44" spans="1:21">
      <c r="A44" s="5">
        <v>9</v>
      </c>
      <c r="B44" s="10">
        <v>41</v>
      </c>
      <c r="C44" s="38" t="s">
        <v>65</v>
      </c>
      <c r="D44" s="39">
        <v>46195</v>
      </c>
      <c r="E44" s="49">
        <v>18442</v>
      </c>
      <c r="F44" s="41">
        <v>73.49666666666667</v>
      </c>
      <c r="G44" s="40">
        <f t="shared" si="1"/>
        <v>13554.255266666667</v>
      </c>
      <c r="H44" s="42">
        <v>0.10266666666666667</v>
      </c>
      <c r="I44" s="38">
        <v>2</v>
      </c>
      <c r="J44" s="38">
        <v>8</v>
      </c>
      <c r="K44" s="38" t="s">
        <v>109</v>
      </c>
      <c r="L44" s="39">
        <v>46209</v>
      </c>
      <c r="M44" s="38">
        <f t="shared" si="2"/>
        <v>14</v>
      </c>
      <c r="N44" s="43">
        <v>93.324887520088296</v>
      </c>
      <c r="O44" s="44">
        <v>37.333333333333336</v>
      </c>
      <c r="P44" s="44">
        <v>28</v>
      </c>
      <c r="Q44" s="44">
        <v>75</v>
      </c>
      <c r="R44" s="42">
        <v>0.10666666666666667</v>
      </c>
      <c r="S44" s="44">
        <v>70.833333333333329</v>
      </c>
      <c r="T44" s="45">
        <f t="shared" si="0"/>
        <v>13554.255266666667</v>
      </c>
      <c r="U44" s="45">
        <f t="shared" si="3"/>
        <v>12649.493481802312</v>
      </c>
    </row>
    <row r="45" spans="1:21">
      <c r="A45" s="5">
        <v>9</v>
      </c>
      <c r="B45" s="10">
        <v>42</v>
      </c>
      <c r="C45" s="38" t="s">
        <v>65</v>
      </c>
      <c r="D45" s="39">
        <v>46196</v>
      </c>
      <c r="E45" s="49">
        <v>18289</v>
      </c>
      <c r="F45" s="41">
        <v>71.44</v>
      </c>
      <c r="G45" s="40">
        <f t="shared" si="1"/>
        <v>13065.661599999999</v>
      </c>
      <c r="H45" s="42">
        <v>0.10633333333333334</v>
      </c>
      <c r="I45" s="38">
        <v>3</v>
      </c>
      <c r="J45" s="38">
        <v>8</v>
      </c>
      <c r="K45" s="38" t="s">
        <v>85</v>
      </c>
      <c r="L45" s="39">
        <v>46210</v>
      </c>
      <c r="M45" s="38">
        <f t="shared" si="2"/>
        <v>14</v>
      </c>
      <c r="N45" s="43">
        <v>92.482487795464593</v>
      </c>
      <c r="O45" s="44">
        <v>38.333333333333336</v>
      </c>
      <c r="P45" s="44">
        <v>29.666666666666668</v>
      </c>
      <c r="Q45" s="44">
        <v>77.333333333333329</v>
      </c>
      <c r="R45" s="42">
        <v>0.10466666666666667</v>
      </c>
      <c r="S45" s="44">
        <v>73.666666666666671</v>
      </c>
      <c r="T45" s="45">
        <f t="shared" si="0"/>
        <v>13065.661599999999</v>
      </c>
      <c r="U45" s="45">
        <f t="shared" si="3"/>
        <v>12083.448894616704</v>
      </c>
    </row>
    <row r="46" spans="1:21">
      <c r="A46" s="5">
        <v>10</v>
      </c>
      <c r="B46" s="10">
        <v>43</v>
      </c>
      <c r="C46" s="38" t="s">
        <v>65</v>
      </c>
      <c r="D46" s="39">
        <v>46196</v>
      </c>
      <c r="E46" s="49">
        <v>1730</v>
      </c>
      <c r="F46" s="41">
        <v>71.813333333333333</v>
      </c>
      <c r="G46" s="40">
        <f t="shared" si="1"/>
        <v>1242.3706666666667</v>
      </c>
      <c r="H46" s="42">
        <v>0.11033333333333334</v>
      </c>
      <c r="I46" s="38">
        <v>1</v>
      </c>
      <c r="J46" s="38">
        <v>7</v>
      </c>
      <c r="K46" s="38" t="s">
        <v>85</v>
      </c>
      <c r="L46" s="39">
        <v>46211</v>
      </c>
      <c r="M46" s="38">
        <f t="shared" si="2"/>
        <v>15</v>
      </c>
      <c r="N46" s="43">
        <v>90.512841266106264</v>
      </c>
      <c r="O46" s="44">
        <v>38.333333333333336</v>
      </c>
      <c r="P46" s="44">
        <v>28</v>
      </c>
      <c r="Q46" s="44">
        <v>73.333333333333329</v>
      </c>
      <c r="R46" s="42">
        <v>6.4000000000000001E-2</v>
      </c>
      <c r="S46" s="44">
        <v>67.666666666666671</v>
      </c>
      <c r="T46" s="45">
        <f t="shared" si="0"/>
        <v>1242.3706666666667</v>
      </c>
      <c r="U46" s="45">
        <f t="shared" si="3"/>
        <v>1124.5049894566662</v>
      </c>
    </row>
    <row r="47" spans="1:21">
      <c r="A47" s="5">
        <v>10</v>
      </c>
      <c r="B47" s="10">
        <v>44</v>
      </c>
      <c r="C47" s="38" t="s">
        <v>65</v>
      </c>
      <c r="D47" s="39">
        <v>46197</v>
      </c>
      <c r="E47" s="49">
        <v>18361</v>
      </c>
      <c r="F47" s="41">
        <v>71.113333333333344</v>
      </c>
      <c r="G47" s="40">
        <f t="shared" si="1"/>
        <v>13057.119133333335</v>
      </c>
      <c r="H47" s="42">
        <v>0.11466666666666668</v>
      </c>
      <c r="I47" s="38">
        <v>1</v>
      </c>
      <c r="J47" s="38">
        <v>7</v>
      </c>
      <c r="K47" s="38" t="s">
        <v>93</v>
      </c>
      <c r="L47" s="39">
        <v>46211</v>
      </c>
      <c r="M47" s="38">
        <f t="shared" si="2"/>
        <v>14</v>
      </c>
      <c r="N47" s="43">
        <v>91.426065772621669</v>
      </c>
      <c r="O47" s="44">
        <v>38.416666666666671</v>
      </c>
      <c r="P47" s="44">
        <v>28</v>
      </c>
      <c r="Q47" s="44">
        <v>73</v>
      </c>
      <c r="R47" s="42">
        <v>7.0583333333333331E-2</v>
      </c>
      <c r="S47" s="44">
        <v>70.541666666666671</v>
      </c>
      <c r="T47" s="45">
        <f t="shared" si="0"/>
        <v>13057.119133333335</v>
      </c>
      <c r="U47" s="45">
        <f t="shared" si="3"/>
        <v>11937.610326850903</v>
      </c>
    </row>
    <row r="48" spans="1:21">
      <c r="A48" s="5">
        <v>10</v>
      </c>
      <c r="B48" s="10">
        <v>45</v>
      </c>
      <c r="C48" s="38" t="s">
        <v>65</v>
      </c>
      <c r="D48" s="39">
        <v>46198</v>
      </c>
      <c r="E48" s="49">
        <v>19375.5</v>
      </c>
      <c r="F48" s="41">
        <v>71.313333333333333</v>
      </c>
      <c r="G48" s="40">
        <f t="shared" si="1"/>
        <v>13817.314899999999</v>
      </c>
      <c r="H48" s="42">
        <v>0.11599999999999999</v>
      </c>
      <c r="I48" s="38">
        <v>2</v>
      </c>
      <c r="J48" s="38">
        <v>7</v>
      </c>
      <c r="K48" s="38" t="s">
        <v>85</v>
      </c>
      <c r="L48" s="39">
        <v>46212</v>
      </c>
      <c r="M48" s="38">
        <f t="shared" si="2"/>
        <v>14</v>
      </c>
      <c r="N48" s="43">
        <v>92.55637667228838</v>
      </c>
      <c r="O48" s="44">
        <v>38.666666666666664</v>
      </c>
      <c r="P48" s="44">
        <v>29.666666666666668</v>
      </c>
      <c r="Q48" s="44">
        <v>76.666666666666671</v>
      </c>
      <c r="R48" s="42">
        <v>8.1666666666666665E-2</v>
      </c>
      <c r="S48" s="44">
        <v>73.833333333333329</v>
      </c>
      <c r="T48" s="45">
        <f t="shared" si="0"/>
        <v>13817.314899999999</v>
      </c>
      <c r="U48" s="45">
        <f t="shared" si="3"/>
        <v>12788.806024840225</v>
      </c>
    </row>
    <row r="49" spans="1:21">
      <c r="A49" s="5">
        <v>10</v>
      </c>
      <c r="B49" s="10">
        <v>46</v>
      </c>
      <c r="C49" s="38" t="s">
        <v>65</v>
      </c>
      <c r="D49" s="39">
        <v>46199</v>
      </c>
      <c r="E49" s="49">
        <v>8070</v>
      </c>
      <c r="F49" s="41">
        <v>73.010000000000005</v>
      </c>
      <c r="G49" s="40">
        <f t="shared" si="1"/>
        <v>5891.9070000000011</v>
      </c>
      <c r="H49" s="42">
        <v>0.11966666666666666</v>
      </c>
      <c r="I49" s="38">
        <v>2</v>
      </c>
      <c r="J49" s="38">
        <v>7</v>
      </c>
      <c r="K49" s="38" t="s">
        <v>109</v>
      </c>
      <c r="L49" s="39">
        <v>46213</v>
      </c>
      <c r="M49" s="38">
        <f t="shared" si="2"/>
        <v>14</v>
      </c>
      <c r="N49" s="43">
        <v>92.122203885985741</v>
      </c>
      <c r="O49" s="44">
        <v>38.333333333333336</v>
      </c>
      <c r="P49" s="44">
        <v>26.333333333333332</v>
      </c>
      <c r="Q49" s="44">
        <v>68.666666666666671</v>
      </c>
      <c r="R49" s="42">
        <v>7.2666666666666671E-2</v>
      </c>
      <c r="S49" s="44">
        <v>73</v>
      </c>
      <c r="T49" s="45">
        <f t="shared" si="0"/>
        <v>5891.9070000000011</v>
      </c>
      <c r="U49" s="45">
        <f t="shared" si="3"/>
        <v>5427.7545793126665</v>
      </c>
    </row>
    <row r="50" spans="1:21">
      <c r="A50" s="5">
        <v>11</v>
      </c>
      <c r="B50" s="10">
        <v>47</v>
      </c>
      <c r="C50" s="38" t="s">
        <v>65</v>
      </c>
      <c r="D50" s="39">
        <v>46199</v>
      </c>
      <c r="E50" s="49">
        <v>8141</v>
      </c>
      <c r="F50" s="41">
        <v>73.723333333333315</v>
      </c>
      <c r="G50" s="40">
        <f t="shared" si="1"/>
        <v>6001.8165666666646</v>
      </c>
      <c r="H50" s="42">
        <v>0.115</v>
      </c>
      <c r="I50" s="38">
        <v>1</v>
      </c>
      <c r="J50" s="38">
        <v>6</v>
      </c>
      <c r="K50" s="38" t="s">
        <v>85</v>
      </c>
      <c r="L50" s="39">
        <v>46213</v>
      </c>
      <c r="M50" s="38">
        <f t="shared" si="2"/>
        <v>14</v>
      </c>
      <c r="N50" s="43">
        <v>88.077170536153218</v>
      </c>
      <c r="O50" s="44">
        <v>37.333333333333336</v>
      </c>
      <c r="P50" s="44">
        <v>27.666666666666668</v>
      </c>
      <c r="Q50" s="44">
        <v>74</v>
      </c>
      <c r="R50" s="42">
        <v>6.6666666666666666E-2</v>
      </c>
      <c r="S50" s="44">
        <v>65.333333333333329</v>
      </c>
      <c r="T50" s="45">
        <f t="shared" si="0"/>
        <v>6001.8165666666646</v>
      </c>
      <c r="U50" s="45">
        <f t="shared" si="3"/>
        <v>5286.230212690094</v>
      </c>
    </row>
    <row r="51" spans="1:21">
      <c r="A51" s="5">
        <v>11</v>
      </c>
      <c r="B51" s="10">
        <v>48</v>
      </c>
      <c r="C51" s="38" t="s">
        <v>65</v>
      </c>
      <c r="D51" s="39">
        <v>46202</v>
      </c>
      <c r="E51" s="49">
        <v>25206</v>
      </c>
      <c r="F51" s="41">
        <v>73.05</v>
      </c>
      <c r="G51" s="40">
        <f t="shared" si="1"/>
        <v>18412.982999999997</v>
      </c>
      <c r="H51" s="42">
        <v>0.10133333333333333</v>
      </c>
      <c r="I51" s="38">
        <v>1</v>
      </c>
      <c r="J51" s="38">
        <v>6</v>
      </c>
      <c r="K51" s="38" t="s">
        <v>109</v>
      </c>
      <c r="L51" s="39">
        <v>46217</v>
      </c>
      <c r="M51" s="38">
        <f t="shared" si="2"/>
        <v>15</v>
      </c>
      <c r="N51" s="43">
        <v>89.202293412294409</v>
      </c>
      <c r="O51" s="44">
        <v>36.666666666666664</v>
      </c>
      <c r="P51" s="44">
        <v>27.666666666666668</v>
      </c>
      <c r="Q51" s="44">
        <v>75.666666666666671</v>
      </c>
      <c r="R51" s="42">
        <v>9.3000000000000013E-2</v>
      </c>
      <c r="S51" s="44">
        <v>65.833333333333329</v>
      </c>
      <c r="T51" s="45">
        <f t="shared" si="0"/>
        <v>18412.982999999997</v>
      </c>
      <c r="U51" s="45">
        <f t="shared" si="3"/>
        <v>16424.803121615885</v>
      </c>
    </row>
    <row r="52" spans="1:21">
      <c r="A52" s="5">
        <v>11</v>
      </c>
      <c r="B52" s="10">
        <v>49</v>
      </c>
      <c r="C52" s="38" t="s">
        <v>65</v>
      </c>
      <c r="D52" s="39">
        <v>46203</v>
      </c>
      <c r="E52" s="49">
        <v>17975.5</v>
      </c>
      <c r="F52" s="41">
        <v>71.3</v>
      </c>
      <c r="G52" s="40">
        <f t="shared" si="1"/>
        <v>12816.531499999999</v>
      </c>
      <c r="H52" s="42"/>
      <c r="I52" s="38">
        <v>2</v>
      </c>
      <c r="J52" s="38">
        <v>6</v>
      </c>
      <c r="K52" s="38" t="s">
        <v>85</v>
      </c>
      <c r="L52" s="39">
        <v>46217</v>
      </c>
      <c r="M52" s="38">
        <f t="shared" si="2"/>
        <v>14</v>
      </c>
      <c r="N52" s="43">
        <v>89.567191216978756</v>
      </c>
      <c r="O52" s="44">
        <v>34.666666666666664</v>
      </c>
      <c r="P52" s="44">
        <v>27.666666666666668</v>
      </c>
      <c r="Q52" s="44">
        <v>78.666666666666671</v>
      </c>
      <c r="R52" s="42">
        <v>7.6333333333333322E-2</v>
      </c>
      <c r="S52" s="44">
        <v>65.5</v>
      </c>
      <c r="T52" s="45">
        <f t="shared" si="0"/>
        <v>12816.531499999999</v>
      </c>
      <c r="U52" s="45">
        <f t="shared" si="3"/>
        <v>11479.407275989313</v>
      </c>
    </row>
    <row r="53" spans="1:21">
      <c r="A53" s="5">
        <v>11</v>
      </c>
      <c r="B53" s="10">
        <v>50</v>
      </c>
      <c r="C53" s="38" t="s">
        <v>65</v>
      </c>
      <c r="D53" s="39">
        <v>46204</v>
      </c>
      <c r="E53" s="49">
        <v>12776.5</v>
      </c>
      <c r="F53" s="41">
        <v>71.13</v>
      </c>
      <c r="G53" s="40">
        <f t="shared" si="1"/>
        <v>9087.9244499999986</v>
      </c>
      <c r="H53" s="42">
        <v>0.11</v>
      </c>
      <c r="I53" s="38">
        <v>2</v>
      </c>
      <c r="J53" s="38">
        <v>5</v>
      </c>
      <c r="K53" s="38" t="s">
        <v>109</v>
      </c>
      <c r="L53" s="39">
        <v>46218</v>
      </c>
      <c r="M53" s="38">
        <f t="shared" si="2"/>
        <v>14</v>
      </c>
      <c r="N53" s="43">
        <v>90.385795545491547</v>
      </c>
      <c r="O53" s="44">
        <v>37</v>
      </c>
      <c r="P53" s="44">
        <v>27.666666666666668</v>
      </c>
      <c r="Q53" s="44">
        <v>74.666666666666671</v>
      </c>
      <c r="R53" s="42">
        <v>7.0000000000000007E-2</v>
      </c>
      <c r="S53" s="44">
        <v>66.833333333333329</v>
      </c>
      <c r="T53" s="45">
        <f t="shared" si="0"/>
        <v>9087.9244499999986</v>
      </c>
      <c r="U53" s="45">
        <f t="shared" si="3"/>
        <v>8214.1928127057363</v>
      </c>
    </row>
    <row r="54" spans="1:21">
      <c r="A54" s="5">
        <v>11</v>
      </c>
      <c r="B54" s="10">
        <v>51</v>
      </c>
      <c r="C54" s="38" t="s">
        <v>65</v>
      </c>
      <c r="D54" s="39">
        <v>46205</v>
      </c>
      <c r="E54" s="49">
        <v>21619.5</v>
      </c>
      <c r="F54" s="41">
        <v>70.05</v>
      </c>
      <c r="G54" s="40">
        <f>E54*F54/100</f>
        <v>15144.459749999998</v>
      </c>
      <c r="H54" s="42">
        <v>0.108</v>
      </c>
      <c r="I54" s="46" t="s">
        <v>110</v>
      </c>
      <c r="J54" s="38">
        <v>6</v>
      </c>
      <c r="K54" s="38" t="s">
        <v>111</v>
      </c>
      <c r="L54" s="39">
        <v>46219</v>
      </c>
      <c r="M54" s="38">
        <f t="shared" si="2"/>
        <v>14</v>
      </c>
      <c r="N54" s="43">
        <v>89.6604428204583</v>
      </c>
      <c r="O54" s="44">
        <v>38.666666666666664</v>
      </c>
      <c r="P54" s="44">
        <v>30.333333333333332</v>
      </c>
      <c r="Q54" s="44">
        <v>78.333333333333329</v>
      </c>
      <c r="R54" s="42">
        <v>4.933333333333334E-2</v>
      </c>
      <c r="S54" s="44">
        <v>74.166666666666671</v>
      </c>
      <c r="T54" s="45">
        <f t="shared" si="0"/>
        <v>15144.459749999998</v>
      </c>
      <c r="U54" s="45">
        <f t="shared" si="3"/>
        <v>13578.589674616069</v>
      </c>
    </row>
    <row r="55" spans="1:21">
      <c r="A55" s="5">
        <v>11</v>
      </c>
      <c r="B55" s="10">
        <v>52</v>
      </c>
      <c r="C55" s="38" t="s">
        <v>65</v>
      </c>
      <c r="D55" s="39">
        <v>46206</v>
      </c>
      <c r="E55" s="49">
        <f>130275+(1792/2)</f>
        <v>131171</v>
      </c>
      <c r="F55" s="41">
        <v>68.239999999999995</v>
      </c>
      <c r="G55" s="40">
        <f t="shared" si="1"/>
        <v>89511.090399999986</v>
      </c>
      <c r="H55" s="42">
        <v>9.9000000000000005E-2</v>
      </c>
      <c r="I55" s="38">
        <v>3</v>
      </c>
      <c r="J55" s="46" t="s">
        <v>112</v>
      </c>
      <c r="K55" s="38" t="s">
        <v>113</v>
      </c>
      <c r="L55" s="39">
        <v>46220</v>
      </c>
      <c r="M55" s="38">
        <f t="shared" si="2"/>
        <v>14</v>
      </c>
      <c r="N55" s="43">
        <v>88.529506028073527</v>
      </c>
      <c r="O55" s="44">
        <v>36.333333333333336</v>
      </c>
      <c r="P55" s="44">
        <v>27.666666666666668</v>
      </c>
      <c r="Q55" s="44">
        <v>76</v>
      </c>
      <c r="R55" s="42">
        <v>5.6333333333333339E-2</v>
      </c>
      <c r="S55" s="44">
        <v>67.166666666666671</v>
      </c>
      <c r="T55" s="45">
        <f t="shared" si="0"/>
        <v>89511.090399999986</v>
      </c>
      <c r="U55" s="45">
        <f t="shared" si="3"/>
        <v>79243.726171462331</v>
      </c>
    </row>
    <row r="56" spans="1:21">
      <c r="A56" s="5">
        <v>12</v>
      </c>
      <c r="B56" s="10">
        <v>53</v>
      </c>
      <c r="C56" s="38" t="s">
        <v>65</v>
      </c>
      <c r="D56" s="39">
        <v>46206</v>
      </c>
      <c r="E56" s="49">
        <f>3055.6+(1792/2)</f>
        <v>3951.6</v>
      </c>
      <c r="F56" s="41">
        <v>67.95</v>
      </c>
      <c r="G56" s="40">
        <f t="shared" si="1"/>
        <v>2685.1122000000005</v>
      </c>
      <c r="H56" s="42">
        <v>9.7000000000000003E-2</v>
      </c>
      <c r="I56" s="38">
        <v>1</v>
      </c>
      <c r="J56" s="38">
        <v>4</v>
      </c>
      <c r="K56" s="38" t="s">
        <v>85</v>
      </c>
      <c r="L56" s="39">
        <v>46221</v>
      </c>
      <c r="M56" s="38">
        <f t="shared" si="2"/>
        <v>15</v>
      </c>
      <c r="N56" s="43">
        <v>86.152023929494916</v>
      </c>
      <c r="O56" s="44">
        <v>38</v>
      </c>
      <c r="P56" s="44">
        <v>31</v>
      </c>
      <c r="Q56" s="44">
        <v>81.51709401709401</v>
      </c>
      <c r="R56" s="42">
        <v>6.2666666666666662E-2</v>
      </c>
      <c r="S56" s="44">
        <v>70</v>
      </c>
      <c r="T56" s="45">
        <f t="shared" si="0"/>
        <v>2685.1122000000005</v>
      </c>
      <c r="U56" s="45">
        <f t="shared" si="3"/>
        <v>2313.2785050777879</v>
      </c>
    </row>
    <row r="57" spans="1:21">
      <c r="A57" s="5">
        <v>12</v>
      </c>
      <c r="B57" s="10">
        <v>54</v>
      </c>
      <c r="C57" s="38" t="s">
        <v>65</v>
      </c>
      <c r="D57" s="39">
        <v>46209</v>
      </c>
      <c r="E57" s="49">
        <v>25246</v>
      </c>
      <c r="F57" s="41">
        <v>70.33</v>
      </c>
      <c r="G57" s="40">
        <f t="shared" si="1"/>
        <v>17755.5118</v>
      </c>
      <c r="H57" s="42">
        <v>0.10299999999999999</v>
      </c>
      <c r="I57" s="38">
        <v>1</v>
      </c>
      <c r="J57" s="46" t="s">
        <v>114</v>
      </c>
      <c r="K57" s="38" t="s">
        <v>104</v>
      </c>
      <c r="L57" s="39">
        <v>46223</v>
      </c>
      <c r="M57" s="38">
        <f t="shared" si="2"/>
        <v>14</v>
      </c>
      <c r="N57" s="43">
        <v>85.93923842064892</v>
      </c>
      <c r="O57" s="44">
        <v>39.333333333333336</v>
      </c>
      <c r="P57" s="44">
        <v>31.666666666666668</v>
      </c>
      <c r="Q57" s="44">
        <v>80.333333333333329</v>
      </c>
      <c r="R57" s="42">
        <v>3.5999999999999997E-2</v>
      </c>
      <c r="S57" s="44">
        <v>67.833333333333329</v>
      </c>
      <c r="T57" s="45">
        <f t="shared" si="0"/>
        <v>17755.5118</v>
      </c>
      <c r="U57" s="45">
        <f t="shared" si="3"/>
        <v>15258.951618608453</v>
      </c>
    </row>
    <row r="58" spans="1:21">
      <c r="A58" s="5">
        <v>12</v>
      </c>
      <c r="B58" s="10">
        <v>54</v>
      </c>
      <c r="C58" s="38" t="s">
        <v>65</v>
      </c>
      <c r="D58" s="39">
        <v>46210</v>
      </c>
      <c r="E58" s="49">
        <v>26581</v>
      </c>
      <c r="F58" s="41">
        <v>71.83</v>
      </c>
      <c r="G58" s="40">
        <f t="shared" si="1"/>
        <v>19093.132300000001</v>
      </c>
      <c r="H58" s="42">
        <v>0.11799999999999999</v>
      </c>
      <c r="I58" s="46" t="s">
        <v>115</v>
      </c>
      <c r="J58" s="46" t="s">
        <v>116</v>
      </c>
      <c r="K58" s="38" t="s">
        <v>117</v>
      </c>
      <c r="L58" s="39">
        <v>46224</v>
      </c>
      <c r="M58" s="38">
        <f t="shared" si="2"/>
        <v>14</v>
      </c>
      <c r="N58" s="43">
        <v>87.219672921380308</v>
      </c>
      <c r="O58" s="44">
        <v>39</v>
      </c>
      <c r="P58" s="44">
        <v>32.333333333333336</v>
      </c>
      <c r="Q58" s="44">
        <v>83</v>
      </c>
      <c r="R58" s="42">
        <v>7.9000000000000001E-2</v>
      </c>
      <c r="S58" s="44">
        <v>74.5</v>
      </c>
      <c r="T58" s="45">
        <f t="shared" si="0"/>
        <v>19093.132300000001</v>
      </c>
      <c r="U58" s="45">
        <f t="shared" si="3"/>
        <v>16652.96754250642</v>
      </c>
    </row>
    <row r="59" spans="1:21">
      <c r="A59" s="5">
        <v>12</v>
      </c>
      <c r="B59" s="10">
        <v>55</v>
      </c>
      <c r="C59" s="38" t="s">
        <v>65</v>
      </c>
      <c r="D59" s="39">
        <v>46211</v>
      </c>
      <c r="E59" s="49">
        <v>16673</v>
      </c>
      <c r="F59" s="41">
        <v>70.28</v>
      </c>
      <c r="G59" s="40">
        <f t="shared" si="1"/>
        <v>11717.784399999999</v>
      </c>
      <c r="H59" s="42">
        <v>9.7000000000000003E-2</v>
      </c>
      <c r="I59" s="38">
        <v>2</v>
      </c>
      <c r="J59" s="38" t="s">
        <v>118</v>
      </c>
      <c r="K59" s="46" t="s">
        <v>119</v>
      </c>
      <c r="L59" s="39">
        <v>46225</v>
      </c>
      <c r="M59" s="38">
        <f t="shared" si="2"/>
        <v>14</v>
      </c>
      <c r="N59" s="43">
        <v>89.021141156893066</v>
      </c>
      <c r="O59" s="44">
        <v>36.333333333333336</v>
      </c>
      <c r="P59" s="44">
        <v>28.666666666666668</v>
      </c>
      <c r="Q59" s="44">
        <v>79</v>
      </c>
      <c r="R59" s="42">
        <v>3.9E-2</v>
      </c>
      <c r="S59" s="44">
        <v>75.833333333333329</v>
      </c>
      <c r="T59" s="45">
        <f t="shared" si="0"/>
        <v>11717.784399999999</v>
      </c>
      <c r="U59" s="45">
        <f t="shared" si="3"/>
        <v>10431.305391184394</v>
      </c>
    </row>
    <row r="60" spans="1:21" ht="14.5" customHeight="1">
      <c r="A60" s="17" t="s">
        <v>120</v>
      </c>
      <c r="B60" s="10">
        <v>56</v>
      </c>
      <c r="C60" s="38" t="s">
        <v>65</v>
      </c>
      <c r="D60" s="39">
        <v>46245</v>
      </c>
      <c r="E60" s="49">
        <v>10669</v>
      </c>
      <c r="F60" s="41">
        <v>73.010000000000005</v>
      </c>
      <c r="G60" s="40">
        <f t="shared" si="1"/>
        <v>7789.4369000000006</v>
      </c>
      <c r="H60" s="42">
        <v>9.2666666666666675E-2</v>
      </c>
      <c r="I60" s="38">
        <v>1</v>
      </c>
      <c r="J60" s="38">
        <v>2</v>
      </c>
      <c r="K60" s="38" t="s">
        <v>72</v>
      </c>
      <c r="L60" s="39">
        <v>46262</v>
      </c>
      <c r="M60" s="38">
        <f t="shared" si="2"/>
        <v>17</v>
      </c>
      <c r="N60" s="43">
        <v>92.252423653993674</v>
      </c>
      <c r="O60" s="44">
        <v>35.333333333333336</v>
      </c>
      <c r="P60" s="44">
        <v>27.333333333333332</v>
      </c>
      <c r="Q60" s="44">
        <v>77</v>
      </c>
      <c r="R60" s="42">
        <v>5.0666666666666665E-2</v>
      </c>
      <c r="S60" s="44">
        <v>66.333333333333329</v>
      </c>
      <c r="T60" s="45">
        <f t="shared" si="0"/>
        <v>7789.4369000000006</v>
      </c>
      <c r="U60" s="45">
        <f t="shared" si="3"/>
        <v>7185.9443292485121</v>
      </c>
    </row>
    <row r="61" spans="1:21">
      <c r="A61" s="17" t="s">
        <v>120</v>
      </c>
      <c r="B61" s="10">
        <v>57</v>
      </c>
      <c r="C61" s="38" t="s">
        <v>65</v>
      </c>
      <c r="D61" s="39">
        <v>46246</v>
      </c>
      <c r="E61" s="49">
        <v>21575</v>
      </c>
      <c r="F61" s="41">
        <v>72.569999999999993</v>
      </c>
      <c r="G61" s="40">
        <f t="shared" si="1"/>
        <v>15656.977499999997</v>
      </c>
      <c r="H61" s="42">
        <v>3.7666666666666661E-2</v>
      </c>
      <c r="I61" s="38">
        <v>1</v>
      </c>
      <c r="J61" s="46">
        <v>2</v>
      </c>
      <c r="K61" s="38" t="s">
        <v>121</v>
      </c>
      <c r="L61" s="39">
        <v>46262</v>
      </c>
      <c r="M61" s="38">
        <f t="shared" si="2"/>
        <v>16</v>
      </c>
      <c r="N61" s="43">
        <v>89.791511644720501</v>
      </c>
      <c r="O61" s="44">
        <v>34.666666666666664</v>
      </c>
      <c r="P61" s="44">
        <v>28</v>
      </c>
      <c r="Q61" s="44">
        <v>80.666666666666671</v>
      </c>
      <c r="R61" s="42">
        <v>6.8666666666666668E-2</v>
      </c>
      <c r="S61" s="44">
        <v>70.333333333333329</v>
      </c>
      <c r="T61" s="45">
        <f t="shared" si="0"/>
        <v>15656.977499999997</v>
      </c>
      <c r="U61" s="45">
        <f t="shared" si="3"/>
        <v>14058.636775123765</v>
      </c>
    </row>
    <row r="62" spans="1:21">
      <c r="A62" s="17" t="s">
        <v>120</v>
      </c>
      <c r="B62" s="10">
        <v>58</v>
      </c>
      <c r="C62" s="38" t="s">
        <v>65</v>
      </c>
      <c r="D62" s="39">
        <v>46247</v>
      </c>
      <c r="E62" s="49">
        <v>20735</v>
      </c>
      <c r="F62" s="41">
        <v>73.19</v>
      </c>
      <c r="G62" s="40">
        <f t="shared" si="1"/>
        <v>15175.946499999998</v>
      </c>
      <c r="H62" s="42">
        <v>4.1000000000000002E-2</v>
      </c>
      <c r="I62" s="46">
        <v>1</v>
      </c>
      <c r="J62" s="46">
        <v>2</v>
      </c>
      <c r="K62" s="38" t="s">
        <v>122</v>
      </c>
      <c r="L62" s="39">
        <v>46262</v>
      </c>
      <c r="M62" s="38">
        <f t="shared" si="2"/>
        <v>15</v>
      </c>
      <c r="N62" s="43">
        <v>88.357862417342446</v>
      </c>
      <c r="O62" s="44">
        <v>35</v>
      </c>
      <c r="P62" s="44">
        <v>28</v>
      </c>
      <c r="Q62" s="44">
        <v>80</v>
      </c>
      <c r="R62" s="42">
        <v>5.5E-2</v>
      </c>
      <c r="S62" s="44">
        <v>66.8</v>
      </c>
      <c r="T62" s="45">
        <f t="shared" si="0"/>
        <v>15175.946499999998</v>
      </c>
      <c r="U62" s="45">
        <f t="shared" si="3"/>
        <v>13409.141928999494</v>
      </c>
    </row>
    <row r="63" spans="1:21">
      <c r="A63" s="17" t="s">
        <v>120</v>
      </c>
      <c r="B63" s="10">
        <v>59</v>
      </c>
      <c r="C63" s="38" t="s">
        <v>65</v>
      </c>
      <c r="D63" s="39">
        <v>46252</v>
      </c>
      <c r="E63" s="49">
        <v>17545</v>
      </c>
      <c r="F63" s="41">
        <v>73.36</v>
      </c>
      <c r="G63" s="40">
        <f t="shared" si="1"/>
        <v>12871.011999999999</v>
      </c>
      <c r="H63" s="42">
        <v>4.933333333333334E-2</v>
      </c>
      <c r="I63" s="38">
        <v>2</v>
      </c>
      <c r="J63" s="38">
        <v>2</v>
      </c>
      <c r="K63" s="46" t="s">
        <v>123</v>
      </c>
      <c r="L63" s="143">
        <v>46267</v>
      </c>
      <c r="M63" s="38">
        <f t="shared" si="2"/>
        <v>15</v>
      </c>
      <c r="N63" s="43">
        <v>89.86</v>
      </c>
      <c r="O63" s="44">
        <v>35.666666666666664</v>
      </c>
      <c r="P63" s="44">
        <v>28</v>
      </c>
      <c r="Q63" s="44">
        <v>79</v>
      </c>
      <c r="R63" s="42">
        <v>8.6333333333333331E-2</v>
      </c>
      <c r="S63" s="44">
        <v>71.166666666666671</v>
      </c>
      <c r="T63" s="45">
        <f t="shared" si="0"/>
        <v>12871.011999999999</v>
      </c>
      <c r="U63" s="45">
        <f t="shared" si="3"/>
        <v>11565.8913832</v>
      </c>
    </row>
    <row r="64" spans="1:21">
      <c r="A64" s="17" t="s">
        <v>120</v>
      </c>
      <c r="B64" s="10">
        <v>60</v>
      </c>
      <c r="C64" s="38" t="s">
        <v>65</v>
      </c>
      <c r="D64" s="39">
        <v>46253</v>
      </c>
      <c r="E64" s="49">
        <v>19462</v>
      </c>
      <c r="F64" s="41">
        <v>72.739999999999995</v>
      </c>
      <c r="G64" s="40">
        <f t="shared" si="1"/>
        <v>14156.658799999999</v>
      </c>
      <c r="H64" s="42">
        <v>8.1333333333333327E-2</v>
      </c>
      <c r="I64" s="38">
        <v>3</v>
      </c>
      <c r="J64" s="38">
        <v>2</v>
      </c>
      <c r="K64" s="38" t="s">
        <v>124</v>
      </c>
      <c r="L64" s="143">
        <v>46267</v>
      </c>
      <c r="M64" s="38">
        <f t="shared" si="2"/>
        <v>14</v>
      </c>
      <c r="N64" s="43">
        <v>87.863616336452708</v>
      </c>
      <c r="O64" s="44">
        <v>33</v>
      </c>
      <c r="P64" s="44">
        <v>27</v>
      </c>
      <c r="Q64" s="44">
        <v>81.666666666666671</v>
      </c>
      <c r="R64" s="42">
        <v>7.7666666666666676E-2</v>
      </c>
      <c r="S64" s="44">
        <v>67</v>
      </c>
      <c r="T64" s="45">
        <f t="shared" si="0"/>
        <v>14156.658799999999</v>
      </c>
      <c r="U64" s="45">
        <f t="shared" si="3"/>
        <v>12438.552374092669</v>
      </c>
    </row>
    <row r="65" spans="1:21">
      <c r="A65" s="17" t="s">
        <v>120</v>
      </c>
      <c r="B65" s="10">
        <v>61</v>
      </c>
      <c r="C65" s="38" t="s">
        <v>65</v>
      </c>
      <c r="D65" s="39">
        <v>46254</v>
      </c>
      <c r="E65" s="49">
        <v>3218</v>
      </c>
      <c r="F65" s="41">
        <v>72.430000000000007</v>
      </c>
      <c r="G65" s="40">
        <f t="shared" si="1"/>
        <v>2330.7974000000004</v>
      </c>
      <c r="H65" s="42">
        <v>5.4333333333333324E-2</v>
      </c>
      <c r="I65" s="38">
        <v>3</v>
      </c>
      <c r="J65" s="38">
        <v>2</v>
      </c>
      <c r="K65" s="38" t="s">
        <v>125</v>
      </c>
      <c r="L65" s="143">
        <v>46290</v>
      </c>
      <c r="M65" s="38">
        <f t="shared" si="2"/>
        <v>36</v>
      </c>
      <c r="N65" s="43">
        <v>94.989487590910628</v>
      </c>
      <c r="O65" s="44">
        <v>39</v>
      </c>
      <c r="P65" s="44">
        <v>31.333333333333332</v>
      </c>
      <c r="Q65" s="44">
        <v>80</v>
      </c>
      <c r="R65" s="42">
        <v>4.2333333333333334E-2</v>
      </c>
      <c r="S65" s="44">
        <v>68.666666666666671</v>
      </c>
      <c r="T65" s="45">
        <f t="shared" si="0"/>
        <v>2330.7974000000004</v>
      </c>
      <c r="U65" s="45">
        <f t="shared" si="3"/>
        <v>2214.0125070422678</v>
      </c>
    </row>
    <row r="66" spans="1:21">
      <c r="A66" s="17" t="s">
        <v>120</v>
      </c>
      <c r="B66" s="10">
        <v>62</v>
      </c>
      <c r="C66" s="38" t="s">
        <v>65</v>
      </c>
      <c r="D66" s="39">
        <v>46256</v>
      </c>
      <c r="E66" s="49">
        <v>11252</v>
      </c>
      <c r="F66" s="41">
        <v>73.83</v>
      </c>
      <c r="G66" s="40">
        <f t="shared" si="1"/>
        <v>8307.3516</v>
      </c>
      <c r="H66" s="42">
        <v>8.5000000000000006E-2</v>
      </c>
      <c r="I66" s="38" t="s">
        <v>126</v>
      </c>
      <c r="J66" s="38" t="s">
        <v>127</v>
      </c>
      <c r="K66" s="38" t="s">
        <v>72</v>
      </c>
      <c r="L66" s="143">
        <v>46272</v>
      </c>
      <c r="M66" s="38">
        <f t="shared" si="2"/>
        <v>16</v>
      </c>
      <c r="N66" s="43">
        <v>90.361756414369935</v>
      </c>
      <c r="O66" s="44">
        <v>35</v>
      </c>
      <c r="P66" s="44">
        <v>27.666666666666668</v>
      </c>
      <c r="Q66" s="44">
        <v>79</v>
      </c>
      <c r="R66" s="42">
        <v>8.3666666666666667E-2</v>
      </c>
      <c r="S66" s="44">
        <v>66</v>
      </c>
      <c r="T66" s="45"/>
      <c r="U66" s="45"/>
    </row>
    <row r="67" spans="1:21">
      <c r="A67" s="17" t="s">
        <v>120</v>
      </c>
      <c r="B67" s="10">
        <v>63</v>
      </c>
      <c r="C67" s="38" t="s">
        <v>65</v>
      </c>
      <c r="D67" s="39">
        <v>46258</v>
      </c>
      <c r="E67" s="49">
        <v>18325</v>
      </c>
      <c r="F67" s="41">
        <v>74.52</v>
      </c>
      <c r="G67" s="40">
        <f t="shared" ref="G67:G72" si="4">E67*F67/100</f>
        <v>13655.79</v>
      </c>
      <c r="H67" s="42">
        <v>5.1999999999999998E-2</v>
      </c>
      <c r="I67" s="38">
        <v>1</v>
      </c>
      <c r="J67" s="38" t="s">
        <v>128</v>
      </c>
      <c r="K67" s="38" t="s">
        <v>72</v>
      </c>
      <c r="L67" s="143">
        <v>46274</v>
      </c>
      <c r="M67" s="38">
        <f t="shared" si="2"/>
        <v>16</v>
      </c>
      <c r="N67" s="43">
        <v>89.501026447764673</v>
      </c>
      <c r="O67" s="44">
        <v>39.333333333333336</v>
      </c>
      <c r="P67" s="44">
        <v>30.666666666666668</v>
      </c>
      <c r="Q67" s="44">
        <v>78</v>
      </c>
      <c r="R67" s="42">
        <v>9.3000000000000013E-2</v>
      </c>
      <c r="S67" s="44">
        <v>68.666666666666671</v>
      </c>
      <c r="T67" s="45"/>
      <c r="U67" s="45"/>
    </row>
    <row r="68" spans="1:21">
      <c r="A68" s="17" t="s">
        <v>120</v>
      </c>
      <c r="B68" s="10">
        <v>64</v>
      </c>
      <c r="C68" s="38" t="s">
        <v>65</v>
      </c>
      <c r="D68" s="39">
        <v>46260</v>
      </c>
      <c r="E68" s="49">
        <v>20892</v>
      </c>
      <c r="F68" s="41">
        <v>72.62</v>
      </c>
      <c r="G68" s="40">
        <f t="shared" si="4"/>
        <v>15171.770400000001</v>
      </c>
      <c r="H68" s="42">
        <v>5.8666666666666666E-2</v>
      </c>
      <c r="I68" s="38" t="s">
        <v>129</v>
      </c>
      <c r="J68" s="38" t="s">
        <v>130</v>
      </c>
      <c r="K68" s="38" t="s">
        <v>72</v>
      </c>
      <c r="L68" s="143">
        <v>46274</v>
      </c>
      <c r="M68" s="38">
        <f t="shared" si="2"/>
        <v>14</v>
      </c>
      <c r="N68" s="43">
        <v>87.54596218064826</v>
      </c>
      <c r="O68" s="44">
        <v>40.333333333333336</v>
      </c>
      <c r="P68" s="44">
        <v>31.666666666666668</v>
      </c>
      <c r="Q68" s="44">
        <v>78.333333333333329</v>
      </c>
      <c r="R68" s="42">
        <v>5.9333333333333328E-2</v>
      </c>
      <c r="S68" s="44">
        <v>74</v>
      </c>
      <c r="T68" s="45"/>
      <c r="U68" s="45"/>
    </row>
    <row r="69" spans="1:21">
      <c r="A69" s="17" t="s">
        <v>120</v>
      </c>
      <c r="B69" s="10">
        <v>65</v>
      </c>
      <c r="C69" s="38" t="s">
        <v>65</v>
      </c>
      <c r="D69" s="39">
        <v>46261</v>
      </c>
      <c r="E69" s="49">
        <v>21075</v>
      </c>
      <c r="F69" s="41">
        <v>72.62</v>
      </c>
      <c r="G69" s="40">
        <f t="shared" si="4"/>
        <v>15304.665000000001</v>
      </c>
      <c r="H69" s="42">
        <v>9.1000000000000011E-2</v>
      </c>
      <c r="I69" s="38" t="s">
        <v>127</v>
      </c>
      <c r="J69" s="38" t="s">
        <v>130</v>
      </c>
      <c r="K69" s="38" t="s">
        <v>72</v>
      </c>
      <c r="L69" s="143">
        <v>46275</v>
      </c>
      <c r="M69" s="38">
        <f t="shared" si="2"/>
        <v>14</v>
      </c>
      <c r="N69" s="43">
        <v>86.692926586978174</v>
      </c>
      <c r="O69" s="44">
        <v>40.333333333333336</v>
      </c>
      <c r="P69" s="44">
        <v>31.666666666666668</v>
      </c>
      <c r="Q69" s="44">
        <v>78.333333333333329</v>
      </c>
      <c r="R69" s="42">
        <v>5.7666666666666665E-2</v>
      </c>
      <c r="S69" s="44">
        <v>63.166666666666664</v>
      </c>
      <c r="T69" s="45"/>
      <c r="U69" s="45"/>
    </row>
    <row r="70" spans="1:21">
      <c r="A70" s="17" t="s">
        <v>120</v>
      </c>
      <c r="B70" s="10">
        <v>66</v>
      </c>
      <c r="C70" s="38" t="s">
        <v>65</v>
      </c>
      <c r="D70" s="39">
        <v>46262</v>
      </c>
      <c r="E70" s="49">
        <v>13231</v>
      </c>
      <c r="F70" s="41">
        <v>71.084487579452983</v>
      </c>
      <c r="G70" s="40">
        <f t="shared" si="4"/>
        <v>9405.1885516374241</v>
      </c>
      <c r="H70" s="42">
        <v>6.3666666666666663E-2</v>
      </c>
      <c r="I70" s="38" t="s">
        <v>126</v>
      </c>
      <c r="J70" s="38" t="s">
        <v>131</v>
      </c>
      <c r="K70" s="38" t="s">
        <v>72</v>
      </c>
      <c r="L70" s="143">
        <v>46276</v>
      </c>
      <c r="M70" s="38">
        <f t="shared" si="2"/>
        <v>14</v>
      </c>
      <c r="N70" s="43">
        <v>87.436732448106639</v>
      </c>
      <c r="O70" s="44">
        <v>41.666666666666664</v>
      </c>
      <c r="P70" s="44">
        <v>34.333333333333336</v>
      </c>
      <c r="Q70" s="44">
        <v>82.333333333333329</v>
      </c>
      <c r="R70" s="42">
        <v>0.06</v>
      </c>
      <c r="S70" s="44">
        <v>68.833333333333329</v>
      </c>
      <c r="T70" s="45"/>
      <c r="U70" s="45"/>
    </row>
    <row r="71" spans="1:21">
      <c r="A71" s="17" t="s">
        <v>120</v>
      </c>
      <c r="B71" s="10">
        <v>67</v>
      </c>
      <c r="C71" s="38" t="s">
        <v>65</v>
      </c>
      <c r="D71" s="39">
        <v>46265</v>
      </c>
      <c r="E71" s="49">
        <v>7526</v>
      </c>
      <c r="F71" s="41">
        <v>69.840167140549539</v>
      </c>
      <c r="G71" s="40">
        <f t="shared" si="4"/>
        <v>5256.1709789977585</v>
      </c>
      <c r="H71" s="42">
        <v>4.5000000000000005E-2</v>
      </c>
      <c r="I71" s="38" t="s">
        <v>129</v>
      </c>
      <c r="J71" s="38">
        <v>6</v>
      </c>
      <c r="K71" s="38" t="s">
        <v>72</v>
      </c>
      <c r="L71" s="143">
        <v>46290</v>
      </c>
      <c r="M71" s="38">
        <f t="shared" si="2"/>
        <v>25</v>
      </c>
      <c r="N71" s="43">
        <v>94.337662299116801</v>
      </c>
      <c r="O71" s="44">
        <v>40.666666666666664</v>
      </c>
      <c r="P71" s="44">
        <v>33</v>
      </c>
      <c r="Q71" s="44">
        <v>81</v>
      </c>
      <c r="R71" s="42">
        <v>4.6666666666666669E-2</v>
      </c>
      <c r="S71" s="44">
        <v>71.333333333333329</v>
      </c>
      <c r="T71" s="45"/>
      <c r="U71" s="45"/>
    </row>
    <row r="72" spans="1:21">
      <c r="A72" s="17" t="s">
        <v>120</v>
      </c>
      <c r="B72" s="10">
        <v>68</v>
      </c>
      <c r="C72" s="38" t="s">
        <v>65</v>
      </c>
      <c r="D72" s="39">
        <v>46266</v>
      </c>
      <c r="E72" s="49">
        <v>11366</v>
      </c>
      <c r="F72" s="41">
        <v>70.62</v>
      </c>
      <c r="G72" s="40">
        <f t="shared" si="4"/>
        <v>8026.6692000000003</v>
      </c>
      <c r="H72" s="42">
        <v>6.433333333333334E-2</v>
      </c>
      <c r="I72" s="38">
        <v>2</v>
      </c>
      <c r="J72" s="38">
        <v>6</v>
      </c>
      <c r="K72" s="38" t="s">
        <v>72</v>
      </c>
      <c r="L72" s="143">
        <v>46280</v>
      </c>
      <c r="M72" s="38">
        <f t="shared" si="2"/>
        <v>14</v>
      </c>
      <c r="N72" s="43">
        <v>85.929323478843671</v>
      </c>
      <c r="O72" s="44">
        <v>39</v>
      </c>
      <c r="P72" s="44">
        <v>31.666666666666668</v>
      </c>
      <c r="Q72" s="44">
        <v>81</v>
      </c>
      <c r="R72" s="42">
        <v>3.6333333333333336E-2</v>
      </c>
      <c r="S72" s="44">
        <v>67</v>
      </c>
      <c r="T72" s="45"/>
      <c r="U72" s="45"/>
    </row>
    <row r="73" spans="1:21">
      <c r="A73" s="5">
        <v>15</v>
      </c>
      <c r="B73" s="10">
        <v>69</v>
      </c>
      <c r="C73" s="38" t="s">
        <v>132</v>
      </c>
      <c r="D73" s="39">
        <v>46277</v>
      </c>
      <c r="E73" s="49">
        <v>5677</v>
      </c>
      <c r="F73" s="41">
        <v>75.506285485785398</v>
      </c>
      <c r="G73" s="40"/>
      <c r="H73" s="42">
        <v>3.3000000000000002E-2</v>
      </c>
      <c r="I73" s="38">
        <v>1</v>
      </c>
      <c r="J73" s="38">
        <v>8</v>
      </c>
      <c r="K73" s="38" t="s">
        <v>72</v>
      </c>
      <c r="L73" s="143">
        <v>46294</v>
      </c>
      <c r="M73" s="38">
        <f t="shared" si="2"/>
        <v>17</v>
      </c>
      <c r="N73" s="43">
        <v>90.924822178038696</v>
      </c>
      <c r="O73" s="44">
        <v>42.666666666666664</v>
      </c>
      <c r="P73" s="44">
        <v>35.666666666666664</v>
      </c>
      <c r="Q73" s="44">
        <v>83.666666666666671</v>
      </c>
      <c r="R73" s="42">
        <v>4.533333333333333E-2</v>
      </c>
      <c r="S73" s="44">
        <v>76</v>
      </c>
      <c r="T73" s="45"/>
      <c r="U73" s="45"/>
    </row>
    <row r="74" spans="1:21">
      <c r="A74" s="5">
        <v>15</v>
      </c>
      <c r="B74" s="10">
        <v>70</v>
      </c>
      <c r="C74" s="38" t="s">
        <v>65</v>
      </c>
      <c r="D74" s="39">
        <v>46277</v>
      </c>
      <c r="E74" s="49">
        <v>2785</v>
      </c>
      <c r="F74" s="41">
        <v>72.589929420180525</v>
      </c>
      <c r="G74" s="40"/>
      <c r="H74" s="42">
        <v>5.2999999999999992E-2</v>
      </c>
      <c r="I74" s="38">
        <v>1</v>
      </c>
      <c r="J74" s="46">
        <v>8</v>
      </c>
      <c r="K74" s="38" t="s">
        <v>85</v>
      </c>
      <c r="L74" s="143">
        <v>46294</v>
      </c>
      <c r="M74" s="38">
        <f t="shared" si="2"/>
        <v>17</v>
      </c>
      <c r="N74" s="43">
        <v>86.317146665987295</v>
      </c>
      <c r="O74" s="44">
        <v>36.666666666666664</v>
      </c>
      <c r="P74" s="44">
        <v>30.333333333333332</v>
      </c>
      <c r="Q74" s="44">
        <v>83</v>
      </c>
      <c r="R74" s="42">
        <v>4.8999999999999995E-2</v>
      </c>
      <c r="S74" s="44">
        <v>63.333333333333336</v>
      </c>
      <c r="T74" s="45"/>
      <c r="U74" s="45"/>
    </row>
    <row r="75" spans="1:21">
      <c r="A75" s="5">
        <v>15</v>
      </c>
      <c r="B75" s="10">
        <v>71</v>
      </c>
      <c r="C75" s="38" t="s">
        <v>65</v>
      </c>
      <c r="D75" s="39">
        <v>46284</v>
      </c>
      <c r="E75" s="49">
        <v>6803</v>
      </c>
      <c r="F75" s="41">
        <v>70.853036371118534</v>
      </c>
      <c r="G75" s="40"/>
      <c r="H75" s="42">
        <v>8.2333333333333328E-2</v>
      </c>
      <c r="I75" s="46">
        <v>1</v>
      </c>
      <c r="J75" s="46">
        <v>8</v>
      </c>
      <c r="K75" s="38" t="s">
        <v>109</v>
      </c>
      <c r="L75" s="143">
        <v>46305</v>
      </c>
      <c r="M75" s="38">
        <f t="shared" si="2"/>
        <v>21</v>
      </c>
      <c r="N75" s="43">
        <v>89.027380131779253</v>
      </c>
      <c r="O75" s="44">
        <v>37</v>
      </c>
      <c r="P75" s="44">
        <v>31</v>
      </c>
      <c r="Q75" s="44">
        <v>84</v>
      </c>
      <c r="R75" s="42">
        <v>0.03</v>
      </c>
      <c r="S75" s="44">
        <v>71.333333333333329</v>
      </c>
      <c r="T75" s="45"/>
      <c r="U75" s="45"/>
    </row>
    <row r="76" spans="1:21">
      <c r="A76" s="5">
        <v>15</v>
      </c>
      <c r="B76" s="10">
        <v>72</v>
      </c>
      <c r="C76" s="38" t="s">
        <v>65</v>
      </c>
      <c r="D76" s="39">
        <v>46294</v>
      </c>
      <c r="E76" s="49"/>
      <c r="F76" s="10">
        <v>74.95</v>
      </c>
      <c r="G76" s="10"/>
      <c r="H76" s="42">
        <v>5.2666666666666667E-2</v>
      </c>
      <c r="I76" s="38">
        <v>1</v>
      </c>
      <c r="J76" s="38">
        <v>8</v>
      </c>
      <c r="K76" s="38" t="s">
        <v>95</v>
      </c>
      <c r="L76" s="143">
        <v>46308</v>
      </c>
      <c r="M76" s="38">
        <f t="shared" si="2"/>
        <v>14</v>
      </c>
      <c r="N76" s="43">
        <v>90.409641968867504</v>
      </c>
      <c r="O76" s="44">
        <v>28.333333333333332</v>
      </c>
      <c r="P76" s="44">
        <v>14.666666666666666</v>
      </c>
      <c r="Q76" s="44">
        <v>75.333333333333329</v>
      </c>
      <c r="R76" s="42">
        <v>4.3000000000000003E-2</v>
      </c>
      <c r="S76" s="44">
        <v>44.666666666666664</v>
      </c>
      <c r="T76" s="38"/>
      <c r="U76" s="38"/>
    </row>
    <row r="77" spans="1:21">
      <c r="A77" s="5">
        <v>15</v>
      </c>
      <c r="B77" s="10">
        <v>73</v>
      </c>
      <c r="C77" s="38" t="s">
        <v>65</v>
      </c>
      <c r="D77" s="39">
        <v>46295</v>
      </c>
      <c r="E77" s="49"/>
      <c r="F77" s="10">
        <v>70.430000000000007</v>
      </c>
      <c r="G77" s="10"/>
      <c r="H77" s="42">
        <v>4.9666666666666671E-2</v>
      </c>
      <c r="I77" s="38">
        <v>2</v>
      </c>
      <c r="J77" s="38">
        <v>8</v>
      </c>
      <c r="K77" s="38" t="s">
        <v>85</v>
      </c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78" spans="1:21">
      <c r="A78" s="5"/>
      <c r="B78" s="10"/>
      <c r="C78" s="38"/>
      <c r="D78" s="39"/>
      <c r="E78" s="49"/>
      <c r="F78" s="10"/>
      <c r="G78" s="10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</row>
    <row r="79" spans="1:21">
      <c r="A79" s="5"/>
      <c r="B79" s="10"/>
      <c r="C79" s="38"/>
      <c r="D79" s="39"/>
      <c r="E79" s="49"/>
      <c r="F79" s="10"/>
      <c r="G79" s="10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</row>
    <row r="80" spans="1:21">
      <c r="A80" s="5"/>
      <c r="B80" s="10"/>
      <c r="C80" s="38"/>
      <c r="D80" s="39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</row>
    <row r="81" spans="1:21">
      <c r="A81" s="5"/>
      <c r="B81" s="10"/>
      <c r="C81" s="38"/>
      <c r="D81" s="39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</row>
    <row r="82" spans="1:21">
      <c r="A82" s="5"/>
      <c r="B82" s="10"/>
      <c r="C82" s="38"/>
      <c r="D82" s="39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</row>
    <row r="83" spans="1:21">
      <c r="A83" s="5"/>
      <c r="B83" s="10"/>
      <c r="C83" s="38"/>
      <c r="D83" s="39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</row>
    <row r="84" spans="1:21">
      <c r="A84" s="5"/>
      <c r="B84" s="10"/>
      <c r="C84" s="38"/>
      <c r="D84" s="39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</row>
    <row r="85" spans="1:21">
      <c r="A85" s="5"/>
      <c r="B85" s="10"/>
      <c r="C85" s="38"/>
      <c r="D85" s="39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</row>
    <row r="86" spans="1:21">
      <c r="A86" s="5"/>
      <c r="B86" s="10"/>
      <c r="C86" s="38"/>
      <c r="D86" s="39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</row>
    <row r="87" spans="1:21">
      <c r="A87" s="5"/>
      <c r="B87" s="10"/>
      <c r="C87" s="38"/>
      <c r="D87" s="39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</row>
    <row r="88" spans="1:21">
      <c r="A88" s="5"/>
      <c r="B88" s="10"/>
      <c r="C88" s="38"/>
      <c r="D88" s="39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</row>
    <row r="89" spans="1:21">
      <c r="A89" s="5"/>
      <c r="B89" s="10"/>
      <c r="C89" s="38"/>
      <c r="D89" s="39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</row>
    <row r="90" spans="1:21">
      <c r="A90" s="5"/>
      <c r="B90" s="10"/>
      <c r="C90" s="38"/>
      <c r="D90" s="39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</row>
    <row r="91" spans="1:21">
      <c r="A91" s="5"/>
      <c r="B91" s="10"/>
      <c r="C91" s="38"/>
      <c r="D91" s="39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</row>
    <row r="92" spans="1:21">
      <c r="A92" s="5"/>
      <c r="B92" s="10"/>
      <c r="C92" s="38"/>
      <c r="D92" s="39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</row>
    <row r="93" spans="1:21">
      <c r="A93" s="5"/>
      <c r="B93" s="10"/>
      <c r="C93" s="38"/>
      <c r="D93" s="39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</row>
    <row r="94" spans="1:21">
      <c r="A94" s="5"/>
      <c r="B94" s="10"/>
      <c r="C94" s="38"/>
      <c r="D94" s="39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</row>
    <row r="95" spans="1:21">
      <c r="A95" s="5"/>
      <c r="B95" s="10"/>
      <c r="C95" s="38"/>
      <c r="D95" s="39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</row>
    <row r="96" spans="1:21">
      <c r="D96" s="50"/>
      <c r="E96" s="50"/>
      <c r="F96" s="50"/>
      <c r="G96" s="50"/>
    </row>
  </sheetData>
  <phoneticPr fontId="3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9C1B-EA38-4BAF-B23E-9D1B8453B7AA}">
  <sheetPr>
    <pageSetUpPr fitToPage="1"/>
  </sheetPr>
  <dimension ref="A1:BA156"/>
  <sheetViews>
    <sheetView zoomScaleNormal="100" workbookViewId="0">
      <pane xSplit="3" ySplit="1" topLeftCell="AA2" activePane="bottomRight" state="frozen"/>
      <selection pane="topRight" activeCell="B1" sqref="B1"/>
      <selection pane="bottomLeft" activeCell="A9" sqref="A9"/>
      <selection pane="bottomRight" activeCell="AW92" sqref="AW92"/>
    </sheetView>
  </sheetViews>
  <sheetFormatPr defaultColWidth="9.1796875" defaultRowHeight="14.5"/>
  <cols>
    <col min="1" max="1" width="5.54296875" style="1" bestFit="1" customWidth="1"/>
    <col min="2" max="2" width="7.1796875" style="50" customWidth="1"/>
    <col min="3" max="3" width="11.54296875" style="103" bestFit="1" customWidth="1"/>
    <col min="4" max="4" width="7.1796875" style="50" bestFit="1" customWidth="1"/>
    <col min="5" max="5" width="5.54296875" style="50" bestFit="1" customWidth="1"/>
    <col min="6" max="6" width="6.26953125" style="50" bestFit="1" customWidth="1"/>
    <col min="7" max="9" width="9.81640625" style="77" customWidth="1"/>
    <col min="10" max="10" width="13.54296875" style="77" customWidth="1"/>
    <col min="11" max="14" width="7.453125" style="77" customWidth="1"/>
    <col min="15" max="15" width="5.81640625" style="77" bestFit="1" customWidth="1"/>
    <col min="16" max="16" width="6.453125" style="77" bestFit="1" customWidth="1"/>
    <col min="17" max="17" width="6.54296875" style="77" bestFit="1" customWidth="1"/>
    <col min="18" max="18" width="7.453125" style="77" bestFit="1" customWidth="1"/>
    <col min="19" max="19" width="7.453125" style="77" customWidth="1"/>
    <col min="20" max="20" width="14.54296875" style="77" customWidth="1"/>
    <col min="21" max="21" width="7.54296875" style="104" customWidth="1"/>
    <col min="22" max="24" width="7.7265625" style="77" customWidth="1"/>
    <col min="25" max="26" width="7.7265625" style="105" customWidth="1"/>
    <col min="27" max="28" width="7.7265625" style="77" customWidth="1"/>
    <col min="29" max="29" width="7.7265625" style="103" customWidth="1"/>
    <col min="30" max="33" width="7.7265625" style="77" customWidth="1"/>
    <col min="34" max="34" width="10.7265625" style="106" customWidth="1"/>
    <col min="35" max="35" width="6.453125" style="106" bestFit="1" customWidth="1"/>
    <col min="36" max="37" width="6.26953125" style="106" bestFit="1" customWidth="1"/>
    <col min="38" max="38" width="9.453125" style="106" customWidth="1"/>
    <col min="39" max="39" width="14.54296875" style="106" customWidth="1"/>
    <col min="40" max="40" width="21.453125" style="106" bestFit="1" customWidth="1"/>
    <col min="41" max="41" width="8.453125" style="107" bestFit="1" customWidth="1"/>
    <col min="42" max="42" width="9.1796875" style="107" bestFit="1" customWidth="1"/>
    <col min="43" max="43" width="7.26953125" style="107" customWidth="1"/>
    <col min="44" max="46" width="10.81640625" style="108" customWidth="1"/>
    <col min="47" max="47" width="7.26953125" style="50" customWidth="1"/>
    <col min="48" max="48" width="9.1796875" style="50" bestFit="1" customWidth="1"/>
    <col min="49" max="49" width="7.26953125" style="50" customWidth="1"/>
    <col min="50" max="50" width="7.26953125" style="109" customWidth="1"/>
    <col min="51" max="51" width="1.453125" style="109" bestFit="1" customWidth="1"/>
    <col min="52" max="52" width="7.26953125" style="109" customWidth="1"/>
    <col min="53" max="53" width="12.54296875" style="50" bestFit="1" customWidth="1"/>
    <col min="54" max="16384" width="9.1796875" style="77"/>
  </cols>
  <sheetData>
    <row r="1" spans="1:53" s="57" customFormat="1" ht="58">
      <c r="A1" s="51" t="s">
        <v>0</v>
      </c>
      <c r="B1" s="51" t="s">
        <v>49</v>
      </c>
      <c r="C1" s="52" t="s">
        <v>133</v>
      </c>
      <c r="D1" s="51" t="s">
        <v>55</v>
      </c>
      <c r="E1" s="51" t="s">
        <v>56</v>
      </c>
      <c r="F1" s="51" t="s">
        <v>57</v>
      </c>
      <c r="G1" s="52" t="s">
        <v>134</v>
      </c>
      <c r="H1" s="52" t="s">
        <v>135</v>
      </c>
      <c r="I1" s="52" t="s">
        <v>136</v>
      </c>
      <c r="J1" s="52" t="s">
        <v>137</v>
      </c>
      <c r="K1" s="52" t="s">
        <v>138</v>
      </c>
      <c r="L1" s="52" t="s">
        <v>139</v>
      </c>
      <c r="M1" s="52" t="s">
        <v>140</v>
      </c>
      <c r="N1" s="52" t="s">
        <v>141</v>
      </c>
      <c r="O1" s="52" t="s">
        <v>61</v>
      </c>
      <c r="P1" s="52" t="s">
        <v>63</v>
      </c>
      <c r="Q1" s="52" t="s">
        <v>64</v>
      </c>
      <c r="R1" s="52" t="s">
        <v>142</v>
      </c>
      <c r="S1" s="52" t="s">
        <v>143</v>
      </c>
      <c r="T1" s="52" t="s">
        <v>144</v>
      </c>
      <c r="U1" s="53" t="s">
        <v>145</v>
      </c>
      <c r="V1" s="52" t="s">
        <v>146</v>
      </c>
      <c r="W1" s="52" t="s">
        <v>147</v>
      </c>
      <c r="X1" s="52" t="s">
        <v>148</v>
      </c>
      <c r="Y1" s="52" t="s">
        <v>149</v>
      </c>
      <c r="Z1" s="53" t="s">
        <v>150</v>
      </c>
      <c r="AA1" s="53" t="s">
        <v>151</v>
      </c>
      <c r="AB1" s="52" t="s">
        <v>152</v>
      </c>
      <c r="AC1" s="52" t="s">
        <v>153</v>
      </c>
      <c r="AD1" s="52" t="s">
        <v>154</v>
      </c>
      <c r="AE1" s="52" t="s">
        <v>155</v>
      </c>
      <c r="AF1" s="53" t="s">
        <v>156</v>
      </c>
      <c r="AG1" s="53" t="s">
        <v>157</v>
      </c>
      <c r="AH1" s="52" t="s">
        <v>158</v>
      </c>
      <c r="AI1" s="52" t="s">
        <v>159</v>
      </c>
      <c r="AJ1" s="52" t="s">
        <v>160</v>
      </c>
      <c r="AK1" s="52" t="s">
        <v>161</v>
      </c>
      <c r="AL1" s="52" t="s">
        <v>162</v>
      </c>
      <c r="AM1" s="52" t="s">
        <v>163</v>
      </c>
      <c r="AN1" s="52" t="s">
        <v>164</v>
      </c>
      <c r="AO1" s="51" t="s">
        <v>165</v>
      </c>
      <c r="AP1" s="51" t="s">
        <v>166</v>
      </c>
      <c r="AQ1" s="51" t="s">
        <v>167</v>
      </c>
      <c r="AR1" s="51" t="s">
        <v>168</v>
      </c>
      <c r="AS1" s="51" t="s">
        <v>169</v>
      </c>
      <c r="AT1" s="51" t="s">
        <v>170</v>
      </c>
      <c r="AU1" s="51" t="s">
        <v>171</v>
      </c>
      <c r="AV1" s="51" t="s">
        <v>172</v>
      </c>
      <c r="AW1" s="51" t="s">
        <v>173</v>
      </c>
      <c r="AX1" s="54" t="s">
        <v>174</v>
      </c>
      <c r="AY1" s="55" t="s">
        <v>175</v>
      </c>
      <c r="AZ1" s="56" t="s">
        <v>176</v>
      </c>
      <c r="BA1" s="51" t="s">
        <v>50</v>
      </c>
    </row>
    <row r="2" spans="1:53" ht="15.75" customHeight="1">
      <c r="A2" s="5">
        <v>27</v>
      </c>
      <c r="B2" s="38">
        <v>1</v>
      </c>
      <c r="C2" s="58">
        <v>46142</v>
      </c>
      <c r="D2" s="38">
        <v>1</v>
      </c>
      <c r="E2" s="38">
        <v>9</v>
      </c>
      <c r="F2" s="38" t="s">
        <v>90</v>
      </c>
      <c r="G2" s="59">
        <v>17.5</v>
      </c>
      <c r="H2" s="59">
        <v>11.5</v>
      </c>
      <c r="I2" s="59">
        <v>13.96</v>
      </c>
      <c r="J2" s="60">
        <f>AVERAGE(G2:I2)</f>
        <v>14.32</v>
      </c>
      <c r="K2" s="61">
        <v>46010</v>
      </c>
      <c r="L2" s="60">
        <v>70.39</v>
      </c>
      <c r="M2" s="61">
        <v>46142</v>
      </c>
      <c r="N2" s="60">
        <v>94.84</v>
      </c>
      <c r="O2" s="62">
        <v>41</v>
      </c>
      <c r="P2" s="63">
        <v>82</v>
      </c>
      <c r="Q2" s="59">
        <v>77.5</v>
      </c>
      <c r="R2" s="60">
        <v>0.12</v>
      </c>
      <c r="S2" s="63">
        <f t="shared" ref="S2" si="0">M2-K2</f>
        <v>132</v>
      </c>
      <c r="T2" s="59">
        <v>11.38</v>
      </c>
      <c r="U2" s="63">
        <v>37.5</v>
      </c>
      <c r="V2" s="59">
        <v>100.66</v>
      </c>
      <c r="W2" s="59">
        <v>66</v>
      </c>
      <c r="X2" s="59">
        <v>7</v>
      </c>
      <c r="Y2" s="63">
        <v>39.5</v>
      </c>
      <c r="Z2" s="63">
        <v>74.25</v>
      </c>
      <c r="AA2" s="59">
        <v>75.37</v>
      </c>
      <c r="AB2" s="59"/>
      <c r="AC2" s="59"/>
      <c r="AD2" s="59"/>
      <c r="AE2" s="59"/>
      <c r="AF2" s="59"/>
      <c r="AG2" s="59"/>
      <c r="AH2" s="64">
        <v>55.875</v>
      </c>
      <c r="AI2" s="65"/>
      <c r="AJ2" s="65"/>
      <c r="AK2" s="65"/>
      <c r="AL2" s="66"/>
      <c r="AM2" s="67"/>
      <c r="AN2" s="67"/>
      <c r="AO2" s="68">
        <v>2</v>
      </c>
      <c r="AP2" s="68">
        <f>AO2*35</f>
        <v>70</v>
      </c>
      <c r="AQ2" s="69">
        <f>AP2/1260</f>
        <v>5.5555555555555552E-2</v>
      </c>
      <c r="AR2" s="70">
        <v>24</v>
      </c>
      <c r="AS2" s="70">
        <f>AR2*35</f>
        <v>840</v>
      </c>
      <c r="AT2" s="71">
        <f>AS2/1260</f>
        <v>0.66666666666666663</v>
      </c>
      <c r="AU2" s="72">
        <f>AO2+AR2</f>
        <v>26</v>
      </c>
      <c r="AV2" s="72">
        <f>AP2+AS2</f>
        <v>910</v>
      </c>
      <c r="AW2" s="73">
        <f>AQ2+AT2</f>
        <v>0.72222222222222221</v>
      </c>
      <c r="AX2" s="74">
        <v>1</v>
      </c>
      <c r="AY2" s="75" t="s">
        <v>175</v>
      </c>
      <c r="AZ2" s="76">
        <v>2</v>
      </c>
      <c r="BA2" s="38" t="s">
        <v>65</v>
      </c>
    </row>
    <row r="3" spans="1:53" ht="15.75" customHeight="1">
      <c r="A3" s="5">
        <v>27</v>
      </c>
      <c r="B3" s="38">
        <v>2</v>
      </c>
      <c r="C3" s="58">
        <v>46144</v>
      </c>
      <c r="D3" s="38"/>
      <c r="E3" s="38"/>
      <c r="F3" s="38"/>
      <c r="G3" s="59"/>
      <c r="H3" s="59"/>
      <c r="I3" s="59"/>
      <c r="J3" s="60"/>
      <c r="K3" s="61"/>
      <c r="L3" s="59"/>
      <c r="M3" s="78"/>
      <c r="N3" s="59"/>
      <c r="O3" s="59"/>
      <c r="P3" s="59"/>
      <c r="Q3" s="59"/>
      <c r="R3" s="59"/>
      <c r="S3" s="63"/>
      <c r="T3" s="59"/>
      <c r="U3" s="63"/>
      <c r="V3" s="59"/>
      <c r="W3" s="59"/>
      <c r="X3" s="59"/>
      <c r="Y3" s="63"/>
      <c r="Z3" s="63"/>
      <c r="AA3" s="59"/>
      <c r="AB3" s="59"/>
      <c r="AC3" s="59"/>
      <c r="AD3" s="59"/>
      <c r="AE3" s="59"/>
      <c r="AF3" s="59"/>
      <c r="AG3" s="59"/>
      <c r="AH3" s="65"/>
      <c r="AI3" s="79"/>
      <c r="AJ3" s="79"/>
      <c r="AK3" s="79" t="s">
        <v>177</v>
      </c>
      <c r="AL3" s="67">
        <v>34.200000000000003</v>
      </c>
      <c r="AM3" s="66">
        <v>8.8000000000000007</v>
      </c>
      <c r="AN3" s="67" t="s">
        <v>178</v>
      </c>
      <c r="AO3" s="80"/>
      <c r="AP3" s="80"/>
      <c r="AQ3" s="80"/>
      <c r="AR3" s="81"/>
      <c r="AS3" s="81"/>
      <c r="AT3" s="81"/>
      <c r="AU3" s="38"/>
      <c r="AV3" s="38"/>
      <c r="AW3" s="38"/>
      <c r="AX3" s="74"/>
      <c r="AY3" s="75"/>
      <c r="AZ3" s="76"/>
      <c r="BA3" s="38" t="s">
        <v>65</v>
      </c>
    </row>
    <row r="4" spans="1:53" ht="15.75" customHeight="1">
      <c r="A4" s="5">
        <v>27</v>
      </c>
      <c r="B4" s="38">
        <v>3</v>
      </c>
      <c r="C4" s="58">
        <v>46146</v>
      </c>
      <c r="D4" s="38">
        <v>1</v>
      </c>
      <c r="E4" s="38">
        <v>8</v>
      </c>
      <c r="F4" s="38" t="s">
        <v>85</v>
      </c>
      <c r="G4" s="59">
        <v>14.13</v>
      </c>
      <c r="H4" s="59">
        <v>10.83</v>
      </c>
      <c r="I4" s="59">
        <v>17.100000000000001</v>
      </c>
      <c r="J4" s="60">
        <f t="shared" ref="J4:J11" si="1">AVERAGE(G4:I4)</f>
        <v>14.020000000000001</v>
      </c>
      <c r="K4" s="61">
        <v>46008</v>
      </c>
      <c r="L4" s="60">
        <v>73.12</v>
      </c>
      <c r="M4" s="61">
        <v>46146</v>
      </c>
      <c r="N4" s="60">
        <v>98.77</v>
      </c>
      <c r="O4" s="62">
        <v>41</v>
      </c>
      <c r="P4" s="63">
        <v>82</v>
      </c>
      <c r="Q4" s="59">
        <v>77.5</v>
      </c>
      <c r="R4" s="82">
        <v>0.12</v>
      </c>
      <c r="S4" s="63">
        <f t="shared" ref="S4:S15" si="2">M4-K4</f>
        <v>138</v>
      </c>
      <c r="T4" s="59">
        <v>10.955</v>
      </c>
      <c r="U4" s="63">
        <v>37.5</v>
      </c>
      <c r="V4" s="59"/>
      <c r="W4" s="59"/>
      <c r="X4" s="59"/>
      <c r="Y4" s="63"/>
      <c r="Z4" s="63"/>
      <c r="AA4" s="59"/>
      <c r="AB4" s="59"/>
      <c r="AC4" s="59"/>
      <c r="AD4" s="59"/>
      <c r="AE4" s="59"/>
      <c r="AF4" s="59"/>
      <c r="AG4" s="59"/>
      <c r="AH4" s="65"/>
      <c r="AI4" s="79"/>
      <c r="AJ4" s="79"/>
      <c r="AK4" s="65"/>
      <c r="AL4" s="67"/>
      <c r="AM4" s="67"/>
      <c r="AN4" s="67"/>
      <c r="AO4" s="68"/>
      <c r="AP4" s="68"/>
      <c r="AQ4" s="69"/>
      <c r="AR4" s="70"/>
      <c r="AS4" s="70"/>
      <c r="AT4" s="71"/>
      <c r="AU4" s="72"/>
      <c r="AV4" s="72"/>
      <c r="AW4" s="73"/>
      <c r="AX4" s="74">
        <v>2</v>
      </c>
      <c r="AY4" s="75" t="s">
        <v>175</v>
      </c>
      <c r="AZ4" s="76">
        <v>2</v>
      </c>
      <c r="BA4" s="38" t="s">
        <v>65</v>
      </c>
    </row>
    <row r="5" spans="1:53" ht="15.75" customHeight="1">
      <c r="A5" s="5">
        <v>27</v>
      </c>
      <c r="B5" s="38">
        <v>4</v>
      </c>
      <c r="C5" s="58">
        <v>46147</v>
      </c>
      <c r="D5" s="38"/>
      <c r="E5" s="38"/>
      <c r="F5" s="38"/>
      <c r="G5" s="59"/>
      <c r="H5" s="59"/>
      <c r="I5" s="59"/>
      <c r="J5" s="60"/>
      <c r="K5" s="78"/>
      <c r="L5" s="60"/>
      <c r="M5" s="78"/>
      <c r="N5" s="60"/>
      <c r="O5" s="63"/>
      <c r="P5" s="63"/>
      <c r="Q5" s="63"/>
      <c r="R5" s="82"/>
      <c r="S5" s="63"/>
      <c r="T5" s="59"/>
      <c r="U5" s="63"/>
      <c r="V5" s="59"/>
      <c r="W5" s="59"/>
      <c r="X5" s="59"/>
      <c r="Y5" s="63">
        <v>30.8</v>
      </c>
      <c r="Z5" s="63">
        <v>71</v>
      </c>
      <c r="AA5" s="59">
        <v>74.099999999999994</v>
      </c>
      <c r="AB5" s="59">
        <v>110.75</v>
      </c>
      <c r="AC5" s="59">
        <v>72.5</v>
      </c>
      <c r="AD5" s="59">
        <v>7</v>
      </c>
      <c r="AE5" s="63">
        <v>38</v>
      </c>
      <c r="AF5" s="63">
        <v>69.5</v>
      </c>
      <c r="AG5" s="59">
        <v>72.25</v>
      </c>
      <c r="AH5" s="65"/>
      <c r="AI5" s="79" t="s">
        <v>177</v>
      </c>
      <c r="AJ5" s="79" t="s">
        <v>177</v>
      </c>
      <c r="AK5" s="65"/>
      <c r="AL5" s="67">
        <v>48.23</v>
      </c>
      <c r="AM5" s="67">
        <v>50</v>
      </c>
      <c r="AN5" s="67" t="s">
        <v>179</v>
      </c>
      <c r="AO5" s="68">
        <v>0</v>
      </c>
      <c r="AP5" s="68">
        <f>AO5*35</f>
        <v>0</v>
      </c>
      <c r="AQ5" s="69">
        <f>AP5/1260</f>
        <v>0</v>
      </c>
      <c r="AR5" s="70">
        <v>77</v>
      </c>
      <c r="AS5" s="70">
        <f>AR5*35</f>
        <v>2695</v>
      </c>
      <c r="AT5" s="71">
        <f>AS5/1260</f>
        <v>2.1388888888888888</v>
      </c>
      <c r="AU5" s="72">
        <f>AO5+AR5</f>
        <v>77</v>
      </c>
      <c r="AV5" s="72">
        <f>AP5+AS5</f>
        <v>2695</v>
      </c>
      <c r="AW5" s="73">
        <f>AQ5+AT5</f>
        <v>2.1388888888888888</v>
      </c>
      <c r="AX5" s="74">
        <v>3</v>
      </c>
      <c r="AY5" s="75" t="s">
        <v>175</v>
      </c>
      <c r="AZ5" s="76">
        <v>4</v>
      </c>
      <c r="BA5" s="38" t="s">
        <v>65</v>
      </c>
    </row>
    <row r="6" spans="1:53" ht="15.75" customHeight="1">
      <c r="A6" s="5">
        <v>27</v>
      </c>
      <c r="B6" s="38">
        <v>5</v>
      </c>
      <c r="C6" s="58">
        <v>46148</v>
      </c>
      <c r="D6" s="38">
        <v>1</v>
      </c>
      <c r="E6" s="38" t="s">
        <v>180</v>
      </c>
      <c r="F6" s="38" t="s">
        <v>181</v>
      </c>
      <c r="G6" s="59">
        <v>14.52</v>
      </c>
      <c r="H6" s="59">
        <v>15.29</v>
      </c>
      <c r="I6" s="59">
        <v>12.97</v>
      </c>
      <c r="J6" s="60">
        <f t="shared" si="1"/>
        <v>14.26</v>
      </c>
      <c r="K6" s="61">
        <v>46008</v>
      </c>
      <c r="L6" s="60">
        <v>73.12</v>
      </c>
      <c r="M6" s="61">
        <v>46147</v>
      </c>
      <c r="N6" s="60">
        <v>98.77</v>
      </c>
      <c r="O6" s="63"/>
      <c r="P6" s="63"/>
      <c r="Q6" s="63"/>
      <c r="R6" s="82"/>
      <c r="S6" s="63">
        <f t="shared" si="2"/>
        <v>139</v>
      </c>
      <c r="T6" s="59">
        <v>10.535</v>
      </c>
      <c r="U6" s="63">
        <v>38</v>
      </c>
      <c r="V6" s="59">
        <v>115</v>
      </c>
      <c r="W6" s="59">
        <v>47</v>
      </c>
      <c r="X6" s="59">
        <v>7</v>
      </c>
      <c r="Y6" s="63"/>
      <c r="Z6" s="63"/>
      <c r="AA6" s="59"/>
      <c r="AB6" s="59"/>
      <c r="AC6" s="59"/>
      <c r="AD6" s="59"/>
      <c r="AE6" s="63"/>
      <c r="AF6" s="63"/>
      <c r="AG6" s="59"/>
      <c r="AH6" s="65"/>
      <c r="AI6" s="65"/>
      <c r="AJ6" s="65"/>
      <c r="AK6" s="65"/>
      <c r="AL6" s="65"/>
      <c r="AM6" s="65"/>
      <c r="AN6" s="65"/>
      <c r="AO6" s="68"/>
      <c r="AP6" s="68"/>
      <c r="AQ6" s="69"/>
      <c r="AR6" s="70"/>
      <c r="AS6" s="70"/>
      <c r="AT6" s="71"/>
      <c r="AU6" s="72"/>
      <c r="AV6" s="72"/>
      <c r="AW6" s="73"/>
      <c r="AX6" s="74"/>
      <c r="AY6" s="75"/>
      <c r="AZ6" s="76"/>
      <c r="BA6" s="38" t="s">
        <v>65</v>
      </c>
    </row>
    <row r="7" spans="1:53" ht="15.75" customHeight="1">
      <c r="A7" s="5">
        <v>27</v>
      </c>
      <c r="B7" s="38">
        <v>6</v>
      </c>
      <c r="C7" s="58">
        <v>46149</v>
      </c>
      <c r="D7" s="38"/>
      <c r="E7" s="38"/>
      <c r="F7" s="38"/>
      <c r="G7" s="59"/>
      <c r="H7" s="59"/>
      <c r="I7" s="59"/>
      <c r="J7" s="60"/>
      <c r="K7" s="78"/>
      <c r="L7" s="60"/>
      <c r="M7" s="78"/>
      <c r="N7" s="60"/>
      <c r="O7" s="63"/>
      <c r="P7" s="63"/>
      <c r="Q7" s="63"/>
      <c r="R7" s="82"/>
      <c r="S7" s="63"/>
      <c r="T7" s="59"/>
      <c r="U7" s="63"/>
      <c r="V7" s="59">
        <v>101</v>
      </c>
      <c r="W7" s="59">
        <v>113</v>
      </c>
      <c r="X7" s="59">
        <v>7</v>
      </c>
      <c r="Y7" s="63">
        <v>35.5</v>
      </c>
      <c r="Z7" s="63">
        <v>70</v>
      </c>
      <c r="AA7" s="59">
        <v>71.5</v>
      </c>
      <c r="AB7" s="59"/>
      <c r="AC7" s="59"/>
      <c r="AD7" s="59"/>
      <c r="AE7" s="63">
        <v>36</v>
      </c>
      <c r="AF7" s="63">
        <v>72.33</v>
      </c>
      <c r="AG7" s="59">
        <v>71.58</v>
      </c>
      <c r="AH7" s="67">
        <v>100.66</v>
      </c>
      <c r="AI7" s="79" t="s">
        <v>177</v>
      </c>
      <c r="AJ7" s="79" t="s">
        <v>177</v>
      </c>
      <c r="AK7" s="79" t="s">
        <v>177</v>
      </c>
      <c r="AL7" s="67">
        <v>54.33</v>
      </c>
      <c r="AM7" s="65">
        <v>25</v>
      </c>
      <c r="AN7" s="65" t="s">
        <v>182</v>
      </c>
      <c r="AO7" s="68">
        <v>17</v>
      </c>
      <c r="AP7" s="68">
        <f>AO7*35</f>
        <v>595</v>
      </c>
      <c r="AQ7" s="69">
        <f>AP7/1260</f>
        <v>0.47222222222222221</v>
      </c>
      <c r="AR7" s="70">
        <v>1</v>
      </c>
      <c r="AS7" s="70">
        <f>AR7*35</f>
        <v>35</v>
      </c>
      <c r="AT7" s="71">
        <f>AS7/1260</f>
        <v>2.7777777777777776E-2</v>
      </c>
      <c r="AU7" s="72">
        <f>AO7+AR7</f>
        <v>18</v>
      </c>
      <c r="AV7" s="72">
        <f>AP7+AS7</f>
        <v>630</v>
      </c>
      <c r="AW7" s="73">
        <f>AQ7+AT7</f>
        <v>0.5</v>
      </c>
      <c r="AX7" s="74">
        <v>4</v>
      </c>
      <c r="AY7" s="75" t="s">
        <v>175</v>
      </c>
      <c r="AZ7" s="76">
        <v>4</v>
      </c>
      <c r="BA7" s="38" t="s">
        <v>65</v>
      </c>
    </row>
    <row r="8" spans="1:53" ht="15.75" customHeight="1">
      <c r="A8" s="5">
        <v>28</v>
      </c>
      <c r="B8" s="38">
        <v>7</v>
      </c>
      <c r="C8" s="58">
        <v>46150</v>
      </c>
      <c r="D8" s="38">
        <v>1</v>
      </c>
      <c r="E8" s="38">
        <v>7</v>
      </c>
      <c r="F8" s="38" t="s">
        <v>183</v>
      </c>
      <c r="G8" s="59">
        <v>14.91</v>
      </c>
      <c r="H8" s="59">
        <v>10.53</v>
      </c>
      <c r="I8" s="59">
        <v>13.97</v>
      </c>
      <c r="J8" s="60">
        <f t="shared" si="1"/>
        <v>13.136666666666665</v>
      </c>
      <c r="K8" s="61">
        <v>46013</v>
      </c>
      <c r="L8" s="60">
        <v>76.05</v>
      </c>
      <c r="M8" s="61">
        <v>46150</v>
      </c>
      <c r="N8" s="83">
        <v>96.18</v>
      </c>
      <c r="O8" s="63">
        <v>37</v>
      </c>
      <c r="P8" s="63">
        <v>84</v>
      </c>
      <c r="Q8" s="59">
        <v>69.67</v>
      </c>
      <c r="R8" s="82">
        <v>0.122</v>
      </c>
      <c r="S8" s="63">
        <f t="shared" si="2"/>
        <v>137</v>
      </c>
      <c r="T8" s="59">
        <v>30.5</v>
      </c>
      <c r="U8" s="63"/>
      <c r="V8" s="59"/>
      <c r="W8" s="59"/>
      <c r="X8" s="59"/>
      <c r="Y8" s="63"/>
      <c r="Z8" s="63"/>
      <c r="AA8" s="59"/>
      <c r="AB8" s="59">
        <v>135.19999999999999</v>
      </c>
      <c r="AC8" s="59">
        <v>52</v>
      </c>
      <c r="AD8" s="59">
        <v>7</v>
      </c>
      <c r="AE8" s="63"/>
      <c r="AF8" s="63"/>
      <c r="AG8" s="59"/>
      <c r="AH8" s="59"/>
      <c r="AI8" s="65"/>
      <c r="AJ8" s="65"/>
      <c r="AK8" s="65"/>
      <c r="AL8" s="65"/>
      <c r="AM8" s="67">
        <v>168</v>
      </c>
      <c r="AN8" s="67" t="s">
        <v>184</v>
      </c>
      <c r="AO8" s="68">
        <v>134</v>
      </c>
      <c r="AP8" s="68">
        <f t="shared" ref="AP8:AP16" si="3">AO8*35</f>
        <v>4690</v>
      </c>
      <c r="AQ8" s="69">
        <f t="shared" ref="AQ8:AQ16" si="4">AP8/1260</f>
        <v>3.7222222222222223</v>
      </c>
      <c r="AR8" s="70">
        <v>7</v>
      </c>
      <c r="AS8" s="70">
        <f>AR8*35</f>
        <v>245</v>
      </c>
      <c r="AT8" s="71">
        <f>AS8/1260</f>
        <v>0.19444444444444445</v>
      </c>
      <c r="AU8" s="72">
        <f t="shared" ref="AU8:AW20" si="5">AO8+AR8</f>
        <v>141</v>
      </c>
      <c r="AV8" s="72">
        <f t="shared" si="5"/>
        <v>4935</v>
      </c>
      <c r="AW8" s="73">
        <f t="shared" si="5"/>
        <v>3.916666666666667</v>
      </c>
      <c r="AX8" s="74">
        <v>5</v>
      </c>
      <c r="AY8" s="75" t="s">
        <v>175</v>
      </c>
      <c r="AZ8" s="76">
        <v>8</v>
      </c>
      <c r="BA8" s="38" t="s">
        <v>65</v>
      </c>
    </row>
    <row r="9" spans="1:53" ht="15.75" customHeight="1">
      <c r="A9" s="5">
        <v>28</v>
      </c>
      <c r="B9" s="38">
        <v>8</v>
      </c>
      <c r="C9" s="58">
        <v>46151</v>
      </c>
      <c r="D9" s="38">
        <v>1</v>
      </c>
      <c r="E9" s="46">
        <v>6</v>
      </c>
      <c r="F9" s="38" t="s">
        <v>94</v>
      </c>
      <c r="G9" s="59">
        <v>16.41</v>
      </c>
      <c r="H9" s="59">
        <v>12.04</v>
      </c>
      <c r="I9" s="59">
        <v>14.8</v>
      </c>
      <c r="J9" s="60">
        <f t="shared" si="1"/>
        <v>14.416666666666666</v>
      </c>
      <c r="K9" s="61">
        <v>46013</v>
      </c>
      <c r="L9" s="60">
        <v>76.05</v>
      </c>
      <c r="M9" s="61">
        <v>46151</v>
      </c>
      <c r="N9" s="83">
        <v>96.18</v>
      </c>
      <c r="O9" s="63"/>
      <c r="P9" s="63"/>
      <c r="Q9" s="63"/>
      <c r="R9" s="82"/>
      <c r="S9" s="63">
        <f t="shared" si="2"/>
        <v>138</v>
      </c>
      <c r="T9" s="59">
        <v>13.42</v>
      </c>
      <c r="U9" s="63">
        <v>31</v>
      </c>
      <c r="V9" s="59"/>
      <c r="W9" s="59"/>
      <c r="X9" s="59"/>
      <c r="Y9" s="63"/>
      <c r="Z9" s="63"/>
      <c r="AA9" s="59"/>
      <c r="AB9" s="59">
        <v>117.75</v>
      </c>
      <c r="AC9" s="59">
        <v>88</v>
      </c>
      <c r="AD9" s="59">
        <v>7</v>
      </c>
      <c r="AE9" s="63">
        <v>41</v>
      </c>
      <c r="AF9" s="63">
        <v>70</v>
      </c>
      <c r="AG9" s="59">
        <v>72.8</v>
      </c>
      <c r="AH9" s="59"/>
      <c r="AI9" s="79"/>
      <c r="AJ9" s="79"/>
      <c r="AK9" s="79"/>
      <c r="AL9" s="67">
        <v>63.2</v>
      </c>
      <c r="AM9" s="65">
        <v>4.8</v>
      </c>
      <c r="AN9" s="65" t="s">
        <v>184</v>
      </c>
      <c r="AO9" s="68">
        <v>29</v>
      </c>
      <c r="AP9" s="68">
        <f t="shared" si="3"/>
        <v>1015</v>
      </c>
      <c r="AQ9" s="69">
        <f t="shared" si="4"/>
        <v>0.80555555555555558</v>
      </c>
      <c r="AR9" s="70">
        <v>0</v>
      </c>
      <c r="AS9" s="70">
        <f>AR9*35</f>
        <v>0</v>
      </c>
      <c r="AT9" s="71">
        <f>AS9/1260</f>
        <v>0</v>
      </c>
      <c r="AU9" s="72">
        <f t="shared" si="5"/>
        <v>29</v>
      </c>
      <c r="AV9" s="72">
        <f t="shared" si="5"/>
        <v>1015</v>
      </c>
      <c r="AW9" s="73">
        <f t="shared" si="5"/>
        <v>0.80555555555555558</v>
      </c>
      <c r="AX9" s="74">
        <v>8</v>
      </c>
      <c r="AY9" s="75" t="s">
        <v>175</v>
      </c>
      <c r="AZ9" s="76">
        <v>9</v>
      </c>
      <c r="BA9" s="38" t="s">
        <v>65</v>
      </c>
    </row>
    <row r="10" spans="1:53" ht="15.75" customHeight="1">
      <c r="A10" s="5">
        <v>28</v>
      </c>
      <c r="B10" s="38">
        <v>9</v>
      </c>
      <c r="C10" s="58">
        <v>46153</v>
      </c>
      <c r="D10" s="38">
        <v>1</v>
      </c>
      <c r="E10" s="38" t="s">
        <v>185</v>
      </c>
      <c r="F10" s="38" t="s">
        <v>186</v>
      </c>
      <c r="G10" s="59">
        <v>19.71</v>
      </c>
      <c r="H10" s="59">
        <v>14.02</v>
      </c>
      <c r="I10" s="59">
        <v>14.92</v>
      </c>
      <c r="J10" s="60">
        <f t="shared" si="1"/>
        <v>16.216666666666669</v>
      </c>
      <c r="K10" s="61">
        <v>46013</v>
      </c>
      <c r="L10" s="60">
        <v>76.05</v>
      </c>
      <c r="M10" s="61">
        <v>46153</v>
      </c>
      <c r="N10" s="60">
        <v>95.69</v>
      </c>
      <c r="O10" s="59"/>
      <c r="P10" s="59"/>
      <c r="Q10" s="59"/>
      <c r="R10" s="59"/>
      <c r="S10" s="63">
        <f t="shared" si="2"/>
        <v>140</v>
      </c>
      <c r="T10" s="59">
        <v>13.04</v>
      </c>
      <c r="U10" s="63">
        <v>30.5</v>
      </c>
      <c r="V10" s="59"/>
      <c r="W10" s="59"/>
      <c r="X10" s="59"/>
      <c r="Y10" s="63"/>
      <c r="Z10" s="63"/>
      <c r="AA10" s="59"/>
      <c r="AB10" s="59">
        <v>104.5</v>
      </c>
      <c r="AC10" s="59">
        <v>87.25</v>
      </c>
      <c r="AD10" s="59">
        <v>7</v>
      </c>
      <c r="AE10" s="63">
        <v>38</v>
      </c>
      <c r="AF10" s="63">
        <v>72.33</v>
      </c>
      <c r="AG10" s="59">
        <v>72.73</v>
      </c>
      <c r="AH10" s="65"/>
      <c r="AI10" s="79" t="s">
        <v>177</v>
      </c>
      <c r="AJ10" s="79" t="s">
        <v>177</v>
      </c>
      <c r="AK10" s="65"/>
      <c r="AL10" s="67">
        <v>40.770000000000003</v>
      </c>
      <c r="AM10" s="64">
        <v>2.7643</v>
      </c>
      <c r="AN10" s="67" t="s">
        <v>187</v>
      </c>
      <c r="AO10" s="68">
        <v>229</v>
      </c>
      <c r="AP10" s="68">
        <f t="shared" si="3"/>
        <v>8015</v>
      </c>
      <c r="AQ10" s="69">
        <f t="shared" si="4"/>
        <v>6.3611111111111107</v>
      </c>
      <c r="AR10" s="70">
        <v>5</v>
      </c>
      <c r="AS10" s="70">
        <f t="shared" ref="AS10:AS16" si="6">AR10*35</f>
        <v>175</v>
      </c>
      <c r="AT10" s="71">
        <f t="shared" ref="AT10:AT16" si="7">AS10/1260</f>
        <v>0.1388888888888889</v>
      </c>
      <c r="AU10" s="72">
        <f t="shared" si="5"/>
        <v>234</v>
      </c>
      <c r="AV10" s="72">
        <f t="shared" si="5"/>
        <v>8190</v>
      </c>
      <c r="AW10" s="73">
        <f t="shared" si="5"/>
        <v>6.5</v>
      </c>
      <c r="AX10" s="74">
        <v>9</v>
      </c>
      <c r="AY10" s="75" t="s">
        <v>175</v>
      </c>
      <c r="AZ10" s="76">
        <v>15</v>
      </c>
      <c r="BA10" s="38" t="s">
        <v>65</v>
      </c>
    </row>
    <row r="11" spans="1:53" ht="15.75" customHeight="1">
      <c r="A11" s="5">
        <v>28</v>
      </c>
      <c r="B11" s="38">
        <v>10</v>
      </c>
      <c r="C11" s="58">
        <v>46154</v>
      </c>
      <c r="D11" s="38">
        <v>1</v>
      </c>
      <c r="E11" s="38">
        <v>4</v>
      </c>
      <c r="F11" s="38" t="s">
        <v>183</v>
      </c>
      <c r="G11" s="59">
        <v>17.32</v>
      </c>
      <c r="H11" s="59">
        <v>13.2</v>
      </c>
      <c r="I11" s="59">
        <v>18.05</v>
      </c>
      <c r="J11" s="60">
        <f t="shared" si="1"/>
        <v>16.190000000000001</v>
      </c>
      <c r="K11" s="61">
        <v>46020</v>
      </c>
      <c r="L11" s="60">
        <v>65.540000000000006</v>
      </c>
      <c r="M11" s="61">
        <v>46154</v>
      </c>
      <c r="N11" s="59">
        <v>93.71</v>
      </c>
      <c r="O11" s="59"/>
      <c r="P11" s="59"/>
      <c r="Q11" s="59"/>
      <c r="R11" s="59"/>
      <c r="S11" s="63">
        <f t="shared" si="2"/>
        <v>134</v>
      </c>
      <c r="T11" s="59">
        <v>12.872</v>
      </c>
      <c r="U11" s="63">
        <v>31.6</v>
      </c>
      <c r="V11" s="59"/>
      <c r="W11" s="59"/>
      <c r="X11" s="59"/>
      <c r="Y11" s="63"/>
      <c r="Z11" s="63"/>
      <c r="AA11" s="59"/>
      <c r="AB11" s="59">
        <v>97.8</v>
      </c>
      <c r="AC11" s="59">
        <v>92.6</v>
      </c>
      <c r="AD11" s="59">
        <v>10</v>
      </c>
      <c r="AE11" s="63">
        <v>37.9</v>
      </c>
      <c r="AF11" s="59">
        <v>70.94</v>
      </c>
      <c r="AG11" s="59">
        <v>73.75</v>
      </c>
      <c r="AH11" s="67">
        <v>42.8</v>
      </c>
      <c r="AI11" s="79" t="s">
        <v>177</v>
      </c>
      <c r="AJ11" s="79" t="s">
        <v>177</v>
      </c>
      <c r="AK11" s="65"/>
      <c r="AL11" s="67">
        <v>37.46</v>
      </c>
      <c r="AM11" s="64">
        <v>35.270899999999997</v>
      </c>
      <c r="AN11" s="67" t="s">
        <v>188</v>
      </c>
      <c r="AO11" s="68">
        <v>225</v>
      </c>
      <c r="AP11" s="68">
        <f t="shared" si="3"/>
        <v>7875</v>
      </c>
      <c r="AQ11" s="69">
        <f t="shared" si="4"/>
        <v>6.25</v>
      </c>
      <c r="AR11" s="70">
        <v>1</v>
      </c>
      <c r="AS11" s="70">
        <f t="shared" si="6"/>
        <v>35</v>
      </c>
      <c r="AT11" s="71">
        <f t="shared" si="7"/>
        <v>2.7777777777777776E-2</v>
      </c>
      <c r="AU11" s="72">
        <f t="shared" si="5"/>
        <v>226</v>
      </c>
      <c r="AV11" s="72">
        <f t="shared" si="5"/>
        <v>7910</v>
      </c>
      <c r="AW11" s="73">
        <f t="shared" si="5"/>
        <v>6.2777777777777777</v>
      </c>
      <c r="AX11" s="74">
        <v>16</v>
      </c>
      <c r="AY11" s="75" t="s">
        <v>175</v>
      </c>
      <c r="AZ11" s="76">
        <v>22</v>
      </c>
      <c r="BA11" s="38" t="s">
        <v>65</v>
      </c>
    </row>
    <row r="12" spans="1:53" ht="15.75" customHeight="1">
      <c r="A12" s="5">
        <v>28</v>
      </c>
      <c r="B12" s="38">
        <v>11</v>
      </c>
      <c r="C12" s="58">
        <v>46155</v>
      </c>
      <c r="D12" s="38"/>
      <c r="E12" s="38"/>
      <c r="F12" s="38"/>
      <c r="G12" s="60"/>
      <c r="H12" s="60"/>
      <c r="I12" s="60"/>
      <c r="J12" s="60"/>
      <c r="K12" s="78"/>
      <c r="L12" s="60"/>
      <c r="M12" s="78"/>
      <c r="N12" s="59"/>
      <c r="O12" s="59"/>
      <c r="P12" s="59"/>
      <c r="Q12" s="59"/>
      <c r="R12" s="59"/>
      <c r="S12" s="63"/>
      <c r="T12" s="59"/>
      <c r="U12" s="63"/>
      <c r="V12" s="59"/>
      <c r="W12" s="59"/>
      <c r="X12" s="59"/>
      <c r="Y12" s="63"/>
      <c r="Z12" s="63"/>
      <c r="AA12" s="59"/>
      <c r="AB12" s="59"/>
      <c r="AC12" s="59"/>
      <c r="AD12" s="59"/>
      <c r="AE12" s="59"/>
      <c r="AF12" s="59"/>
      <c r="AG12" s="59"/>
      <c r="AH12" s="65"/>
      <c r="AI12" s="79" t="s">
        <v>177</v>
      </c>
      <c r="AJ12" s="79" t="s">
        <v>177</v>
      </c>
      <c r="AK12" s="65"/>
      <c r="AL12" s="67">
        <v>33.83</v>
      </c>
      <c r="AM12" s="64">
        <v>1.5243</v>
      </c>
      <c r="AN12" s="67" t="s">
        <v>184</v>
      </c>
      <c r="AO12" s="68">
        <v>37</v>
      </c>
      <c r="AP12" s="68">
        <f t="shared" si="3"/>
        <v>1295</v>
      </c>
      <c r="AQ12" s="69">
        <f t="shared" si="4"/>
        <v>1.0277777777777777</v>
      </c>
      <c r="AR12" s="70">
        <v>0</v>
      </c>
      <c r="AS12" s="70">
        <f t="shared" si="6"/>
        <v>0</v>
      </c>
      <c r="AT12" s="71">
        <f t="shared" si="7"/>
        <v>0</v>
      </c>
      <c r="AU12" s="72">
        <f t="shared" si="5"/>
        <v>37</v>
      </c>
      <c r="AV12" s="72">
        <f t="shared" si="5"/>
        <v>1295</v>
      </c>
      <c r="AW12" s="73">
        <f t="shared" si="5"/>
        <v>1.0277777777777777</v>
      </c>
      <c r="AX12" s="74">
        <v>22</v>
      </c>
      <c r="AY12" s="75" t="s">
        <v>175</v>
      </c>
      <c r="AZ12" s="76">
        <v>23</v>
      </c>
      <c r="BA12" s="38" t="s">
        <v>65</v>
      </c>
    </row>
    <row r="13" spans="1:53" ht="15.75" customHeight="1">
      <c r="A13" s="5">
        <v>28</v>
      </c>
      <c r="B13" s="38">
        <v>12</v>
      </c>
      <c r="C13" s="58">
        <v>46157</v>
      </c>
      <c r="D13" s="38">
        <v>1</v>
      </c>
      <c r="E13" s="38">
        <v>4</v>
      </c>
      <c r="F13" s="38" t="s">
        <v>183</v>
      </c>
      <c r="G13" s="60">
        <v>16.77</v>
      </c>
      <c r="H13" s="60">
        <v>11.8</v>
      </c>
      <c r="I13" s="60">
        <v>14.53</v>
      </c>
      <c r="J13" s="60">
        <f t="shared" ref="J13:J19" si="8">AVERAGE(G13:I13)</f>
        <v>14.366666666666667</v>
      </c>
      <c r="K13" s="61">
        <v>46020</v>
      </c>
      <c r="L13" s="60">
        <v>65.540000000000006</v>
      </c>
      <c r="M13" s="61">
        <v>46157</v>
      </c>
      <c r="N13" s="59">
        <v>93.71</v>
      </c>
      <c r="O13" s="59"/>
      <c r="P13" s="59"/>
      <c r="Q13" s="59"/>
      <c r="R13" s="84"/>
      <c r="S13" s="63">
        <f t="shared" si="2"/>
        <v>137</v>
      </c>
      <c r="T13" s="59">
        <v>13.37</v>
      </c>
      <c r="U13" s="63">
        <v>31</v>
      </c>
      <c r="V13" s="59"/>
      <c r="W13" s="59"/>
      <c r="X13" s="59"/>
      <c r="Y13" s="63"/>
      <c r="Z13" s="63"/>
      <c r="AA13" s="59"/>
      <c r="AB13" s="59">
        <v>86.33</v>
      </c>
      <c r="AC13" s="59">
        <v>81.33</v>
      </c>
      <c r="AD13" s="59">
        <v>10</v>
      </c>
      <c r="AE13" s="63">
        <v>39.08</v>
      </c>
      <c r="AF13" s="59">
        <v>70.13</v>
      </c>
      <c r="AG13" s="59">
        <v>73.86</v>
      </c>
      <c r="AH13" s="67">
        <v>32.659999999999997</v>
      </c>
      <c r="AI13" s="79" t="s">
        <v>177</v>
      </c>
      <c r="AJ13" s="79" t="s">
        <v>177</v>
      </c>
      <c r="AK13" s="65"/>
      <c r="AL13" s="67">
        <v>32.145000000000003</v>
      </c>
      <c r="AM13" s="67">
        <v>60.612400000000001</v>
      </c>
      <c r="AN13" s="67" t="s">
        <v>189</v>
      </c>
      <c r="AO13" s="68">
        <v>310</v>
      </c>
      <c r="AP13" s="68">
        <f t="shared" si="3"/>
        <v>10850</v>
      </c>
      <c r="AQ13" s="69">
        <f t="shared" si="4"/>
        <v>8.6111111111111107</v>
      </c>
      <c r="AR13" s="70">
        <v>6</v>
      </c>
      <c r="AS13" s="70">
        <f t="shared" si="6"/>
        <v>210</v>
      </c>
      <c r="AT13" s="71">
        <f t="shared" si="7"/>
        <v>0.16666666666666666</v>
      </c>
      <c r="AU13" s="72">
        <f t="shared" si="5"/>
        <v>316</v>
      </c>
      <c r="AV13" s="72">
        <f t="shared" si="5"/>
        <v>11060</v>
      </c>
      <c r="AW13" s="73">
        <f t="shared" si="5"/>
        <v>8.7777777777777768</v>
      </c>
      <c r="AX13" s="74">
        <v>23</v>
      </c>
      <c r="AY13" s="75" t="s">
        <v>175</v>
      </c>
      <c r="AZ13" s="76">
        <v>31</v>
      </c>
      <c r="BA13" s="38" t="s">
        <v>65</v>
      </c>
    </row>
    <row r="14" spans="1:53" ht="15.75" customHeight="1">
      <c r="A14" s="5">
        <v>28</v>
      </c>
      <c r="B14" s="38">
        <v>13</v>
      </c>
      <c r="C14" s="58">
        <v>46160</v>
      </c>
      <c r="D14" s="38">
        <v>1</v>
      </c>
      <c r="E14" s="38">
        <v>2</v>
      </c>
      <c r="F14" s="38" t="s">
        <v>190</v>
      </c>
      <c r="G14" s="60">
        <v>14.07</v>
      </c>
      <c r="H14" s="60">
        <v>12.31</v>
      </c>
      <c r="I14" s="60">
        <v>14.51</v>
      </c>
      <c r="J14" s="60">
        <f t="shared" si="8"/>
        <v>13.63</v>
      </c>
      <c r="K14" s="61">
        <v>46020</v>
      </c>
      <c r="L14" s="60">
        <v>65.540000000000006</v>
      </c>
      <c r="M14" s="61">
        <v>46160</v>
      </c>
      <c r="N14" s="60">
        <v>93.71</v>
      </c>
      <c r="O14" s="59"/>
      <c r="P14" s="59"/>
      <c r="Q14" s="59"/>
      <c r="R14" s="59"/>
      <c r="S14" s="63">
        <f t="shared" si="2"/>
        <v>140</v>
      </c>
      <c r="T14" s="59">
        <v>12.33</v>
      </c>
      <c r="U14" s="63">
        <v>47.5</v>
      </c>
      <c r="V14" s="59"/>
      <c r="W14" s="59"/>
      <c r="X14" s="59"/>
      <c r="Y14" s="63"/>
      <c r="Z14" s="63"/>
      <c r="AA14" s="59"/>
      <c r="AB14" s="59">
        <v>97.85</v>
      </c>
      <c r="AC14" s="59">
        <v>83</v>
      </c>
      <c r="AD14" s="59">
        <v>7</v>
      </c>
      <c r="AE14" s="63">
        <v>40.909999999999997</v>
      </c>
      <c r="AF14" s="59">
        <v>65.81</v>
      </c>
      <c r="AG14" s="59">
        <v>75.38</v>
      </c>
      <c r="AH14" s="65"/>
      <c r="AI14" s="79" t="s">
        <v>177</v>
      </c>
      <c r="AJ14" s="79" t="s">
        <v>177</v>
      </c>
      <c r="AK14" s="65"/>
      <c r="AL14" s="67">
        <v>39.049999999999997</v>
      </c>
      <c r="AM14" s="67">
        <v>120.20399999999999</v>
      </c>
      <c r="AN14" s="67" t="s">
        <v>191</v>
      </c>
      <c r="AO14" s="68"/>
      <c r="AP14" s="68">
        <f t="shared" si="3"/>
        <v>0</v>
      </c>
      <c r="AQ14" s="69">
        <f t="shared" si="4"/>
        <v>0</v>
      </c>
      <c r="AR14" s="70"/>
      <c r="AS14" s="70">
        <f t="shared" si="6"/>
        <v>0</v>
      </c>
      <c r="AT14" s="71">
        <f t="shared" si="7"/>
        <v>0</v>
      </c>
      <c r="AU14" s="72">
        <f t="shared" si="5"/>
        <v>0</v>
      </c>
      <c r="AV14" s="72">
        <f t="shared" si="5"/>
        <v>0</v>
      </c>
      <c r="AW14" s="73">
        <f t="shared" si="5"/>
        <v>0</v>
      </c>
      <c r="AX14" s="74">
        <v>31</v>
      </c>
      <c r="AY14" s="75" t="s">
        <v>175</v>
      </c>
      <c r="AZ14" s="76">
        <v>34</v>
      </c>
      <c r="BA14" s="38" t="s">
        <v>65</v>
      </c>
    </row>
    <row r="15" spans="1:53" ht="15.75" customHeight="1">
      <c r="A15" s="5">
        <v>28</v>
      </c>
      <c r="B15" s="38">
        <v>14</v>
      </c>
      <c r="C15" s="58">
        <v>46161</v>
      </c>
      <c r="D15" s="38">
        <v>1</v>
      </c>
      <c r="E15" s="47" t="s">
        <v>192</v>
      </c>
      <c r="F15" s="38" t="s">
        <v>193</v>
      </c>
      <c r="G15" s="60">
        <v>14.95</v>
      </c>
      <c r="H15" s="60">
        <v>13.91</v>
      </c>
      <c r="I15" s="60">
        <v>16.64</v>
      </c>
      <c r="J15" s="60">
        <f t="shared" si="8"/>
        <v>15.166666666666666</v>
      </c>
      <c r="K15" s="61">
        <v>46022</v>
      </c>
      <c r="L15" s="60">
        <v>64.489999999999995</v>
      </c>
      <c r="M15" s="61">
        <v>46161</v>
      </c>
      <c r="N15" s="60">
        <v>93.65</v>
      </c>
      <c r="O15" s="63"/>
      <c r="P15" s="63"/>
      <c r="Q15" s="63"/>
      <c r="R15" s="82"/>
      <c r="S15" s="63">
        <f t="shared" si="2"/>
        <v>139</v>
      </c>
      <c r="T15" s="59">
        <v>12.07</v>
      </c>
      <c r="U15" s="63">
        <v>31.25</v>
      </c>
      <c r="V15" s="59"/>
      <c r="W15" s="59"/>
      <c r="X15" s="59"/>
      <c r="Y15" s="63"/>
      <c r="Z15" s="63"/>
      <c r="AA15" s="59"/>
      <c r="AB15" s="59">
        <v>100.33</v>
      </c>
      <c r="AC15" s="59">
        <v>61.33</v>
      </c>
      <c r="AD15" s="59">
        <v>8</v>
      </c>
      <c r="AE15" s="63"/>
      <c r="AF15" s="59"/>
      <c r="AG15" s="59"/>
      <c r="AH15" s="65"/>
      <c r="AI15" s="79" t="s">
        <v>177</v>
      </c>
      <c r="AJ15" s="79" t="s">
        <v>177</v>
      </c>
      <c r="AK15" s="65"/>
      <c r="AL15" s="67">
        <v>35.72</v>
      </c>
      <c r="AM15" s="67">
        <v>200</v>
      </c>
      <c r="AN15" s="67" t="s">
        <v>194</v>
      </c>
      <c r="AO15" s="68">
        <v>127</v>
      </c>
      <c r="AP15" s="68">
        <f t="shared" si="3"/>
        <v>4445</v>
      </c>
      <c r="AQ15" s="69">
        <f t="shared" si="4"/>
        <v>3.5277777777777777</v>
      </c>
      <c r="AR15" s="70">
        <f>2+39</f>
        <v>41</v>
      </c>
      <c r="AS15" s="70">
        <f t="shared" si="6"/>
        <v>1435</v>
      </c>
      <c r="AT15" s="71">
        <f t="shared" si="7"/>
        <v>1.1388888888888888</v>
      </c>
      <c r="AU15" s="72">
        <f t="shared" si="5"/>
        <v>168</v>
      </c>
      <c r="AV15" s="72">
        <f t="shared" si="5"/>
        <v>5880</v>
      </c>
      <c r="AW15" s="73">
        <f t="shared" si="5"/>
        <v>4.6666666666666661</v>
      </c>
      <c r="AX15" s="74">
        <v>34</v>
      </c>
      <c r="AY15" s="75" t="s">
        <v>175</v>
      </c>
      <c r="AZ15" s="76">
        <v>38</v>
      </c>
      <c r="BA15" s="38" t="s">
        <v>65</v>
      </c>
    </row>
    <row r="16" spans="1:53" ht="15.75" customHeight="1">
      <c r="A16" s="5">
        <v>28</v>
      </c>
      <c r="B16" s="38">
        <v>15</v>
      </c>
      <c r="C16" s="58">
        <v>46162</v>
      </c>
      <c r="D16" s="38">
        <v>2</v>
      </c>
      <c r="E16" s="46" t="s">
        <v>192</v>
      </c>
      <c r="F16" s="38" t="s">
        <v>193</v>
      </c>
      <c r="G16" s="60">
        <v>21.4</v>
      </c>
      <c r="H16" s="60">
        <v>16.48</v>
      </c>
      <c r="I16" s="60">
        <v>19.14</v>
      </c>
      <c r="J16" s="60">
        <f t="shared" si="8"/>
        <v>19.006666666666664</v>
      </c>
      <c r="K16" s="61">
        <v>46022</v>
      </c>
      <c r="L16" s="60">
        <v>64.489999999999995</v>
      </c>
      <c r="M16" s="61">
        <v>46162</v>
      </c>
      <c r="N16" s="60">
        <v>96.4</v>
      </c>
      <c r="O16" s="63"/>
      <c r="P16" s="63"/>
      <c r="Q16" s="63"/>
      <c r="R16" s="82"/>
      <c r="S16" s="63">
        <f>M16-K16</f>
        <v>140</v>
      </c>
      <c r="T16" s="59">
        <v>17.309999999999999</v>
      </c>
      <c r="U16" s="63">
        <v>31.5</v>
      </c>
      <c r="V16" s="59"/>
      <c r="W16" s="59"/>
      <c r="X16" s="59"/>
      <c r="Y16" s="63"/>
      <c r="Z16" s="63"/>
      <c r="AA16" s="59"/>
      <c r="AB16" s="59">
        <v>101.33</v>
      </c>
      <c r="AC16" s="59">
        <v>86</v>
      </c>
      <c r="AD16" s="59">
        <v>8</v>
      </c>
      <c r="AE16" s="85">
        <v>42.7</v>
      </c>
      <c r="AF16" s="86">
        <v>65.84</v>
      </c>
      <c r="AG16" s="86">
        <v>77.84</v>
      </c>
      <c r="AH16" s="67">
        <v>39.5</v>
      </c>
      <c r="AI16" s="79" t="s">
        <v>177</v>
      </c>
      <c r="AJ16" s="79" t="s">
        <v>177</v>
      </c>
      <c r="AK16" s="65"/>
      <c r="AL16" s="67">
        <v>35.93</v>
      </c>
      <c r="AM16" s="67">
        <v>25</v>
      </c>
      <c r="AN16" s="67" t="s">
        <v>195</v>
      </c>
      <c r="AO16" s="87">
        <v>187</v>
      </c>
      <c r="AP16" s="87">
        <f t="shared" si="3"/>
        <v>6545</v>
      </c>
      <c r="AQ16" s="88">
        <f t="shared" si="4"/>
        <v>5.1944444444444446</v>
      </c>
      <c r="AR16" s="89">
        <v>6</v>
      </c>
      <c r="AS16" s="89">
        <f t="shared" si="6"/>
        <v>210</v>
      </c>
      <c r="AT16" s="90">
        <f t="shared" si="7"/>
        <v>0.16666666666666666</v>
      </c>
      <c r="AU16" s="91">
        <f t="shared" si="5"/>
        <v>193</v>
      </c>
      <c r="AV16" s="91">
        <f t="shared" si="5"/>
        <v>6755</v>
      </c>
      <c r="AW16" s="92">
        <f t="shared" si="5"/>
        <v>5.3611111111111116</v>
      </c>
      <c r="AX16" s="74">
        <v>38</v>
      </c>
      <c r="AY16" s="75" t="s">
        <v>175</v>
      </c>
      <c r="AZ16" s="76">
        <v>43</v>
      </c>
      <c r="BA16" s="38" t="s">
        <v>65</v>
      </c>
    </row>
    <row r="17" spans="1:53" ht="15.75" customHeight="1">
      <c r="A17" s="5">
        <v>4</v>
      </c>
      <c r="B17" s="38">
        <v>16</v>
      </c>
      <c r="C17" s="93">
        <v>46162</v>
      </c>
      <c r="D17" s="38"/>
      <c r="E17" s="38"/>
      <c r="F17" s="38"/>
      <c r="G17" s="60"/>
      <c r="H17" s="60"/>
      <c r="I17" s="60"/>
      <c r="J17" s="60"/>
      <c r="K17" s="61"/>
      <c r="L17" s="60"/>
      <c r="M17" s="61"/>
      <c r="N17" s="60"/>
      <c r="O17" s="63"/>
      <c r="P17" s="63"/>
      <c r="Q17" s="63"/>
      <c r="R17" s="82"/>
      <c r="S17" s="63"/>
      <c r="T17" s="59"/>
      <c r="U17" s="63"/>
      <c r="V17" s="59"/>
      <c r="W17" s="59"/>
      <c r="X17" s="59"/>
      <c r="Y17" s="63"/>
      <c r="Z17" s="63"/>
      <c r="AA17" s="59"/>
      <c r="AB17" s="59"/>
      <c r="AC17" s="59"/>
      <c r="AD17" s="59"/>
      <c r="AE17" s="85"/>
      <c r="AF17" s="86"/>
      <c r="AG17" s="86"/>
      <c r="AH17" s="67"/>
      <c r="AI17" s="79"/>
      <c r="AJ17" s="79"/>
      <c r="AK17" s="65"/>
      <c r="AL17" s="67"/>
      <c r="AM17" s="67"/>
      <c r="AN17" s="67"/>
      <c r="AO17" s="87"/>
      <c r="AP17" s="87">
        <f>AO17*35</f>
        <v>0</v>
      </c>
      <c r="AQ17" s="88">
        <f>AP17/1260</f>
        <v>0</v>
      </c>
      <c r="AR17" s="89"/>
      <c r="AS17" s="89">
        <f>AR17*35</f>
        <v>0</v>
      </c>
      <c r="AT17" s="90">
        <f>AS17/1260</f>
        <v>0</v>
      </c>
      <c r="AU17" s="91">
        <f t="shared" si="5"/>
        <v>0</v>
      </c>
      <c r="AV17" s="91">
        <f t="shared" si="5"/>
        <v>0</v>
      </c>
      <c r="AW17" s="92">
        <f t="shared" si="5"/>
        <v>0</v>
      </c>
      <c r="AX17" s="74"/>
      <c r="AY17" s="75" t="s">
        <v>175</v>
      </c>
      <c r="AZ17" s="76"/>
      <c r="BA17" s="38" t="s">
        <v>65</v>
      </c>
    </row>
    <row r="18" spans="1:53" ht="15.75" customHeight="1">
      <c r="A18" s="5">
        <v>4</v>
      </c>
      <c r="B18" s="38">
        <v>17</v>
      </c>
      <c r="C18" s="58">
        <v>46163</v>
      </c>
      <c r="D18" s="38">
        <v>2</v>
      </c>
      <c r="E18" s="46" t="s">
        <v>196</v>
      </c>
      <c r="F18" s="38" t="s">
        <v>183</v>
      </c>
      <c r="G18" s="60">
        <v>19.309999999999999</v>
      </c>
      <c r="H18" s="60">
        <v>15.51</v>
      </c>
      <c r="I18" s="60">
        <v>22.61</v>
      </c>
      <c r="J18" s="60">
        <f t="shared" si="8"/>
        <v>19.143333333333334</v>
      </c>
      <c r="K18" s="61">
        <v>46081</v>
      </c>
      <c r="L18" s="60">
        <v>73.510000000000005</v>
      </c>
      <c r="M18" s="61">
        <v>46163</v>
      </c>
      <c r="N18" s="60">
        <v>99.16</v>
      </c>
      <c r="O18" s="63">
        <v>40</v>
      </c>
      <c r="P18" s="63">
        <v>71</v>
      </c>
      <c r="Q18" s="59">
        <v>82</v>
      </c>
      <c r="R18" s="82">
        <v>0.13500000000000001</v>
      </c>
      <c r="S18" s="63">
        <f t="shared" ref="S18:S36" si="9">M18-K18</f>
        <v>82</v>
      </c>
      <c r="T18" s="59">
        <v>21.49</v>
      </c>
      <c r="U18" s="63">
        <v>31.25</v>
      </c>
      <c r="V18" s="59"/>
      <c r="W18" s="59"/>
      <c r="X18" s="59"/>
      <c r="Y18" s="63"/>
      <c r="Z18" s="63"/>
      <c r="AA18" s="59"/>
      <c r="AB18" s="59">
        <v>96.71</v>
      </c>
      <c r="AC18" s="59">
        <v>87.14</v>
      </c>
      <c r="AD18" s="59">
        <v>8</v>
      </c>
      <c r="AE18" s="85">
        <v>44.7</v>
      </c>
      <c r="AF18" s="86">
        <v>63.11</v>
      </c>
      <c r="AG18" s="86">
        <v>82.21</v>
      </c>
      <c r="AH18" s="65">
        <v>48</v>
      </c>
      <c r="AI18" s="79" t="s">
        <v>177</v>
      </c>
      <c r="AJ18" s="79" t="s">
        <v>177</v>
      </c>
      <c r="AK18" s="65"/>
      <c r="AL18" s="67">
        <v>38.83</v>
      </c>
      <c r="AM18" s="67">
        <v>30</v>
      </c>
      <c r="AN18" s="67" t="s">
        <v>197</v>
      </c>
      <c r="AO18" s="87">
        <v>354</v>
      </c>
      <c r="AP18" s="87">
        <f>AO18*35</f>
        <v>12390</v>
      </c>
      <c r="AQ18" s="88">
        <f>AP18/1260</f>
        <v>9.8333333333333339</v>
      </c>
      <c r="AR18" s="89">
        <v>9</v>
      </c>
      <c r="AS18" s="89">
        <f>AR18*35</f>
        <v>315</v>
      </c>
      <c r="AT18" s="90">
        <f>AS18/1260</f>
        <v>0.25</v>
      </c>
      <c r="AU18" s="91">
        <f t="shared" si="5"/>
        <v>363</v>
      </c>
      <c r="AV18" s="91">
        <f t="shared" si="5"/>
        <v>12705</v>
      </c>
      <c r="AW18" s="92">
        <f t="shared" si="5"/>
        <v>10.083333333333334</v>
      </c>
      <c r="AX18" s="74">
        <v>43</v>
      </c>
      <c r="AY18" s="75" t="s">
        <v>175</v>
      </c>
      <c r="AZ18" s="76">
        <v>54</v>
      </c>
      <c r="BA18" s="38" t="s">
        <v>65</v>
      </c>
    </row>
    <row r="19" spans="1:53" ht="15.75" customHeight="1">
      <c r="A19" s="5">
        <v>4</v>
      </c>
      <c r="B19" s="38">
        <v>18</v>
      </c>
      <c r="C19" s="58">
        <v>46164</v>
      </c>
      <c r="D19" s="38">
        <v>2</v>
      </c>
      <c r="E19" s="46" t="s">
        <v>112</v>
      </c>
      <c r="F19" s="38" t="s">
        <v>198</v>
      </c>
      <c r="G19" s="60">
        <v>21.29</v>
      </c>
      <c r="H19" s="60">
        <v>16.489999999999998</v>
      </c>
      <c r="I19" s="60">
        <v>21.5</v>
      </c>
      <c r="J19" s="60">
        <f t="shared" si="8"/>
        <v>19.760000000000002</v>
      </c>
      <c r="K19" s="61">
        <v>46081</v>
      </c>
      <c r="L19" s="60">
        <v>73.510000000000005</v>
      </c>
      <c r="M19" s="61">
        <v>46164</v>
      </c>
      <c r="N19" s="60">
        <v>99.16</v>
      </c>
      <c r="O19" s="63"/>
      <c r="P19" s="63"/>
      <c r="Q19" s="63"/>
      <c r="R19" s="82"/>
      <c r="S19" s="63">
        <f t="shared" si="9"/>
        <v>83</v>
      </c>
      <c r="T19" s="59">
        <v>18.23</v>
      </c>
      <c r="U19" s="63">
        <v>32</v>
      </c>
      <c r="V19" s="59"/>
      <c r="W19" s="59"/>
      <c r="X19" s="59"/>
      <c r="Y19" s="63"/>
      <c r="Z19" s="63"/>
      <c r="AA19" s="59"/>
      <c r="AB19" s="59">
        <v>96.6</v>
      </c>
      <c r="AC19" s="59">
        <v>87.8</v>
      </c>
      <c r="AD19" s="59">
        <v>8</v>
      </c>
      <c r="AE19" s="94">
        <v>46.06</v>
      </c>
      <c r="AF19" s="59">
        <v>61.07</v>
      </c>
      <c r="AG19" s="86">
        <v>85.48</v>
      </c>
      <c r="AH19" s="65"/>
      <c r="AI19" s="79" t="s">
        <v>177</v>
      </c>
      <c r="AJ19" s="79" t="s">
        <v>177</v>
      </c>
      <c r="AK19" s="65"/>
      <c r="AL19" s="67">
        <v>38.4</v>
      </c>
      <c r="AM19" s="67">
        <v>35</v>
      </c>
      <c r="AN19" s="67" t="s">
        <v>199</v>
      </c>
      <c r="AO19" s="87">
        <v>208</v>
      </c>
      <c r="AP19" s="87">
        <f>AO19*35</f>
        <v>7280</v>
      </c>
      <c r="AQ19" s="88">
        <f>AP19/1260</f>
        <v>5.7777777777777777</v>
      </c>
      <c r="AR19" s="89">
        <v>4</v>
      </c>
      <c r="AS19" s="89">
        <f>AR19*35</f>
        <v>140</v>
      </c>
      <c r="AT19" s="90">
        <f>AS19/1260</f>
        <v>0.1111111111111111</v>
      </c>
      <c r="AU19" s="91">
        <f t="shared" si="5"/>
        <v>212</v>
      </c>
      <c r="AV19" s="91">
        <f t="shared" si="5"/>
        <v>7420</v>
      </c>
      <c r="AW19" s="92">
        <f t="shared" si="5"/>
        <v>5.8888888888888884</v>
      </c>
      <c r="AX19" s="74">
        <v>54</v>
      </c>
      <c r="AY19" s="75" t="s">
        <v>175</v>
      </c>
      <c r="AZ19" s="76">
        <v>60</v>
      </c>
      <c r="BA19" s="38" t="s">
        <v>65</v>
      </c>
    </row>
    <row r="20" spans="1:53" ht="15.75" customHeight="1">
      <c r="A20" s="5">
        <v>4</v>
      </c>
      <c r="B20" s="38">
        <v>19</v>
      </c>
      <c r="C20" s="58">
        <v>46165</v>
      </c>
      <c r="D20" s="38"/>
      <c r="E20" s="38"/>
      <c r="F20" s="38"/>
      <c r="G20" s="60"/>
      <c r="H20" s="60"/>
      <c r="I20" s="60"/>
      <c r="J20" s="60"/>
      <c r="K20" s="78"/>
      <c r="L20" s="60"/>
      <c r="M20" s="78"/>
      <c r="N20" s="60"/>
      <c r="O20" s="63"/>
      <c r="P20" s="63"/>
      <c r="Q20" s="63"/>
      <c r="R20" s="82"/>
      <c r="S20" s="63"/>
      <c r="T20" s="59"/>
      <c r="U20" s="63"/>
      <c r="V20" s="59"/>
      <c r="W20" s="59"/>
      <c r="X20" s="59"/>
      <c r="Y20" s="63"/>
      <c r="Z20" s="63"/>
      <c r="AA20" s="59"/>
      <c r="AB20" s="63">
        <v>103.5</v>
      </c>
      <c r="AC20" s="65">
        <v>94</v>
      </c>
      <c r="AD20" s="59">
        <v>8</v>
      </c>
      <c r="AE20" s="85">
        <v>46</v>
      </c>
      <c r="AF20" s="59">
        <v>64.12</v>
      </c>
      <c r="AG20" s="86">
        <v>84.1</v>
      </c>
      <c r="AH20" s="67">
        <v>40.5</v>
      </c>
      <c r="AI20" s="79" t="s">
        <v>177</v>
      </c>
      <c r="AJ20" s="79" t="s">
        <v>177</v>
      </c>
      <c r="AK20" s="65"/>
      <c r="AL20" s="67">
        <v>32.57</v>
      </c>
      <c r="AM20" s="67">
        <v>10</v>
      </c>
      <c r="AN20" s="67" t="s">
        <v>200</v>
      </c>
      <c r="AO20" s="87">
        <v>130</v>
      </c>
      <c r="AP20" s="87">
        <f>AO20*35</f>
        <v>4550</v>
      </c>
      <c r="AQ20" s="88">
        <f>AP20/1260</f>
        <v>3.6111111111111112</v>
      </c>
      <c r="AR20" s="89">
        <v>1</v>
      </c>
      <c r="AS20" s="89">
        <f>AR20*35</f>
        <v>35</v>
      </c>
      <c r="AT20" s="482">
        <f>AS20/1260</f>
        <v>2.7777777777777776E-2</v>
      </c>
      <c r="AU20" s="91">
        <f t="shared" si="5"/>
        <v>131</v>
      </c>
      <c r="AV20" s="91">
        <f t="shared" si="5"/>
        <v>4585</v>
      </c>
      <c r="AW20" s="91">
        <f t="shared" si="5"/>
        <v>3.6388888888888888</v>
      </c>
      <c r="AX20" s="74">
        <v>60</v>
      </c>
      <c r="AY20" s="75" t="s">
        <v>175</v>
      </c>
      <c r="AZ20" s="76">
        <v>63</v>
      </c>
      <c r="BA20" s="38" t="s">
        <v>65</v>
      </c>
    </row>
    <row r="21" spans="1:53" ht="15.75" customHeight="1">
      <c r="A21" s="5">
        <v>4</v>
      </c>
      <c r="B21" s="38">
        <v>20</v>
      </c>
      <c r="C21" s="58">
        <v>46167</v>
      </c>
      <c r="D21" s="38"/>
      <c r="E21" s="47"/>
      <c r="F21" s="38"/>
      <c r="G21" s="60"/>
      <c r="H21" s="60"/>
      <c r="I21" s="60"/>
      <c r="J21" s="60"/>
      <c r="K21" s="61"/>
      <c r="L21" s="60"/>
      <c r="M21" s="78"/>
      <c r="N21" s="60"/>
      <c r="O21" s="63"/>
      <c r="P21" s="63"/>
      <c r="Q21" s="63"/>
      <c r="R21" s="63"/>
      <c r="S21" s="63"/>
      <c r="T21" s="59"/>
      <c r="U21" s="63"/>
      <c r="V21" s="59"/>
      <c r="W21" s="59"/>
      <c r="X21" s="59"/>
      <c r="Y21" s="63"/>
      <c r="Z21" s="63"/>
      <c r="AA21" s="59"/>
      <c r="AB21" s="59">
        <v>59.5</v>
      </c>
      <c r="AC21" s="59">
        <v>89.5</v>
      </c>
      <c r="AD21" s="59">
        <v>8</v>
      </c>
      <c r="AE21" s="85">
        <v>47.12</v>
      </c>
      <c r="AF21" s="86">
        <v>61.81</v>
      </c>
      <c r="AG21" s="86">
        <v>84.82</v>
      </c>
      <c r="AH21" s="65"/>
      <c r="AI21" s="79" t="s">
        <v>177</v>
      </c>
      <c r="AJ21" s="79" t="s">
        <v>177</v>
      </c>
      <c r="AK21" s="65"/>
      <c r="AL21" s="67">
        <v>32.049999999999997</v>
      </c>
      <c r="AM21" s="67">
        <v>75</v>
      </c>
      <c r="AN21" s="67" t="s">
        <v>201</v>
      </c>
      <c r="AO21" s="87">
        <v>304</v>
      </c>
      <c r="AP21" s="87">
        <f t="shared" ref="AP21:AP81" si="10">AO21*35</f>
        <v>10640</v>
      </c>
      <c r="AQ21" s="88">
        <f t="shared" ref="AQ21:AQ81" si="11">AP21/1260</f>
        <v>8.4444444444444446</v>
      </c>
      <c r="AR21" s="89">
        <v>19</v>
      </c>
      <c r="AS21" s="89">
        <f t="shared" ref="AS21:AS81" si="12">AR21*35</f>
        <v>665</v>
      </c>
      <c r="AT21" s="90">
        <f t="shared" ref="AT21:AT78" si="13">AS21/1260</f>
        <v>0.52777777777777779</v>
      </c>
      <c r="AU21" s="91">
        <f t="shared" ref="AU21:AW36" si="14">AO21+AR21</f>
        <v>323</v>
      </c>
      <c r="AV21" s="91">
        <f t="shared" si="14"/>
        <v>11305</v>
      </c>
      <c r="AW21" s="92">
        <f t="shared" si="14"/>
        <v>8.9722222222222232</v>
      </c>
      <c r="AX21" s="74">
        <v>63</v>
      </c>
      <c r="AY21" s="75" t="s">
        <v>175</v>
      </c>
      <c r="AZ21" s="76">
        <v>72</v>
      </c>
      <c r="BA21" s="38" t="s">
        <v>65</v>
      </c>
    </row>
    <row r="22" spans="1:53" ht="15.75" customHeight="1">
      <c r="A22" s="5">
        <v>4</v>
      </c>
      <c r="B22" s="38">
        <v>21</v>
      </c>
      <c r="C22" s="58">
        <v>46171</v>
      </c>
      <c r="D22" s="38">
        <v>2</v>
      </c>
      <c r="E22" s="38">
        <v>4</v>
      </c>
      <c r="F22" s="38" t="s">
        <v>202</v>
      </c>
      <c r="G22" s="60">
        <v>18.84</v>
      </c>
      <c r="H22" s="60">
        <v>18.14</v>
      </c>
      <c r="I22" s="60">
        <v>20.93</v>
      </c>
      <c r="J22" s="60">
        <f t="shared" ref="J22:J23" si="15">AVERAGE(G22:I22)</f>
        <v>19.303333333333335</v>
      </c>
      <c r="K22" s="61">
        <v>46085</v>
      </c>
      <c r="L22" s="60">
        <v>76.87</v>
      </c>
      <c r="M22" s="61">
        <v>46171</v>
      </c>
      <c r="N22" s="60">
        <v>99.16</v>
      </c>
      <c r="O22" s="63"/>
      <c r="P22" s="63"/>
      <c r="Q22" s="63"/>
      <c r="R22" s="63"/>
      <c r="S22" s="63">
        <f t="shared" si="9"/>
        <v>86</v>
      </c>
      <c r="T22" s="59"/>
      <c r="U22" s="63"/>
      <c r="V22" s="59"/>
      <c r="W22" s="59"/>
      <c r="X22" s="59"/>
      <c r="Y22" s="63"/>
      <c r="Z22" s="63"/>
      <c r="AA22" s="59"/>
      <c r="AB22" s="59"/>
      <c r="AC22" s="59"/>
      <c r="AD22" s="59"/>
      <c r="AE22" s="59"/>
      <c r="AF22" s="59"/>
      <c r="AG22" s="59"/>
      <c r="AH22" s="65"/>
      <c r="AI22" s="65"/>
      <c r="AJ22" s="65"/>
      <c r="AK22" s="65"/>
      <c r="AL22" s="65"/>
      <c r="AM22" s="65"/>
      <c r="AN22" s="65"/>
      <c r="AO22" s="87"/>
      <c r="AP22" s="87">
        <f t="shared" si="10"/>
        <v>0</v>
      </c>
      <c r="AQ22" s="88">
        <f t="shared" si="11"/>
        <v>0</v>
      </c>
      <c r="AR22" s="89"/>
      <c r="AS22" s="89">
        <f t="shared" si="12"/>
        <v>0</v>
      </c>
      <c r="AT22" s="90">
        <f t="shared" si="13"/>
        <v>0</v>
      </c>
      <c r="AU22" s="91">
        <f t="shared" si="14"/>
        <v>0</v>
      </c>
      <c r="AV22" s="91">
        <f t="shared" si="14"/>
        <v>0</v>
      </c>
      <c r="AW22" s="92">
        <f t="shared" si="14"/>
        <v>0</v>
      </c>
      <c r="AX22" s="74"/>
      <c r="AY22" s="75"/>
      <c r="AZ22" s="76"/>
      <c r="BA22" s="38" t="s">
        <v>65</v>
      </c>
    </row>
    <row r="23" spans="1:53" ht="15.75" customHeight="1">
      <c r="A23" s="5">
        <v>4</v>
      </c>
      <c r="B23" s="38">
        <v>22</v>
      </c>
      <c r="C23" s="58">
        <v>46172</v>
      </c>
      <c r="D23" s="38">
        <v>2</v>
      </c>
      <c r="E23" s="38">
        <v>4</v>
      </c>
      <c r="F23" s="38" t="s">
        <v>203</v>
      </c>
      <c r="G23" s="60">
        <v>22.01</v>
      </c>
      <c r="H23" s="60">
        <v>14.82</v>
      </c>
      <c r="I23" s="60">
        <v>17.5</v>
      </c>
      <c r="J23" s="60">
        <f t="shared" si="15"/>
        <v>18.11</v>
      </c>
      <c r="K23" s="61">
        <v>46085</v>
      </c>
      <c r="L23" s="60">
        <v>76.87</v>
      </c>
      <c r="M23" s="61">
        <v>46172</v>
      </c>
      <c r="N23" s="60">
        <v>99.16</v>
      </c>
      <c r="O23" s="63"/>
      <c r="P23" s="63"/>
      <c r="Q23" s="63"/>
      <c r="R23" s="63"/>
      <c r="S23" s="63">
        <f t="shared" si="9"/>
        <v>87</v>
      </c>
      <c r="T23" s="59"/>
      <c r="U23" s="63"/>
      <c r="V23" s="59"/>
      <c r="W23" s="59"/>
      <c r="X23" s="59"/>
      <c r="Y23" s="63"/>
      <c r="Z23" s="63"/>
      <c r="AA23" s="59"/>
      <c r="AB23" s="59">
        <v>100.5</v>
      </c>
      <c r="AC23" s="59">
        <v>87.25</v>
      </c>
      <c r="AD23" s="59">
        <v>8</v>
      </c>
      <c r="AE23" s="63">
        <v>47.87</v>
      </c>
      <c r="AF23" s="59">
        <v>57.87</v>
      </c>
      <c r="AG23" s="59">
        <v>84.07</v>
      </c>
      <c r="AH23" s="65">
        <v>43</v>
      </c>
      <c r="AI23" s="79" t="s">
        <v>177</v>
      </c>
      <c r="AJ23" s="79" t="s">
        <v>177</v>
      </c>
      <c r="AK23" s="65"/>
      <c r="AL23" s="67">
        <v>35.92</v>
      </c>
      <c r="AM23" s="67">
        <v>5</v>
      </c>
      <c r="AN23" s="67" t="s">
        <v>204</v>
      </c>
      <c r="AO23" s="87"/>
      <c r="AP23" s="87">
        <f t="shared" si="10"/>
        <v>0</v>
      </c>
      <c r="AQ23" s="88">
        <f t="shared" si="11"/>
        <v>0</v>
      </c>
      <c r="AR23" s="89"/>
      <c r="AS23" s="89">
        <f t="shared" si="12"/>
        <v>0</v>
      </c>
      <c r="AT23" s="90">
        <f t="shared" si="13"/>
        <v>0</v>
      </c>
      <c r="AU23" s="91">
        <f t="shared" si="14"/>
        <v>0</v>
      </c>
      <c r="AV23" s="91">
        <f t="shared" si="14"/>
        <v>0</v>
      </c>
      <c r="AW23" s="92">
        <f t="shared" si="14"/>
        <v>0</v>
      </c>
      <c r="AX23" s="74">
        <v>72</v>
      </c>
      <c r="AY23" s="75" t="s">
        <v>175</v>
      </c>
      <c r="AZ23" s="76">
        <v>75</v>
      </c>
      <c r="BA23" s="38" t="s">
        <v>65</v>
      </c>
    </row>
    <row r="24" spans="1:53" ht="15.75" customHeight="1">
      <c r="A24" s="5">
        <v>5</v>
      </c>
      <c r="B24" s="38">
        <v>23</v>
      </c>
      <c r="C24" s="58">
        <v>46175</v>
      </c>
      <c r="D24" s="38">
        <v>2</v>
      </c>
      <c r="E24" s="38">
        <v>12</v>
      </c>
      <c r="F24" s="38" t="s">
        <v>203</v>
      </c>
      <c r="G24" s="60">
        <v>20.12</v>
      </c>
      <c r="H24" s="60">
        <v>13.77</v>
      </c>
      <c r="I24" s="60">
        <v>18.079999999999998</v>
      </c>
      <c r="J24" s="60">
        <f>AVERAGE(G24:I24)</f>
        <v>17.323333333333334</v>
      </c>
      <c r="K24" s="61">
        <v>46072</v>
      </c>
      <c r="L24" s="60">
        <v>73.02</v>
      </c>
      <c r="M24" s="95">
        <v>46175</v>
      </c>
      <c r="N24" s="60">
        <v>98.61</v>
      </c>
      <c r="O24" s="63">
        <v>43</v>
      </c>
      <c r="P24" s="63">
        <v>74</v>
      </c>
      <c r="Q24" s="59">
        <v>79.8</v>
      </c>
      <c r="R24" s="82">
        <v>0.11600000000000001</v>
      </c>
      <c r="S24" s="63">
        <f t="shared" si="9"/>
        <v>103</v>
      </c>
      <c r="T24" s="59">
        <v>14.84</v>
      </c>
      <c r="U24" s="63">
        <v>31.75</v>
      </c>
      <c r="V24" s="59"/>
      <c r="W24" s="59"/>
      <c r="X24" s="59"/>
      <c r="Y24" s="63"/>
      <c r="Z24" s="63"/>
      <c r="AA24" s="59"/>
      <c r="AB24" s="59">
        <v>96.75</v>
      </c>
      <c r="AC24" s="59">
        <v>84</v>
      </c>
      <c r="AD24" s="59">
        <v>8</v>
      </c>
      <c r="AE24" s="63">
        <v>48.16</v>
      </c>
      <c r="AF24" s="63">
        <v>75.58</v>
      </c>
      <c r="AG24" s="59">
        <v>83.73</v>
      </c>
      <c r="AH24" s="67">
        <v>35.799999999999997</v>
      </c>
      <c r="AI24" s="79" t="s">
        <v>177</v>
      </c>
      <c r="AJ24" s="79" t="s">
        <v>177</v>
      </c>
      <c r="AK24" s="65"/>
      <c r="AL24" s="67">
        <v>37.409999999999997</v>
      </c>
      <c r="AM24" s="67">
        <v>10</v>
      </c>
      <c r="AN24" s="67" t="s">
        <v>205</v>
      </c>
      <c r="AO24" s="87">
        <v>175</v>
      </c>
      <c r="AP24" s="87">
        <f t="shared" si="10"/>
        <v>6125</v>
      </c>
      <c r="AQ24" s="88">
        <f t="shared" si="11"/>
        <v>4.8611111111111107</v>
      </c>
      <c r="AR24" s="89">
        <v>10</v>
      </c>
      <c r="AS24" s="89">
        <f t="shared" si="12"/>
        <v>350</v>
      </c>
      <c r="AT24" s="90">
        <f t="shared" si="13"/>
        <v>0.27777777777777779</v>
      </c>
      <c r="AU24" s="91">
        <f t="shared" si="14"/>
        <v>185</v>
      </c>
      <c r="AV24" s="91">
        <f t="shared" si="14"/>
        <v>6475</v>
      </c>
      <c r="AW24" s="92">
        <f t="shared" si="14"/>
        <v>5.1388888888888884</v>
      </c>
      <c r="AX24" s="74">
        <v>76</v>
      </c>
      <c r="AY24" s="75" t="s">
        <v>175</v>
      </c>
      <c r="AZ24" s="76">
        <v>81</v>
      </c>
      <c r="BA24" s="38" t="s">
        <v>65</v>
      </c>
    </row>
    <row r="25" spans="1:53" ht="15.75" customHeight="1">
      <c r="A25" s="5">
        <v>5</v>
      </c>
      <c r="B25" s="38">
        <v>24</v>
      </c>
      <c r="C25" s="58">
        <v>46176</v>
      </c>
      <c r="D25" s="38">
        <v>2</v>
      </c>
      <c r="E25" s="38">
        <v>11</v>
      </c>
      <c r="F25" s="38" t="s">
        <v>202</v>
      </c>
      <c r="G25" s="60">
        <v>17.75</v>
      </c>
      <c r="H25" s="59">
        <v>12.13</v>
      </c>
      <c r="I25" s="60">
        <v>21.81</v>
      </c>
      <c r="J25" s="60">
        <f t="shared" ref="J25:J29" si="16">AVERAGE(G25:I25)</f>
        <v>17.23</v>
      </c>
      <c r="K25" s="61">
        <v>46077</v>
      </c>
      <c r="L25" s="60">
        <v>71.010000000000005</v>
      </c>
      <c r="M25" s="95">
        <v>46176</v>
      </c>
      <c r="N25" s="60">
        <v>98.61</v>
      </c>
      <c r="O25" s="59"/>
      <c r="P25" s="59"/>
      <c r="Q25" s="59"/>
      <c r="R25" s="59"/>
      <c r="S25" s="63">
        <f t="shared" si="9"/>
        <v>99</v>
      </c>
      <c r="T25" s="59">
        <v>16.09</v>
      </c>
      <c r="U25" s="63">
        <v>28.5</v>
      </c>
      <c r="V25" s="59"/>
      <c r="W25" s="59"/>
      <c r="X25" s="59"/>
      <c r="Y25" s="63"/>
      <c r="Z25" s="63"/>
      <c r="AA25" s="59"/>
      <c r="AB25" s="59">
        <v>96.66</v>
      </c>
      <c r="AC25" s="59">
        <v>89.16</v>
      </c>
      <c r="AD25" s="59">
        <v>8</v>
      </c>
      <c r="AE25" s="63">
        <v>45.95</v>
      </c>
      <c r="AF25" s="63">
        <v>93.95</v>
      </c>
      <c r="AG25" s="59">
        <v>84.17</v>
      </c>
      <c r="AH25" s="67">
        <v>38.159999999999997</v>
      </c>
      <c r="AI25" s="79" t="s">
        <v>177</v>
      </c>
      <c r="AJ25" s="79" t="s">
        <v>177</v>
      </c>
      <c r="AK25" s="65"/>
      <c r="AL25" s="67">
        <v>34.270000000000003</v>
      </c>
      <c r="AM25" s="67">
        <v>45</v>
      </c>
      <c r="AN25" s="67" t="s">
        <v>206</v>
      </c>
      <c r="AO25" s="87">
        <v>322</v>
      </c>
      <c r="AP25" s="87">
        <f t="shared" si="10"/>
        <v>11270</v>
      </c>
      <c r="AQ25" s="88">
        <f t="shared" si="11"/>
        <v>8.9444444444444446</v>
      </c>
      <c r="AR25" s="89">
        <v>27</v>
      </c>
      <c r="AS25" s="89">
        <f t="shared" si="12"/>
        <v>945</v>
      </c>
      <c r="AT25" s="90">
        <f t="shared" si="13"/>
        <v>0.75</v>
      </c>
      <c r="AU25" s="91">
        <f t="shared" si="14"/>
        <v>349</v>
      </c>
      <c r="AV25" s="91">
        <f t="shared" si="14"/>
        <v>12215</v>
      </c>
      <c r="AW25" s="92">
        <f t="shared" si="14"/>
        <v>9.6944444444444446</v>
      </c>
      <c r="AX25" s="74">
        <v>81</v>
      </c>
      <c r="AY25" s="75" t="s">
        <v>175</v>
      </c>
      <c r="AZ25" s="76">
        <v>90</v>
      </c>
      <c r="BA25" s="38" t="s">
        <v>65</v>
      </c>
    </row>
    <row r="26" spans="1:53" ht="15.75" customHeight="1">
      <c r="A26" s="5">
        <v>5</v>
      </c>
      <c r="B26" s="38">
        <v>25</v>
      </c>
      <c r="C26" s="58">
        <v>46177</v>
      </c>
      <c r="D26" s="38">
        <v>2</v>
      </c>
      <c r="E26" s="46" t="s">
        <v>207</v>
      </c>
      <c r="F26" s="38" t="s">
        <v>183</v>
      </c>
      <c r="G26" s="60">
        <v>19.72</v>
      </c>
      <c r="H26" s="59">
        <v>14.12</v>
      </c>
      <c r="I26" s="60">
        <v>19.850000000000001</v>
      </c>
      <c r="J26" s="60">
        <f t="shared" si="16"/>
        <v>17.896666666666665</v>
      </c>
      <c r="K26" s="61">
        <v>46078</v>
      </c>
      <c r="L26" s="60">
        <v>73.13</v>
      </c>
      <c r="M26" s="95">
        <v>46177</v>
      </c>
      <c r="N26" s="60">
        <v>98.61</v>
      </c>
      <c r="O26" s="63"/>
      <c r="P26" s="63"/>
      <c r="Q26" s="63"/>
      <c r="R26" s="82"/>
      <c r="S26" s="63">
        <f t="shared" si="9"/>
        <v>99</v>
      </c>
      <c r="T26" s="59">
        <v>14.2</v>
      </c>
      <c r="U26" s="63">
        <v>26.33</v>
      </c>
      <c r="V26" s="59"/>
      <c r="W26" s="59"/>
      <c r="X26" s="59"/>
      <c r="Y26" s="63"/>
      <c r="Z26" s="63"/>
      <c r="AA26" s="59"/>
      <c r="AB26" s="59">
        <v>100</v>
      </c>
      <c r="AC26" s="59">
        <v>90.33</v>
      </c>
      <c r="AD26" s="59">
        <v>8</v>
      </c>
      <c r="AE26" s="63">
        <v>44.3</v>
      </c>
      <c r="AF26" s="63">
        <v>61.2</v>
      </c>
      <c r="AG26" s="59">
        <v>80.239999999999995</v>
      </c>
      <c r="AH26" s="67">
        <v>34.659999999999997</v>
      </c>
      <c r="AI26" s="79" t="s">
        <v>177</v>
      </c>
      <c r="AJ26" s="79" t="s">
        <v>177</v>
      </c>
      <c r="AK26" s="65"/>
      <c r="AL26" s="67">
        <v>32.31</v>
      </c>
      <c r="AM26" s="67">
        <v>20</v>
      </c>
      <c r="AN26" s="67" t="s">
        <v>208</v>
      </c>
      <c r="AO26" s="87">
        <v>117</v>
      </c>
      <c r="AP26" s="87">
        <f t="shared" si="10"/>
        <v>4095</v>
      </c>
      <c r="AQ26" s="88">
        <f t="shared" si="11"/>
        <v>3.25</v>
      </c>
      <c r="AR26" s="89">
        <v>66</v>
      </c>
      <c r="AS26" s="89">
        <f t="shared" si="12"/>
        <v>2310</v>
      </c>
      <c r="AT26" s="90">
        <f t="shared" si="13"/>
        <v>1.8333333333333333</v>
      </c>
      <c r="AU26" s="91">
        <f t="shared" si="14"/>
        <v>183</v>
      </c>
      <c r="AV26" s="91">
        <f t="shared" si="14"/>
        <v>6405</v>
      </c>
      <c r="AW26" s="92">
        <f t="shared" si="14"/>
        <v>5.083333333333333</v>
      </c>
      <c r="AX26" s="74">
        <v>90</v>
      </c>
      <c r="AY26" s="75" t="s">
        <v>175</v>
      </c>
      <c r="AZ26" s="76">
        <v>93</v>
      </c>
      <c r="BA26" s="38" t="s">
        <v>65</v>
      </c>
    </row>
    <row r="27" spans="1:53" ht="15.75" customHeight="1">
      <c r="A27" s="5">
        <v>5</v>
      </c>
      <c r="B27" s="38">
        <v>26</v>
      </c>
      <c r="C27" s="58">
        <v>46178</v>
      </c>
      <c r="D27" s="38">
        <v>2</v>
      </c>
      <c r="E27" s="38">
        <v>9</v>
      </c>
      <c r="F27" s="38" t="s">
        <v>203</v>
      </c>
      <c r="G27" s="60">
        <v>21.94</v>
      </c>
      <c r="H27" s="60">
        <v>17.510000000000002</v>
      </c>
      <c r="I27" s="60">
        <v>13.17</v>
      </c>
      <c r="J27" s="60">
        <f t="shared" si="16"/>
        <v>17.540000000000003</v>
      </c>
      <c r="K27" s="61">
        <v>46078</v>
      </c>
      <c r="L27" s="60">
        <v>71.61</v>
      </c>
      <c r="M27" s="95">
        <v>46178</v>
      </c>
      <c r="N27" s="60">
        <v>98.61</v>
      </c>
      <c r="O27" s="63"/>
      <c r="P27" s="63"/>
      <c r="Q27" s="63"/>
      <c r="R27" s="82"/>
      <c r="S27" s="63">
        <f t="shared" si="9"/>
        <v>100</v>
      </c>
      <c r="T27" s="59">
        <v>10.9</v>
      </c>
      <c r="U27" s="63">
        <v>29.6</v>
      </c>
      <c r="V27" s="59"/>
      <c r="W27" s="59"/>
      <c r="X27" s="59"/>
      <c r="Y27" s="63"/>
      <c r="Z27" s="63"/>
      <c r="AA27" s="59"/>
      <c r="AB27" s="59">
        <v>97.83</v>
      </c>
      <c r="AC27" s="59">
        <v>86.83</v>
      </c>
      <c r="AD27" s="59">
        <v>8</v>
      </c>
      <c r="AE27" s="63">
        <v>45.06</v>
      </c>
      <c r="AF27" s="63">
        <v>65.180000000000007</v>
      </c>
      <c r="AG27" s="59">
        <v>82.27</v>
      </c>
      <c r="AH27" s="67">
        <v>38</v>
      </c>
      <c r="AI27" s="79" t="s">
        <v>177</v>
      </c>
      <c r="AJ27" s="79" t="s">
        <v>177</v>
      </c>
      <c r="AK27" s="65"/>
      <c r="AL27" s="67">
        <v>34.83</v>
      </c>
      <c r="AM27" s="67">
        <v>25</v>
      </c>
      <c r="AN27" s="67" t="s">
        <v>209</v>
      </c>
      <c r="AO27" s="87">
        <v>176</v>
      </c>
      <c r="AP27" s="87">
        <f t="shared" si="10"/>
        <v>6160</v>
      </c>
      <c r="AQ27" s="88">
        <f t="shared" si="11"/>
        <v>4.8888888888888893</v>
      </c>
      <c r="AR27" s="89">
        <v>64</v>
      </c>
      <c r="AS27" s="89">
        <f t="shared" si="12"/>
        <v>2240</v>
      </c>
      <c r="AT27" s="90">
        <f t="shared" si="13"/>
        <v>1.7777777777777777</v>
      </c>
      <c r="AU27" s="91">
        <f t="shared" si="14"/>
        <v>240</v>
      </c>
      <c r="AV27" s="91">
        <f t="shared" si="14"/>
        <v>8400</v>
      </c>
      <c r="AW27" s="92">
        <f t="shared" si="14"/>
        <v>6.666666666666667</v>
      </c>
      <c r="AX27" s="74">
        <v>93</v>
      </c>
      <c r="AY27" s="75" t="s">
        <v>175</v>
      </c>
      <c r="AZ27" s="76">
        <v>98</v>
      </c>
      <c r="BA27" s="38" t="s">
        <v>65</v>
      </c>
    </row>
    <row r="28" spans="1:53" ht="15.75" customHeight="1">
      <c r="A28" s="5">
        <v>5</v>
      </c>
      <c r="B28" s="38">
        <v>27</v>
      </c>
      <c r="C28" s="58">
        <v>46179</v>
      </c>
      <c r="D28" s="38"/>
      <c r="E28" s="38"/>
      <c r="F28" s="38"/>
      <c r="G28" s="59"/>
      <c r="H28" s="59"/>
      <c r="I28" s="59"/>
      <c r="J28" s="60"/>
      <c r="K28" s="78"/>
      <c r="L28" s="60"/>
      <c r="M28" s="78"/>
      <c r="N28" s="60"/>
      <c r="O28" s="63"/>
      <c r="P28" s="63"/>
      <c r="Q28" s="63"/>
      <c r="R28" s="82"/>
      <c r="S28" s="63"/>
      <c r="T28" s="59"/>
      <c r="U28" s="63"/>
      <c r="V28" s="59"/>
      <c r="W28" s="59"/>
      <c r="X28" s="59"/>
      <c r="Y28" s="63"/>
      <c r="Z28" s="63"/>
      <c r="AA28" s="59"/>
      <c r="AB28" s="59"/>
      <c r="AC28" s="59"/>
      <c r="AD28" s="59"/>
      <c r="AE28" s="63">
        <v>43</v>
      </c>
      <c r="AF28" s="63">
        <v>66.3</v>
      </c>
      <c r="AG28" s="59">
        <v>76.3</v>
      </c>
      <c r="AH28" s="67"/>
      <c r="AI28" s="79" t="s">
        <v>177</v>
      </c>
      <c r="AJ28" s="79" t="s">
        <v>177</v>
      </c>
      <c r="AK28" s="65"/>
      <c r="AL28" s="67">
        <v>32</v>
      </c>
      <c r="AM28" s="65">
        <v>10</v>
      </c>
      <c r="AN28" s="65" t="s">
        <v>210</v>
      </c>
      <c r="AO28" s="87">
        <v>36</v>
      </c>
      <c r="AP28" s="87">
        <f t="shared" si="10"/>
        <v>1260</v>
      </c>
      <c r="AQ28" s="88">
        <f t="shared" si="11"/>
        <v>1</v>
      </c>
      <c r="AR28" s="89">
        <v>86</v>
      </c>
      <c r="AS28" s="89">
        <f t="shared" si="12"/>
        <v>3010</v>
      </c>
      <c r="AT28" s="90">
        <f t="shared" si="13"/>
        <v>2.3888888888888888</v>
      </c>
      <c r="AU28" s="91">
        <f t="shared" si="14"/>
        <v>122</v>
      </c>
      <c r="AV28" s="91">
        <f t="shared" si="14"/>
        <v>4270</v>
      </c>
      <c r="AW28" s="92">
        <f t="shared" si="14"/>
        <v>3.3888888888888888</v>
      </c>
      <c r="AX28" s="74">
        <v>98</v>
      </c>
      <c r="AY28" s="75" t="s">
        <v>175</v>
      </c>
      <c r="AZ28" s="76">
        <v>99</v>
      </c>
      <c r="BA28" s="38" t="s">
        <v>65</v>
      </c>
    </row>
    <row r="29" spans="1:53" ht="15.75" customHeight="1">
      <c r="A29" s="5">
        <v>6</v>
      </c>
      <c r="B29" s="38">
        <v>28</v>
      </c>
      <c r="C29" s="58">
        <v>46181</v>
      </c>
      <c r="D29" s="38">
        <v>2</v>
      </c>
      <c r="E29" s="38">
        <v>2</v>
      </c>
      <c r="F29" s="38" t="s">
        <v>183</v>
      </c>
      <c r="G29" s="60">
        <v>17.22</v>
      </c>
      <c r="H29" s="60">
        <v>14.62</v>
      </c>
      <c r="I29" s="59">
        <v>17.5</v>
      </c>
      <c r="J29" s="60">
        <f t="shared" si="16"/>
        <v>16.446666666666665</v>
      </c>
      <c r="K29" s="95">
        <v>46085</v>
      </c>
      <c r="L29" s="60">
        <v>72.62</v>
      </c>
      <c r="M29" s="95">
        <v>46181</v>
      </c>
      <c r="N29" s="83">
        <v>98.93</v>
      </c>
      <c r="O29" s="63">
        <v>40</v>
      </c>
      <c r="P29" s="63">
        <v>71</v>
      </c>
      <c r="Q29" s="59">
        <v>79.7</v>
      </c>
      <c r="R29" s="82">
        <v>0.113</v>
      </c>
      <c r="S29" s="63">
        <f t="shared" si="9"/>
        <v>96</v>
      </c>
      <c r="T29" s="59">
        <v>30.24</v>
      </c>
      <c r="U29" s="63">
        <v>30.25</v>
      </c>
      <c r="V29" s="59"/>
      <c r="W29" s="59"/>
      <c r="X29" s="59"/>
      <c r="Y29" s="63"/>
      <c r="Z29" s="63"/>
      <c r="AA29" s="59"/>
      <c r="AB29" s="59">
        <v>95.4</v>
      </c>
      <c r="AC29" s="59">
        <v>85</v>
      </c>
      <c r="AD29" s="59">
        <v>8</v>
      </c>
      <c r="AE29" s="63">
        <v>44.57</v>
      </c>
      <c r="AF29" s="63">
        <v>60.8</v>
      </c>
      <c r="AG29" s="59">
        <v>80.75</v>
      </c>
      <c r="AH29" s="67">
        <v>35.75</v>
      </c>
      <c r="AI29" s="79" t="s">
        <v>177</v>
      </c>
      <c r="AJ29" s="79" t="s">
        <v>177</v>
      </c>
      <c r="AK29" s="65"/>
      <c r="AL29" s="67">
        <v>37.83</v>
      </c>
      <c r="AM29" s="67">
        <v>30</v>
      </c>
      <c r="AN29" s="67" t="s">
        <v>211</v>
      </c>
      <c r="AO29" s="87">
        <v>185</v>
      </c>
      <c r="AP29" s="87">
        <f t="shared" si="10"/>
        <v>6475</v>
      </c>
      <c r="AQ29" s="88">
        <f t="shared" si="11"/>
        <v>5.1388888888888893</v>
      </c>
      <c r="AR29" s="89">
        <v>33</v>
      </c>
      <c r="AS29" s="89">
        <f t="shared" si="12"/>
        <v>1155</v>
      </c>
      <c r="AT29" s="90">
        <f t="shared" si="13"/>
        <v>0.91666666666666663</v>
      </c>
      <c r="AU29" s="91">
        <f t="shared" si="14"/>
        <v>218</v>
      </c>
      <c r="AV29" s="91">
        <f t="shared" si="14"/>
        <v>7630</v>
      </c>
      <c r="AW29" s="92">
        <f t="shared" si="14"/>
        <v>6.0555555555555562</v>
      </c>
      <c r="AX29" s="74">
        <v>99</v>
      </c>
      <c r="AY29" s="75" t="s">
        <v>175</v>
      </c>
      <c r="AZ29" s="76">
        <v>104</v>
      </c>
      <c r="BA29" s="38" t="s">
        <v>65</v>
      </c>
    </row>
    <row r="30" spans="1:53" ht="15.75" customHeight="1">
      <c r="A30" s="5">
        <v>6</v>
      </c>
      <c r="B30" s="38">
        <v>29</v>
      </c>
      <c r="C30" s="58">
        <v>46182</v>
      </c>
      <c r="D30" s="38">
        <v>2</v>
      </c>
      <c r="E30" s="38">
        <v>2</v>
      </c>
      <c r="F30" s="38" t="s">
        <v>183</v>
      </c>
      <c r="G30" s="59">
        <v>18.190000000000001</v>
      </c>
      <c r="H30" s="59">
        <v>15.47</v>
      </c>
      <c r="I30" s="59">
        <v>17.64</v>
      </c>
      <c r="J30" s="60">
        <f>AVERAGE(G30:I30)</f>
        <v>17.100000000000001</v>
      </c>
      <c r="K30" s="95">
        <v>46085</v>
      </c>
      <c r="L30" s="60">
        <v>72.62</v>
      </c>
      <c r="M30" s="95">
        <v>46182</v>
      </c>
      <c r="N30" s="83">
        <v>98.93</v>
      </c>
      <c r="O30" s="63"/>
      <c r="P30" s="63"/>
      <c r="Q30" s="63"/>
      <c r="R30" s="82"/>
      <c r="S30" s="63">
        <f t="shared" si="9"/>
        <v>97</v>
      </c>
      <c r="T30" s="59">
        <v>13.94</v>
      </c>
      <c r="U30" s="63">
        <v>33</v>
      </c>
      <c r="V30" s="59"/>
      <c r="W30" s="59"/>
      <c r="X30" s="59"/>
      <c r="Y30" s="63"/>
      <c r="Z30" s="63"/>
      <c r="AA30" s="59"/>
      <c r="AB30" s="59">
        <v>97.16</v>
      </c>
      <c r="AC30" s="59">
        <v>91.16</v>
      </c>
      <c r="AD30" s="59">
        <v>8</v>
      </c>
      <c r="AE30" s="63">
        <v>45.61</v>
      </c>
      <c r="AF30" s="63">
        <v>56.13</v>
      </c>
      <c r="AG30" s="59">
        <v>84.78</v>
      </c>
      <c r="AH30" s="67">
        <v>37.159999999999997</v>
      </c>
      <c r="AI30" s="79" t="s">
        <v>177</v>
      </c>
      <c r="AJ30" s="79" t="s">
        <v>177</v>
      </c>
      <c r="AK30" s="65"/>
      <c r="AL30" s="67">
        <v>37.14</v>
      </c>
      <c r="AM30" s="65">
        <v>50</v>
      </c>
      <c r="AN30" s="65" t="s">
        <v>212</v>
      </c>
      <c r="AO30" s="87">
        <v>222</v>
      </c>
      <c r="AP30" s="87">
        <f t="shared" si="10"/>
        <v>7770</v>
      </c>
      <c r="AQ30" s="88">
        <f t="shared" si="11"/>
        <v>6.166666666666667</v>
      </c>
      <c r="AR30" s="89">
        <v>118</v>
      </c>
      <c r="AS30" s="89">
        <f t="shared" si="12"/>
        <v>4130</v>
      </c>
      <c r="AT30" s="90">
        <f t="shared" si="13"/>
        <v>3.2777777777777777</v>
      </c>
      <c r="AU30" s="91">
        <f t="shared" si="14"/>
        <v>340</v>
      </c>
      <c r="AV30" s="91">
        <f t="shared" si="14"/>
        <v>11900</v>
      </c>
      <c r="AW30" s="92">
        <f t="shared" si="14"/>
        <v>9.4444444444444446</v>
      </c>
      <c r="AX30" s="74">
        <v>104</v>
      </c>
      <c r="AY30" s="75" t="s">
        <v>175</v>
      </c>
      <c r="AZ30" s="76">
        <v>110</v>
      </c>
      <c r="BA30" s="38" t="s">
        <v>65</v>
      </c>
    </row>
    <row r="31" spans="1:53" ht="15.75" customHeight="1">
      <c r="A31" s="5">
        <v>6</v>
      </c>
      <c r="B31" s="38">
        <v>30</v>
      </c>
      <c r="C31" s="58">
        <v>46183</v>
      </c>
      <c r="D31" s="38">
        <v>2</v>
      </c>
      <c r="E31" s="38">
        <v>7</v>
      </c>
      <c r="F31" s="38" t="s">
        <v>193</v>
      </c>
      <c r="G31" s="59">
        <v>17.2</v>
      </c>
      <c r="H31" s="59">
        <v>13.72</v>
      </c>
      <c r="I31" s="59">
        <v>15.72</v>
      </c>
      <c r="J31" s="60">
        <f>AVERAGE(G31:I31)</f>
        <v>15.546666666666667</v>
      </c>
      <c r="K31" s="95">
        <v>46090</v>
      </c>
      <c r="L31" s="60">
        <v>74.02</v>
      </c>
      <c r="M31" s="95">
        <v>46183</v>
      </c>
      <c r="N31" s="83">
        <v>98.93</v>
      </c>
      <c r="O31" s="63"/>
      <c r="P31" s="63"/>
      <c r="Q31" s="63"/>
      <c r="R31" s="82"/>
      <c r="S31" s="63">
        <f t="shared" si="9"/>
        <v>93</v>
      </c>
      <c r="T31" s="59">
        <v>12.9</v>
      </c>
      <c r="U31" s="63">
        <v>31.33</v>
      </c>
      <c r="V31" s="59"/>
      <c r="W31" s="59"/>
      <c r="X31" s="59"/>
      <c r="Y31" s="63"/>
      <c r="Z31" s="63"/>
      <c r="AA31" s="59"/>
      <c r="AB31" s="59">
        <v>100</v>
      </c>
      <c r="AC31" s="59">
        <v>96</v>
      </c>
      <c r="AD31" s="59">
        <v>8</v>
      </c>
      <c r="AE31" s="63">
        <v>45.75</v>
      </c>
      <c r="AF31" s="63">
        <v>61.86</v>
      </c>
      <c r="AG31" s="59">
        <v>83.6</v>
      </c>
      <c r="AH31" s="67">
        <v>35</v>
      </c>
      <c r="AI31" s="79" t="s">
        <v>177</v>
      </c>
      <c r="AJ31" s="79" t="s">
        <v>177</v>
      </c>
      <c r="AK31" s="65"/>
      <c r="AL31" s="67">
        <v>32.840000000000003</v>
      </c>
      <c r="AM31" s="65">
        <v>30</v>
      </c>
      <c r="AN31" s="65" t="s">
        <v>197</v>
      </c>
      <c r="AO31" s="87">
        <v>155</v>
      </c>
      <c r="AP31" s="87">
        <f t="shared" si="10"/>
        <v>5425</v>
      </c>
      <c r="AQ31" s="88">
        <f t="shared" si="11"/>
        <v>4.3055555555555554</v>
      </c>
      <c r="AR31" s="89">
        <v>28</v>
      </c>
      <c r="AS31" s="89">
        <f t="shared" si="12"/>
        <v>980</v>
      </c>
      <c r="AT31" s="90">
        <f t="shared" si="13"/>
        <v>0.77777777777777779</v>
      </c>
      <c r="AU31" s="91">
        <f t="shared" si="14"/>
        <v>183</v>
      </c>
      <c r="AV31" s="91">
        <f t="shared" si="14"/>
        <v>6405</v>
      </c>
      <c r="AW31" s="92">
        <f t="shared" si="14"/>
        <v>5.083333333333333</v>
      </c>
      <c r="AX31" s="74">
        <v>111</v>
      </c>
      <c r="AY31" s="75" t="s">
        <v>175</v>
      </c>
      <c r="AZ31" s="76">
        <v>115</v>
      </c>
      <c r="BA31" s="38" t="s">
        <v>65</v>
      </c>
    </row>
    <row r="32" spans="1:53" ht="15.75" customHeight="1">
      <c r="A32" s="5">
        <v>6</v>
      </c>
      <c r="B32" s="38">
        <v>31</v>
      </c>
      <c r="C32" s="58">
        <v>46184</v>
      </c>
      <c r="D32" s="38">
        <v>2</v>
      </c>
      <c r="E32" s="46" t="s">
        <v>213</v>
      </c>
      <c r="F32" s="38" t="s">
        <v>74</v>
      </c>
      <c r="G32" s="59">
        <v>18.510000000000002</v>
      </c>
      <c r="H32" s="59">
        <v>14.17</v>
      </c>
      <c r="I32" s="59">
        <v>19</v>
      </c>
      <c r="J32" s="60">
        <f>AVERAGE(G32:I32)</f>
        <v>17.226666666666667</v>
      </c>
      <c r="K32" s="95">
        <v>46090</v>
      </c>
      <c r="L32" s="60">
        <v>70.64</v>
      </c>
      <c r="M32" s="95">
        <v>46184</v>
      </c>
      <c r="N32" s="83">
        <v>98.93</v>
      </c>
      <c r="O32" s="59"/>
      <c r="P32" s="59"/>
      <c r="Q32" s="59"/>
      <c r="R32" s="59"/>
      <c r="S32" s="63">
        <f t="shared" si="9"/>
        <v>94</v>
      </c>
      <c r="T32" s="59">
        <v>13.32</v>
      </c>
      <c r="U32" s="63">
        <v>32</v>
      </c>
      <c r="V32" s="59"/>
      <c r="W32" s="59"/>
      <c r="X32" s="59"/>
      <c r="Y32" s="63"/>
      <c r="Z32" s="63"/>
      <c r="AA32" s="59"/>
      <c r="AB32" s="59">
        <v>96</v>
      </c>
      <c r="AC32" s="59">
        <v>93</v>
      </c>
      <c r="AD32" s="59">
        <v>8</v>
      </c>
      <c r="AE32" s="63">
        <v>36.5</v>
      </c>
      <c r="AF32" s="63">
        <v>64.760000000000005</v>
      </c>
      <c r="AG32" s="59">
        <v>68.349999999999994</v>
      </c>
      <c r="AH32" s="67">
        <v>33.549999999999997</v>
      </c>
      <c r="AI32" s="79" t="s">
        <v>177</v>
      </c>
      <c r="AJ32" s="79" t="s">
        <v>177</v>
      </c>
      <c r="AK32" s="65"/>
      <c r="AL32" s="67">
        <v>33.549999999999997</v>
      </c>
      <c r="AM32" s="67">
        <v>100</v>
      </c>
      <c r="AN32" s="67" t="s">
        <v>214</v>
      </c>
      <c r="AO32" s="87">
        <v>285</v>
      </c>
      <c r="AP32" s="87">
        <f t="shared" si="10"/>
        <v>9975</v>
      </c>
      <c r="AQ32" s="88">
        <f t="shared" si="11"/>
        <v>7.916666666666667</v>
      </c>
      <c r="AR32" s="89">
        <v>28</v>
      </c>
      <c r="AS32" s="89">
        <f t="shared" si="12"/>
        <v>980</v>
      </c>
      <c r="AT32" s="90">
        <f t="shared" si="13"/>
        <v>0.77777777777777779</v>
      </c>
      <c r="AU32" s="91">
        <f t="shared" si="14"/>
        <v>313</v>
      </c>
      <c r="AV32" s="91">
        <f t="shared" si="14"/>
        <v>10955</v>
      </c>
      <c r="AW32" s="92">
        <f t="shared" si="14"/>
        <v>8.6944444444444446</v>
      </c>
      <c r="AX32" s="74">
        <v>115</v>
      </c>
      <c r="AY32" s="75" t="s">
        <v>175</v>
      </c>
      <c r="AZ32" s="76">
        <v>123</v>
      </c>
      <c r="BA32" s="38" t="s">
        <v>65</v>
      </c>
    </row>
    <row r="33" spans="1:53" ht="15.75" customHeight="1">
      <c r="A33" s="5">
        <v>6</v>
      </c>
      <c r="B33" s="38">
        <v>32</v>
      </c>
      <c r="C33" s="58">
        <v>46185</v>
      </c>
      <c r="D33" s="38"/>
      <c r="E33" s="38"/>
      <c r="F33" s="38"/>
      <c r="G33" s="59"/>
      <c r="H33" s="59"/>
      <c r="I33" s="59"/>
      <c r="J33" s="60"/>
      <c r="K33" s="95"/>
      <c r="L33" s="60"/>
      <c r="M33" s="95"/>
      <c r="N33" s="60"/>
      <c r="O33" s="59"/>
      <c r="P33" s="59"/>
      <c r="Q33" s="59"/>
      <c r="R33" s="59"/>
      <c r="S33" s="63"/>
      <c r="T33" s="59"/>
      <c r="U33" s="63"/>
      <c r="V33" s="59"/>
      <c r="W33" s="59"/>
      <c r="X33" s="59"/>
      <c r="Y33" s="63"/>
      <c r="Z33" s="63"/>
      <c r="AA33" s="59"/>
      <c r="AB33" s="59"/>
      <c r="AC33" s="59"/>
      <c r="AD33" s="59"/>
      <c r="AE33" s="59"/>
      <c r="AF33" s="59"/>
      <c r="AG33" s="59"/>
      <c r="AH33" s="66"/>
      <c r="AI33" s="79" t="s">
        <v>177</v>
      </c>
      <c r="AJ33" s="79" t="s">
        <v>177</v>
      </c>
      <c r="AK33" s="65"/>
      <c r="AL33" s="67">
        <v>32.6</v>
      </c>
      <c r="AM33" s="67">
        <v>10</v>
      </c>
      <c r="AN33" s="67" t="s">
        <v>215</v>
      </c>
      <c r="AO33" s="87">
        <v>29</v>
      </c>
      <c r="AP33" s="87">
        <f t="shared" si="10"/>
        <v>1015</v>
      </c>
      <c r="AQ33" s="88">
        <f t="shared" si="11"/>
        <v>0.80555555555555558</v>
      </c>
      <c r="AR33" s="89">
        <v>3</v>
      </c>
      <c r="AS33" s="89">
        <f t="shared" si="12"/>
        <v>105</v>
      </c>
      <c r="AT33" s="90">
        <f t="shared" si="13"/>
        <v>8.3333333333333329E-2</v>
      </c>
      <c r="AU33" s="91">
        <f t="shared" si="14"/>
        <v>32</v>
      </c>
      <c r="AV33" s="91">
        <f t="shared" si="14"/>
        <v>1120</v>
      </c>
      <c r="AW33" s="92">
        <f t="shared" si="14"/>
        <v>0.88888888888888895</v>
      </c>
      <c r="AX33" s="74">
        <v>123</v>
      </c>
      <c r="AY33" s="75" t="s">
        <v>175</v>
      </c>
      <c r="AZ33" s="76">
        <v>124</v>
      </c>
      <c r="BA33" s="38" t="s">
        <v>65</v>
      </c>
    </row>
    <row r="34" spans="1:53" ht="15.75" customHeight="1">
      <c r="A34" s="5">
        <v>7</v>
      </c>
      <c r="B34" s="38">
        <v>33</v>
      </c>
      <c r="C34" s="58">
        <v>46188</v>
      </c>
      <c r="D34" s="38">
        <v>2</v>
      </c>
      <c r="E34" s="46" t="s">
        <v>216</v>
      </c>
      <c r="F34" s="38" t="s">
        <v>193</v>
      </c>
      <c r="G34" s="59">
        <v>18.32</v>
      </c>
      <c r="H34" s="59">
        <v>13.07</v>
      </c>
      <c r="I34" s="59">
        <v>15.83</v>
      </c>
      <c r="J34" s="60">
        <f>AVERAGE(G34:I34)</f>
        <v>15.74</v>
      </c>
      <c r="K34" s="95">
        <v>46091</v>
      </c>
      <c r="L34" s="60">
        <v>73.158000000000001</v>
      </c>
      <c r="M34" s="95">
        <v>46188</v>
      </c>
      <c r="N34" s="60">
        <v>99.02</v>
      </c>
      <c r="O34" s="63">
        <v>46</v>
      </c>
      <c r="P34" s="59">
        <v>69.5</v>
      </c>
      <c r="Q34" s="59">
        <v>78.5</v>
      </c>
      <c r="R34" s="65">
        <v>0.107</v>
      </c>
      <c r="S34" s="63">
        <f t="shared" si="9"/>
        <v>97</v>
      </c>
      <c r="T34" s="59">
        <v>12.731999999999999</v>
      </c>
      <c r="U34" s="63">
        <v>33</v>
      </c>
      <c r="V34" s="59"/>
      <c r="W34" s="59"/>
      <c r="X34" s="59"/>
      <c r="Y34" s="63"/>
      <c r="Z34" s="63"/>
      <c r="AA34" s="59"/>
      <c r="AB34" s="59">
        <v>101</v>
      </c>
      <c r="AC34" s="59">
        <v>95.5</v>
      </c>
      <c r="AD34" s="59">
        <v>8</v>
      </c>
      <c r="AE34" s="63">
        <v>44.9</v>
      </c>
      <c r="AF34" s="63">
        <v>62.78</v>
      </c>
      <c r="AG34" s="59">
        <v>81.400000000000006</v>
      </c>
      <c r="AH34" s="67">
        <v>35.159999999999997</v>
      </c>
      <c r="AI34" s="79" t="s">
        <v>177</v>
      </c>
      <c r="AJ34" s="79" t="s">
        <v>177</v>
      </c>
      <c r="AK34" s="65"/>
      <c r="AL34" s="67">
        <v>34.015000000000001</v>
      </c>
      <c r="AM34" s="67">
        <v>40</v>
      </c>
      <c r="AN34" s="67" t="s">
        <v>217</v>
      </c>
      <c r="AO34" s="87">
        <v>287</v>
      </c>
      <c r="AP34" s="87">
        <f t="shared" si="10"/>
        <v>10045</v>
      </c>
      <c r="AQ34" s="88">
        <f t="shared" si="11"/>
        <v>7.9722222222222223</v>
      </c>
      <c r="AR34" s="89">
        <v>6</v>
      </c>
      <c r="AS34" s="89">
        <f t="shared" si="12"/>
        <v>210</v>
      </c>
      <c r="AT34" s="90">
        <f t="shared" si="13"/>
        <v>0.16666666666666666</v>
      </c>
      <c r="AU34" s="91">
        <f t="shared" si="14"/>
        <v>293</v>
      </c>
      <c r="AV34" s="91">
        <f t="shared" si="14"/>
        <v>10255</v>
      </c>
      <c r="AW34" s="92">
        <f t="shared" si="14"/>
        <v>8.1388888888888893</v>
      </c>
      <c r="AX34" s="74">
        <v>124</v>
      </c>
      <c r="AY34" s="75" t="s">
        <v>175</v>
      </c>
      <c r="AZ34" s="76">
        <v>131</v>
      </c>
      <c r="BA34" s="38" t="s">
        <v>65</v>
      </c>
    </row>
    <row r="35" spans="1:53" ht="15.75" customHeight="1">
      <c r="A35" s="5">
        <v>7</v>
      </c>
      <c r="B35" s="38">
        <v>34</v>
      </c>
      <c r="C35" s="58">
        <v>46190</v>
      </c>
      <c r="D35" s="38">
        <v>2</v>
      </c>
      <c r="E35" s="46" t="s">
        <v>216</v>
      </c>
      <c r="F35" s="38" t="s">
        <v>193</v>
      </c>
      <c r="G35" s="96">
        <v>19.32</v>
      </c>
      <c r="H35" s="60">
        <v>13.79</v>
      </c>
      <c r="I35" s="60">
        <v>18.47</v>
      </c>
      <c r="J35" s="60">
        <f>AVERAGE(G35:I35)</f>
        <v>17.193333333333332</v>
      </c>
      <c r="K35" s="95">
        <v>46091</v>
      </c>
      <c r="L35" s="60">
        <v>73.158000000000001</v>
      </c>
      <c r="M35" s="95">
        <v>46190</v>
      </c>
      <c r="N35" s="60">
        <v>99.02</v>
      </c>
      <c r="O35" s="63">
        <v>46</v>
      </c>
      <c r="P35" s="59">
        <v>69.5</v>
      </c>
      <c r="Q35" s="59">
        <v>78.5</v>
      </c>
      <c r="R35" s="65">
        <v>0.107</v>
      </c>
      <c r="S35" s="63">
        <f t="shared" si="9"/>
        <v>99</v>
      </c>
      <c r="T35" s="59">
        <v>13.984999999999999</v>
      </c>
      <c r="U35" s="63">
        <v>32.5</v>
      </c>
      <c r="V35" s="59"/>
      <c r="W35" s="59"/>
      <c r="X35" s="59"/>
      <c r="Y35" s="63"/>
      <c r="Z35" s="63"/>
      <c r="AA35" s="59"/>
      <c r="AB35" s="59">
        <v>94.75</v>
      </c>
      <c r="AC35" s="59">
        <v>94</v>
      </c>
      <c r="AD35" s="59">
        <v>8</v>
      </c>
      <c r="AE35" s="63">
        <v>44.5</v>
      </c>
      <c r="AF35" s="59">
        <v>61.62</v>
      </c>
      <c r="AG35" s="59">
        <v>82.87</v>
      </c>
      <c r="AH35" s="97">
        <v>34.75</v>
      </c>
      <c r="AI35" s="79" t="s">
        <v>177</v>
      </c>
      <c r="AJ35" s="79" t="s">
        <v>177</v>
      </c>
      <c r="AK35" s="65"/>
      <c r="AL35" s="67">
        <v>34</v>
      </c>
      <c r="AM35" s="65">
        <v>40</v>
      </c>
      <c r="AN35" s="65" t="s">
        <v>218</v>
      </c>
      <c r="AO35" s="87">
        <v>347</v>
      </c>
      <c r="AP35" s="87">
        <f t="shared" si="10"/>
        <v>12145</v>
      </c>
      <c r="AQ35" s="88">
        <f t="shared" si="11"/>
        <v>9.6388888888888893</v>
      </c>
      <c r="AR35" s="89">
        <v>2</v>
      </c>
      <c r="AS35" s="89">
        <f t="shared" si="12"/>
        <v>70</v>
      </c>
      <c r="AT35" s="90">
        <f t="shared" si="13"/>
        <v>5.5555555555555552E-2</v>
      </c>
      <c r="AU35" s="91">
        <f t="shared" si="14"/>
        <v>349</v>
      </c>
      <c r="AV35" s="91">
        <f t="shared" si="14"/>
        <v>12215</v>
      </c>
      <c r="AW35" s="92">
        <f t="shared" si="14"/>
        <v>9.6944444444444446</v>
      </c>
      <c r="AX35" s="74">
        <v>132</v>
      </c>
      <c r="AY35" s="75" t="s">
        <v>175</v>
      </c>
      <c r="AZ35" s="76">
        <v>141</v>
      </c>
      <c r="BA35" s="38" t="s">
        <v>65</v>
      </c>
    </row>
    <row r="36" spans="1:53" ht="15.75" customHeight="1">
      <c r="A36" s="5">
        <v>7</v>
      </c>
      <c r="B36" s="38">
        <v>35</v>
      </c>
      <c r="C36" s="58">
        <v>46191</v>
      </c>
      <c r="D36" s="38">
        <v>2</v>
      </c>
      <c r="E36" s="46" t="s">
        <v>216</v>
      </c>
      <c r="F36" s="38" t="s">
        <v>193</v>
      </c>
      <c r="G36" s="60">
        <v>17.36</v>
      </c>
      <c r="H36" s="60">
        <v>15.52</v>
      </c>
      <c r="I36" s="60">
        <v>17.809999999999999</v>
      </c>
      <c r="J36" s="60">
        <f>AVERAGE(G36:I36)</f>
        <v>16.896666666666665</v>
      </c>
      <c r="K36" s="95">
        <v>46091</v>
      </c>
      <c r="L36" s="60">
        <v>73.158000000000001</v>
      </c>
      <c r="M36" s="95">
        <v>46191</v>
      </c>
      <c r="N36" s="60">
        <v>99.02</v>
      </c>
      <c r="O36" s="63">
        <v>46</v>
      </c>
      <c r="P36" s="59">
        <v>69.5</v>
      </c>
      <c r="Q36" s="59">
        <v>78.5</v>
      </c>
      <c r="R36" s="65">
        <v>0.107</v>
      </c>
      <c r="S36" s="63">
        <f t="shared" si="9"/>
        <v>100</v>
      </c>
      <c r="T36" s="59">
        <v>12.55</v>
      </c>
      <c r="U36" s="63">
        <v>32.33</v>
      </c>
      <c r="V36" s="59"/>
      <c r="W36" s="59"/>
      <c r="X36" s="59"/>
      <c r="Y36" s="63"/>
      <c r="Z36" s="63"/>
      <c r="AA36" s="59"/>
      <c r="AB36" s="59">
        <v>100</v>
      </c>
      <c r="AC36" s="59">
        <v>100.87</v>
      </c>
      <c r="AD36" s="59">
        <v>8</v>
      </c>
      <c r="AE36" s="63">
        <v>44.95</v>
      </c>
      <c r="AF36" s="59">
        <v>62.96</v>
      </c>
      <c r="AG36" s="59">
        <v>83.71</v>
      </c>
      <c r="AH36" s="67">
        <v>35.5</v>
      </c>
      <c r="AI36" s="79" t="s">
        <v>177</v>
      </c>
      <c r="AJ36" s="79" t="s">
        <v>177</v>
      </c>
      <c r="AK36" s="65"/>
      <c r="AL36" s="67">
        <v>34.36</v>
      </c>
      <c r="AM36" s="67">
        <v>55</v>
      </c>
      <c r="AN36" s="67" t="s">
        <v>204</v>
      </c>
      <c r="AO36" s="87">
        <v>345</v>
      </c>
      <c r="AP36" s="87">
        <f t="shared" si="10"/>
        <v>12075</v>
      </c>
      <c r="AQ36" s="88">
        <f t="shared" si="11"/>
        <v>9.5833333333333339</v>
      </c>
      <c r="AR36" s="89">
        <v>6</v>
      </c>
      <c r="AS36" s="89">
        <f t="shared" si="12"/>
        <v>210</v>
      </c>
      <c r="AT36" s="90">
        <f t="shared" si="13"/>
        <v>0.16666666666666666</v>
      </c>
      <c r="AU36" s="91">
        <f t="shared" si="14"/>
        <v>351</v>
      </c>
      <c r="AV36" s="91">
        <f t="shared" si="14"/>
        <v>12285</v>
      </c>
      <c r="AW36" s="92">
        <f t="shared" si="14"/>
        <v>9.75</v>
      </c>
      <c r="AX36" s="74">
        <v>141</v>
      </c>
      <c r="AY36" s="75" t="s">
        <v>175</v>
      </c>
      <c r="AZ36" s="76">
        <v>151</v>
      </c>
      <c r="BA36" s="38" t="s">
        <v>65</v>
      </c>
    </row>
    <row r="37" spans="1:53" ht="15.75" customHeight="1">
      <c r="A37" s="5">
        <v>7</v>
      </c>
      <c r="B37" s="38">
        <v>36</v>
      </c>
      <c r="C37" s="58">
        <v>46192</v>
      </c>
      <c r="D37" s="38"/>
      <c r="E37" s="38"/>
      <c r="F37" s="38"/>
      <c r="G37" s="60"/>
      <c r="H37" s="60"/>
      <c r="I37" s="60"/>
      <c r="J37" s="60"/>
      <c r="K37" s="61"/>
      <c r="L37" s="60"/>
      <c r="M37" s="61"/>
      <c r="N37" s="60"/>
      <c r="O37" s="63"/>
      <c r="P37" s="63"/>
      <c r="Q37" s="63"/>
      <c r="R37" s="82"/>
      <c r="S37" s="63"/>
      <c r="T37" s="59"/>
      <c r="U37" s="63"/>
      <c r="V37" s="59"/>
      <c r="W37" s="59"/>
      <c r="X37" s="59"/>
      <c r="Y37" s="63"/>
      <c r="Z37" s="63"/>
      <c r="AA37" s="59"/>
      <c r="AB37" s="59">
        <v>95</v>
      </c>
      <c r="AC37" s="59">
        <v>95</v>
      </c>
      <c r="AD37" s="59">
        <v>8</v>
      </c>
      <c r="AE37" s="63">
        <v>43.75</v>
      </c>
      <c r="AF37" s="59">
        <v>65.3</v>
      </c>
      <c r="AG37" s="59">
        <v>83.2</v>
      </c>
      <c r="AH37" s="67">
        <v>34</v>
      </c>
      <c r="AI37" s="79" t="s">
        <v>177</v>
      </c>
      <c r="AJ37" s="79" t="s">
        <v>177</v>
      </c>
      <c r="AK37" s="65"/>
      <c r="AL37" s="67">
        <v>33.75</v>
      </c>
      <c r="AM37" s="67">
        <v>20</v>
      </c>
      <c r="AN37" s="67" t="s">
        <v>219</v>
      </c>
      <c r="AO37" s="87">
        <v>196</v>
      </c>
      <c r="AP37" s="87">
        <f t="shared" si="10"/>
        <v>6860</v>
      </c>
      <c r="AQ37" s="88">
        <f t="shared" si="11"/>
        <v>5.4444444444444446</v>
      </c>
      <c r="AR37" s="89">
        <v>6</v>
      </c>
      <c r="AS37" s="89">
        <f t="shared" si="12"/>
        <v>210</v>
      </c>
      <c r="AT37" s="90">
        <f t="shared" si="13"/>
        <v>0.16666666666666666</v>
      </c>
      <c r="AU37" s="91">
        <f t="shared" ref="AU37:AW52" si="17">AO37+AR37</f>
        <v>202</v>
      </c>
      <c r="AV37" s="91">
        <f t="shared" si="17"/>
        <v>7070</v>
      </c>
      <c r="AW37" s="92">
        <f t="shared" si="17"/>
        <v>5.6111111111111116</v>
      </c>
      <c r="AX37" s="74">
        <v>151</v>
      </c>
      <c r="AY37" s="75" t="s">
        <v>175</v>
      </c>
      <c r="AZ37" s="76">
        <v>156</v>
      </c>
      <c r="BA37" s="38" t="s">
        <v>65</v>
      </c>
    </row>
    <row r="38" spans="1:53" ht="15.75" customHeight="1">
      <c r="A38" s="5">
        <v>7</v>
      </c>
      <c r="B38" s="38">
        <v>37</v>
      </c>
      <c r="C38" s="58">
        <v>46193</v>
      </c>
      <c r="D38" s="38"/>
      <c r="E38" s="38"/>
      <c r="F38" s="38"/>
      <c r="G38" s="60"/>
      <c r="H38" s="60"/>
      <c r="I38" s="60"/>
      <c r="J38" s="60"/>
      <c r="K38" s="61"/>
      <c r="L38" s="60"/>
      <c r="M38" s="61"/>
      <c r="N38" s="60"/>
      <c r="O38" s="63"/>
      <c r="P38" s="63"/>
      <c r="Q38" s="63"/>
      <c r="R38" s="82"/>
      <c r="S38" s="63"/>
      <c r="T38" s="59"/>
      <c r="U38" s="63"/>
      <c r="V38" s="59"/>
      <c r="W38" s="59"/>
      <c r="X38" s="59"/>
      <c r="Y38" s="63"/>
      <c r="Z38" s="63"/>
      <c r="AA38" s="59"/>
      <c r="AB38" s="59"/>
      <c r="AC38" s="59"/>
      <c r="AD38" s="59"/>
      <c r="AE38" s="63"/>
      <c r="AF38" s="59"/>
      <c r="AG38" s="59"/>
      <c r="AH38" s="66"/>
      <c r="AI38" s="79" t="s">
        <v>177</v>
      </c>
      <c r="AJ38" s="79" t="s">
        <v>177</v>
      </c>
      <c r="AK38" s="65"/>
      <c r="AL38" s="67">
        <v>33.5</v>
      </c>
      <c r="AM38" s="67">
        <v>10</v>
      </c>
      <c r="AN38" s="67" t="s">
        <v>220</v>
      </c>
      <c r="AO38" s="87">
        <v>86</v>
      </c>
      <c r="AP38" s="87">
        <f t="shared" si="10"/>
        <v>3010</v>
      </c>
      <c r="AQ38" s="88">
        <f t="shared" si="11"/>
        <v>2.3888888888888888</v>
      </c>
      <c r="AR38" s="89">
        <v>0</v>
      </c>
      <c r="AS38" s="89">
        <f t="shared" si="12"/>
        <v>0</v>
      </c>
      <c r="AT38" s="90">
        <f t="shared" si="13"/>
        <v>0</v>
      </c>
      <c r="AU38" s="91">
        <f t="shared" si="17"/>
        <v>86</v>
      </c>
      <c r="AV38" s="91">
        <f t="shared" si="17"/>
        <v>3010</v>
      </c>
      <c r="AW38" s="92">
        <f t="shared" si="17"/>
        <v>2.3888888888888888</v>
      </c>
      <c r="AX38" s="74">
        <v>156</v>
      </c>
      <c r="AY38" s="75" t="s">
        <v>175</v>
      </c>
      <c r="AZ38" s="76">
        <v>158</v>
      </c>
      <c r="BA38" s="38" t="s">
        <v>65</v>
      </c>
    </row>
    <row r="39" spans="1:53" ht="15.75" customHeight="1">
      <c r="A39" s="5">
        <v>1</v>
      </c>
      <c r="B39" s="38">
        <v>38</v>
      </c>
      <c r="C39" s="98">
        <v>46213</v>
      </c>
      <c r="D39" s="38">
        <v>1</v>
      </c>
      <c r="E39" s="46">
        <v>1</v>
      </c>
      <c r="F39" s="38" t="s">
        <v>221</v>
      </c>
      <c r="G39" s="59"/>
      <c r="H39" s="59"/>
      <c r="I39" s="59"/>
      <c r="J39" s="59"/>
      <c r="K39" s="95">
        <v>46042</v>
      </c>
      <c r="L39" s="60">
        <v>67.91</v>
      </c>
      <c r="M39" s="95">
        <v>46213</v>
      </c>
      <c r="N39" s="83">
        <v>98.96</v>
      </c>
      <c r="O39" s="63">
        <v>35</v>
      </c>
      <c r="P39" s="63">
        <v>63.5</v>
      </c>
      <c r="Q39" s="63">
        <v>70.3</v>
      </c>
      <c r="R39" s="82"/>
      <c r="S39" s="63">
        <f t="shared" ref="S39:S45" si="18">M39-K39</f>
        <v>171</v>
      </c>
      <c r="T39" s="59">
        <v>20.75</v>
      </c>
      <c r="U39" s="63">
        <v>34.299999999999997</v>
      </c>
      <c r="V39" s="59"/>
      <c r="W39" s="59"/>
      <c r="X39" s="59"/>
      <c r="Y39" s="63"/>
      <c r="Z39" s="63"/>
      <c r="AA39" s="59"/>
      <c r="AB39" s="59">
        <v>103</v>
      </c>
      <c r="AC39" s="59">
        <v>66.599999999999994</v>
      </c>
      <c r="AD39" s="59">
        <v>8</v>
      </c>
      <c r="AE39" s="59"/>
      <c r="AF39" s="59"/>
      <c r="AG39" s="59"/>
      <c r="AH39" s="59"/>
      <c r="AI39" s="99" t="s">
        <v>222</v>
      </c>
      <c r="AJ39" s="99" t="s">
        <v>222</v>
      </c>
      <c r="AK39" s="99" t="s">
        <v>223</v>
      </c>
      <c r="AL39" s="59"/>
      <c r="AM39" s="59"/>
      <c r="AN39" s="65"/>
      <c r="AO39" s="87"/>
      <c r="AP39" s="87">
        <f t="shared" si="10"/>
        <v>0</v>
      </c>
      <c r="AQ39" s="88">
        <f t="shared" si="11"/>
        <v>0</v>
      </c>
      <c r="AR39" s="89"/>
      <c r="AS39" s="89">
        <f t="shared" si="12"/>
        <v>0</v>
      </c>
      <c r="AT39" s="90">
        <f t="shared" si="13"/>
        <v>0</v>
      </c>
      <c r="AU39" s="91">
        <f t="shared" si="17"/>
        <v>0</v>
      </c>
      <c r="AV39" s="91">
        <f t="shared" si="17"/>
        <v>0</v>
      </c>
      <c r="AW39" s="92">
        <f t="shared" si="17"/>
        <v>0</v>
      </c>
      <c r="AX39" s="74"/>
      <c r="AY39" s="75" t="s">
        <v>175</v>
      </c>
      <c r="AZ39" s="76"/>
      <c r="BA39" s="38" t="s">
        <v>65</v>
      </c>
    </row>
    <row r="40" spans="1:53" ht="15.75" customHeight="1">
      <c r="A40" s="5">
        <v>1</v>
      </c>
      <c r="B40" s="38">
        <v>39</v>
      </c>
      <c r="C40" s="98">
        <v>46214</v>
      </c>
      <c r="D40" s="38"/>
      <c r="E40" s="46"/>
      <c r="F40" s="38"/>
      <c r="G40" s="59"/>
      <c r="H40" s="59"/>
      <c r="I40" s="59"/>
      <c r="J40" s="59"/>
      <c r="K40" s="95">
        <v>46042</v>
      </c>
      <c r="L40" s="60">
        <v>67.91</v>
      </c>
      <c r="M40" s="95">
        <v>46214</v>
      </c>
      <c r="N40" s="83">
        <v>98.96</v>
      </c>
      <c r="O40" s="63">
        <v>35</v>
      </c>
      <c r="P40" s="63">
        <v>63.5</v>
      </c>
      <c r="Q40" s="63">
        <v>70.3</v>
      </c>
      <c r="R40" s="59"/>
      <c r="S40" s="63">
        <f t="shared" si="18"/>
        <v>172</v>
      </c>
      <c r="T40" s="59"/>
      <c r="U40" s="59"/>
      <c r="V40" s="59"/>
      <c r="W40" s="59"/>
      <c r="X40" s="59"/>
      <c r="Y40" s="63"/>
      <c r="Z40" s="63"/>
      <c r="AA40" s="59"/>
      <c r="AB40" s="59">
        <v>105</v>
      </c>
      <c r="AC40" s="59">
        <v>113</v>
      </c>
      <c r="AD40" s="59">
        <v>8</v>
      </c>
      <c r="AE40" s="59">
        <v>39</v>
      </c>
      <c r="AF40" s="59">
        <v>72</v>
      </c>
      <c r="AG40" s="59">
        <v>73.5</v>
      </c>
      <c r="AH40" s="59">
        <v>47</v>
      </c>
      <c r="AI40" s="99" t="s">
        <v>222</v>
      </c>
      <c r="AJ40" s="99" t="s">
        <v>222</v>
      </c>
      <c r="AK40" s="99" t="s">
        <v>223</v>
      </c>
      <c r="AL40" s="66">
        <v>38</v>
      </c>
      <c r="AM40" s="100">
        <v>1.91</v>
      </c>
      <c r="AN40" s="67" t="s">
        <v>224</v>
      </c>
      <c r="AO40" s="87">
        <v>122</v>
      </c>
      <c r="AP40" s="87">
        <f t="shared" si="10"/>
        <v>4270</v>
      </c>
      <c r="AQ40" s="88">
        <f t="shared" si="11"/>
        <v>3.3888888888888888</v>
      </c>
      <c r="AR40" s="89">
        <v>13</v>
      </c>
      <c r="AS40" s="89">
        <f t="shared" si="12"/>
        <v>455</v>
      </c>
      <c r="AT40" s="90">
        <f t="shared" si="13"/>
        <v>0.3611111111111111</v>
      </c>
      <c r="AU40" s="91">
        <f t="shared" si="17"/>
        <v>135</v>
      </c>
      <c r="AV40" s="91">
        <f t="shared" si="17"/>
        <v>4725</v>
      </c>
      <c r="AW40" s="92">
        <f t="shared" si="17"/>
        <v>3.75</v>
      </c>
      <c r="AX40" s="74">
        <v>159</v>
      </c>
      <c r="AY40" s="75" t="s">
        <v>175</v>
      </c>
      <c r="AZ40" s="76">
        <v>162</v>
      </c>
      <c r="BA40" s="38" t="s">
        <v>65</v>
      </c>
    </row>
    <row r="41" spans="1:53" ht="15.75" customHeight="1">
      <c r="A41" s="5">
        <v>1</v>
      </c>
      <c r="B41" s="38">
        <v>40</v>
      </c>
      <c r="C41" s="93">
        <v>46216</v>
      </c>
      <c r="D41" s="38"/>
      <c r="E41" s="47"/>
      <c r="F41" s="38"/>
      <c r="G41" s="59"/>
      <c r="H41" s="59"/>
      <c r="I41" s="59"/>
      <c r="J41" s="59"/>
      <c r="K41" s="95"/>
      <c r="L41" s="60"/>
      <c r="M41" s="95"/>
      <c r="N41" s="83"/>
      <c r="O41" s="63"/>
      <c r="P41" s="63"/>
      <c r="Q41" s="63"/>
      <c r="R41" s="59"/>
      <c r="S41" s="63"/>
      <c r="T41" s="59"/>
      <c r="U41" s="59"/>
      <c r="V41" s="59"/>
      <c r="W41" s="59"/>
      <c r="X41" s="59"/>
      <c r="Y41" s="63"/>
      <c r="Z41" s="63"/>
      <c r="AA41" s="59"/>
      <c r="AB41" s="59"/>
      <c r="AC41" s="59"/>
      <c r="AD41" s="59"/>
      <c r="AE41" s="59"/>
      <c r="AF41" s="59"/>
      <c r="AG41" s="59"/>
      <c r="AH41" s="59"/>
      <c r="AI41" s="99"/>
      <c r="AJ41" s="99"/>
      <c r="AK41" s="99"/>
      <c r="AL41" s="66"/>
      <c r="AM41" s="100"/>
      <c r="AN41" s="67"/>
      <c r="AO41" s="87">
        <v>94</v>
      </c>
      <c r="AP41" s="87">
        <f t="shared" si="10"/>
        <v>3290</v>
      </c>
      <c r="AQ41" s="88">
        <f t="shared" si="11"/>
        <v>2.6111111111111112</v>
      </c>
      <c r="AR41" s="89">
        <v>0</v>
      </c>
      <c r="AS41" s="89">
        <f t="shared" si="12"/>
        <v>0</v>
      </c>
      <c r="AT41" s="90">
        <f t="shared" si="13"/>
        <v>0</v>
      </c>
      <c r="AU41" s="91">
        <f t="shared" si="17"/>
        <v>94</v>
      </c>
      <c r="AV41" s="91">
        <f t="shared" si="17"/>
        <v>3290</v>
      </c>
      <c r="AW41" s="92">
        <f t="shared" si="17"/>
        <v>2.6111111111111112</v>
      </c>
      <c r="AX41" s="74">
        <v>162</v>
      </c>
      <c r="AY41" s="75" t="s">
        <v>175</v>
      </c>
      <c r="AZ41" s="76">
        <v>164</v>
      </c>
      <c r="BA41" s="38" t="s">
        <v>65</v>
      </c>
    </row>
    <row r="42" spans="1:53" ht="15.75" customHeight="1">
      <c r="A42" s="5">
        <v>1</v>
      </c>
      <c r="B42" s="38">
        <v>41</v>
      </c>
      <c r="C42" s="98">
        <v>46217</v>
      </c>
      <c r="D42" s="38">
        <v>1</v>
      </c>
      <c r="E42" s="46" t="s">
        <v>225</v>
      </c>
      <c r="F42" s="38" t="s">
        <v>226</v>
      </c>
      <c r="G42" s="60">
        <v>19.64</v>
      </c>
      <c r="H42" s="60">
        <v>13.83</v>
      </c>
      <c r="I42" s="60">
        <v>16.23</v>
      </c>
      <c r="J42" s="60">
        <f>AVERAGE(G42:I42)</f>
        <v>16.566666666666666</v>
      </c>
      <c r="K42" s="95">
        <v>46042</v>
      </c>
      <c r="L42" s="60">
        <v>67.91</v>
      </c>
      <c r="M42" s="78">
        <v>46217</v>
      </c>
      <c r="N42" s="83">
        <v>98.96</v>
      </c>
      <c r="O42" s="63">
        <v>35</v>
      </c>
      <c r="P42" s="63">
        <v>63.5</v>
      </c>
      <c r="Q42" s="63">
        <v>70.3</v>
      </c>
      <c r="R42" s="59"/>
      <c r="S42" s="63">
        <f t="shared" si="18"/>
        <v>175</v>
      </c>
      <c r="T42" s="59">
        <v>15.75</v>
      </c>
      <c r="U42" s="63">
        <v>36.200000000000003</v>
      </c>
      <c r="V42" s="59"/>
      <c r="W42" s="59"/>
      <c r="X42" s="59"/>
      <c r="Y42" s="63"/>
      <c r="Z42" s="63"/>
      <c r="AA42" s="59"/>
      <c r="AB42" s="59">
        <v>105</v>
      </c>
      <c r="AC42" s="59">
        <v>90</v>
      </c>
      <c r="AD42" s="59">
        <v>8</v>
      </c>
      <c r="AE42" s="59">
        <v>36</v>
      </c>
      <c r="AF42" s="59">
        <v>75</v>
      </c>
      <c r="AG42" s="59">
        <v>72</v>
      </c>
      <c r="AH42" s="59">
        <v>59</v>
      </c>
      <c r="AI42" s="99" t="s">
        <v>222</v>
      </c>
      <c r="AJ42" s="99" t="s">
        <v>222</v>
      </c>
      <c r="AK42" s="99" t="s">
        <v>223</v>
      </c>
      <c r="AL42" s="66">
        <v>41.75</v>
      </c>
      <c r="AM42" s="100">
        <v>1.66</v>
      </c>
      <c r="AN42" s="67" t="s">
        <v>227</v>
      </c>
      <c r="AO42" s="87">
        <v>28</v>
      </c>
      <c r="AP42" s="87">
        <f t="shared" si="10"/>
        <v>980</v>
      </c>
      <c r="AQ42" s="88">
        <f t="shared" si="11"/>
        <v>0.77777777777777779</v>
      </c>
      <c r="AR42" s="89">
        <v>0</v>
      </c>
      <c r="AS42" s="89">
        <f t="shared" si="12"/>
        <v>0</v>
      </c>
      <c r="AT42" s="90">
        <f t="shared" si="13"/>
        <v>0</v>
      </c>
      <c r="AU42" s="91">
        <f t="shared" si="17"/>
        <v>28</v>
      </c>
      <c r="AV42" s="91">
        <f t="shared" si="17"/>
        <v>980</v>
      </c>
      <c r="AW42" s="92">
        <f t="shared" si="17"/>
        <v>0.77777777777777779</v>
      </c>
      <c r="AX42" s="74">
        <v>165</v>
      </c>
      <c r="AY42" s="75" t="s">
        <v>175</v>
      </c>
      <c r="AZ42" s="76">
        <v>165</v>
      </c>
      <c r="BA42" s="38" t="s">
        <v>65</v>
      </c>
    </row>
    <row r="43" spans="1:53" ht="15.75" customHeight="1">
      <c r="A43" s="5">
        <v>1</v>
      </c>
      <c r="B43" s="38">
        <v>42</v>
      </c>
      <c r="C43" s="98">
        <v>46218</v>
      </c>
      <c r="D43" s="38">
        <v>1</v>
      </c>
      <c r="E43" s="46" t="s">
        <v>228</v>
      </c>
      <c r="F43" s="38" t="s">
        <v>229</v>
      </c>
      <c r="G43" s="60">
        <v>23.81</v>
      </c>
      <c r="H43" s="60">
        <v>16.34</v>
      </c>
      <c r="I43" s="60">
        <v>21.63</v>
      </c>
      <c r="J43" s="60">
        <f t="shared" ref="J43:J44" si="19">AVERAGE(G43:I43)</f>
        <v>20.593333333333334</v>
      </c>
      <c r="K43" s="95">
        <v>46042</v>
      </c>
      <c r="L43" s="60">
        <v>67.91</v>
      </c>
      <c r="M43" s="95">
        <v>46218</v>
      </c>
      <c r="N43" s="83">
        <v>98.96</v>
      </c>
      <c r="O43" s="63">
        <v>35</v>
      </c>
      <c r="P43" s="63">
        <v>63.5</v>
      </c>
      <c r="Q43" s="63">
        <v>70.3</v>
      </c>
      <c r="R43" s="65"/>
      <c r="S43" s="63">
        <f t="shared" si="18"/>
        <v>176</v>
      </c>
      <c r="T43" s="59">
        <v>18.29</v>
      </c>
      <c r="U43" s="63">
        <v>36</v>
      </c>
      <c r="V43" s="59"/>
      <c r="W43" s="59"/>
      <c r="X43" s="59"/>
      <c r="Y43" s="63"/>
      <c r="Z43" s="63"/>
      <c r="AA43" s="59"/>
      <c r="AB43" s="59">
        <v>88.35</v>
      </c>
      <c r="AC43" s="59">
        <v>105.66</v>
      </c>
      <c r="AD43" s="59">
        <v>8</v>
      </c>
      <c r="AE43" s="59">
        <v>36.5</v>
      </c>
      <c r="AF43" s="59">
        <v>74</v>
      </c>
      <c r="AG43" s="59">
        <v>78.5</v>
      </c>
      <c r="AH43" s="59">
        <v>46.5</v>
      </c>
      <c r="AI43" s="99" t="s">
        <v>222</v>
      </c>
      <c r="AJ43" s="99" t="s">
        <v>222</v>
      </c>
      <c r="AK43" s="99" t="s">
        <v>223</v>
      </c>
      <c r="AL43" s="66">
        <v>36.799999999999997</v>
      </c>
      <c r="AM43" s="100">
        <v>0.74960000000000004</v>
      </c>
      <c r="AN43" s="67" t="s">
        <v>227</v>
      </c>
      <c r="AO43" s="87">
        <v>124</v>
      </c>
      <c r="AP43" s="87">
        <f t="shared" si="10"/>
        <v>4340</v>
      </c>
      <c r="AQ43" s="88">
        <f t="shared" si="11"/>
        <v>3.4444444444444446</v>
      </c>
      <c r="AR43" s="89">
        <v>3</v>
      </c>
      <c r="AS43" s="89">
        <f t="shared" si="12"/>
        <v>105</v>
      </c>
      <c r="AT43" s="90">
        <f t="shared" si="13"/>
        <v>8.3333333333333329E-2</v>
      </c>
      <c r="AU43" s="91">
        <f t="shared" si="17"/>
        <v>127</v>
      </c>
      <c r="AV43" s="91">
        <f t="shared" si="17"/>
        <v>4445</v>
      </c>
      <c r="AW43" s="92">
        <f t="shared" si="17"/>
        <v>3.5277777777777781</v>
      </c>
      <c r="AX43" s="74">
        <v>165</v>
      </c>
      <c r="AY43" s="75" t="s">
        <v>175</v>
      </c>
      <c r="AZ43" s="76">
        <v>168</v>
      </c>
      <c r="BA43" s="38" t="s">
        <v>65</v>
      </c>
    </row>
    <row r="44" spans="1:53" ht="15.75" customHeight="1">
      <c r="A44" s="5">
        <v>1</v>
      </c>
      <c r="B44" s="38">
        <v>43</v>
      </c>
      <c r="C44" s="98">
        <v>46219</v>
      </c>
      <c r="D44" s="38">
        <v>1</v>
      </c>
      <c r="E44" s="46" t="s">
        <v>230</v>
      </c>
      <c r="F44" s="38" t="s">
        <v>72</v>
      </c>
      <c r="G44" s="60">
        <v>14.39</v>
      </c>
      <c r="H44" s="60">
        <v>14.14</v>
      </c>
      <c r="I44" s="60">
        <v>15.18</v>
      </c>
      <c r="J44" s="60">
        <f t="shared" si="19"/>
        <v>14.57</v>
      </c>
      <c r="K44" s="95">
        <v>46042</v>
      </c>
      <c r="L44" s="60">
        <v>67.91</v>
      </c>
      <c r="M44" s="78">
        <v>46219</v>
      </c>
      <c r="N44" s="83">
        <v>98.96</v>
      </c>
      <c r="O44" s="63">
        <v>35</v>
      </c>
      <c r="P44" s="63">
        <v>63.5</v>
      </c>
      <c r="Q44" s="63">
        <v>70.3</v>
      </c>
      <c r="R44" s="59"/>
      <c r="S44" s="63">
        <f t="shared" si="18"/>
        <v>177</v>
      </c>
      <c r="T44" s="59">
        <v>24.52</v>
      </c>
      <c r="U44" s="63">
        <v>35</v>
      </c>
      <c r="V44" s="59"/>
      <c r="W44" s="59"/>
      <c r="X44" s="59"/>
      <c r="Y44" s="63"/>
      <c r="Z44" s="63"/>
      <c r="AA44" s="59"/>
      <c r="AB44" s="59">
        <v>101.2</v>
      </c>
      <c r="AC44" s="59">
        <v>114.8</v>
      </c>
      <c r="AD44" s="59">
        <v>8</v>
      </c>
      <c r="AE44" s="59">
        <v>34</v>
      </c>
      <c r="AF44" s="59">
        <v>76.8</v>
      </c>
      <c r="AG44" s="59">
        <v>72</v>
      </c>
      <c r="AH44" s="59">
        <v>61.8</v>
      </c>
      <c r="AI44" s="99" t="s">
        <v>222</v>
      </c>
      <c r="AJ44" s="99" t="s">
        <v>222</v>
      </c>
      <c r="AK44" s="99" t="s">
        <v>223</v>
      </c>
      <c r="AL44" s="66">
        <v>37.9</v>
      </c>
      <c r="AM44" s="100">
        <v>3.7006999999999999</v>
      </c>
      <c r="AN44" s="67" t="s">
        <v>227</v>
      </c>
      <c r="AO44" s="87">
        <v>326</v>
      </c>
      <c r="AP44" s="87">
        <f t="shared" si="10"/>
        <v>11410</v>
      </c>
      <c r="AQ44" s="88">
        <f t="shared" si="11"/>
        <v>9.0555555555555554</v>
      </c>
      <c r="AR44" s="89">
        <v>11</v>
      </c>
      <c r="AS44" s="89">
        <f t="shared" si="12"/>
        <v>385</v>
      </c>
      <c r="AT44" s="90">
        <f t="shared" si="13"/>
        <v>0.30555555555555558</v>
      </c>
      <c r="AU44" s="91">
        <f t="shared" si="17"/>
        <v>337</v>
      </c>
      <c r="AV44" s="91">
        <f t="shared" si="17"/>
        <v>11795</v>
      </c>
      <c r="AW44" s="92">
        <f t="shared" si="17"/>
        <v>9.3611111111111107</v>
      </c>
      <c r="AX44" s="74">
        <v>169</v>
      </c>
      <c r="AY44" s="75" t="s">
        <v>175</v>
      </c>
      <c r="AZ44" s="76">
        <v>178</v>
      </c>
      <c r="BA44" s="38" t="s">
        <v>65</v>
      </c>
    </row>
    <row r="45" spans="1:53" ht="15.75" customHeight="1">
      <c r="A45" s="5">
        <v>1</v>
      </c>
      <c r="B45" s="38">
        <v>44</v>
      </c>
      <c r="C45" s="98">
        <v>46220</v>
      </c>
      <c r="D45" s="38"/>
      <c r="E45" s="38"/>
      <c r="F45" s="38"/>
      <c r="G45" s="59"/>
      <c r="H45" s="59"/>
      <c r="I45" s="59"/>
      <c r="J45" s="59"/>
      <c r="K45" s="95">
        <v>46042</v>
      </c>
      <c r="L45" s="60">
        <v>67.91</v>
      </c>
      <c r="M45" s="95">
        <v>46220</v>
      </c>
      <c r="N45" s="83">
        <v>98.96</v>
      </c>
      <c r="O45" s="63">
        <v>35</v>
      </c>
      <c r="P45" s="63">
        <v>63.5</v>
      </c>
      <c r="Q45" s="63">
        <v>70.3</v>
      </c>
      <c r="R45" s="65"/>
      <c r="S45" s="63">
        <f t="shared" si="18"/>
        <v>178</v>
      </c>
      <c r="T45" s="59"/>
      <c r="U45" s="59"/>
      <c r="V45" s="59"/>
      <c r="W45" s="59"/>
      <c r="X45" s="59"/>
      <c r="Y45" s="63"/>
      <c r="Z45" s="63"/>
      <c r="AA45" s="59"/>
      <c r="AB45" s="59">
        <v>95</v>
      </c>
      <c r="AC45" s="59">
        <v>114.8</v>
      </c>
      <c r="AD45" s="59">
        <v>8</v>
      </c>
      <c r="AE45" s="59">
        <v>35.5</v>
      </c>
      <c r="AF45" s="59">
        <v>76.25</v>
      </c>
      <c r="AG45" s="59">
        <v>76.25</v>
      </c>
      <c r="AH45" s="101">
        <v>39.4</v>
      </c>
      <c r="AI45" s="99" t="s">
        <v>222</v>
      </c>
      <c r="AJ45" s="99" t="s">
        <v>222</v>
      </c>
      <c r="AK45" s="99" t="s">
        <v>223</v>
      </c>
      <c r="AL45" s="66">
        <v>33.744999999999997</v>
      </c>
      <c r="AM45" s="65">
        <v>3.8826000000000001</v>
      </c>
      <c r="AN45" s="67" t="s">
        <v>227</v>
      </c>
      <c r="AO45" s="87">
        <v>174</v>
      </c>
      <c r="AP45" s="87">
        <f t="shared" si="10"/>
        <v>6090</v>
      </c>
      <c r="AQ45" s="88">
        <f t="shared" si="11"/>
        <v>4.833333333333333</v>
      </c>
      <c r="AR45" s="89">
        <v>7</v>
      </c>
      <c r="AS45" s="89">
        <f t="shared" si="12"/>
        <v>245</v>
      </c>
      <c r="AT45" s="90">
        <f t="shared" si="13"/>
        <v>0.19444444444444445</v>
      </c>
      <c r="AU45" s="91">
        <f t="shared" si="17"/>
        <v>181</v>
      </c>
      <c r="AV45" s="91">
        <f t="shared" si="17"/>
        <v>6335</v>
      </c>
      <c r="AW45" s="92">
        <f t="shared" si="17"/>
        <v>5.0277777777777777</v>
      </c>
      <c r="AX45" s="74">
        <v>178</v>
      </c>
      <c r="AY45" s="75" t="s">
        <v>175</v>
      </c>
      <c r="AZ45" s="76">
        <v>182</v>
      </c>
      <c r="BA45" s="38" t="s">
        <v>65</v>
      </c>
    </row>
    <row r="46" spans="1:53" ht="15.75" customHeight="1">
      <c r="A46" s="5">
        <v>2</v>
      </c>
      <c r="B46" s="38">
        <v>45</v>
      </c>
      <c r="C46" s="93">
        <v>46220</v>
      </c>
      <c r="D46" s="38"/>
      <c r="E46" s="47"/>
      <c r="F46" s="38"/>
      <c r="G46" s="59"/>
      <c r="H46" s="59"/>
      <c r="I46" s="59"/>
      <c r="J46" s="59"/>
      <c r="K46" s="95"/>
      <c r="L46" s="60"/>
      <c r="M46" s="95"/>
      <c r="N46" s="83"/>
      <c r="O46" s="63"/>
      <c r="P46" s="63"/>
      <c r="Q46" s="63"/>
      <c r="R46" s="65"/>
      <c r="S46" s="63"/>
      <c r="T46" s="59"/>
      <c r="U46" s="59"/>
      <c r="V46" s="59"/>
      <c r="W46" s="59"/>
      <c r="X46" s="59"/>
      <c r="Y46" s="63"/>
      <c r="Z46" s="63"/>
      <c r="AA46" s="59"/>
      <c r="AB46" s="59"/>
      <c r="AC46" s="59"/>
      <c r="AD46" s="59"/>
      <c r="AE46" s="59"/>
      <c r="AF46" s="59"/>
      <c r="AG46" s="59"/>
      <c r="AH46" s="101"/>
      <c r="AI46" s="99"/>
      <c r="AJ46" s="99"/>
      <c r="AK46" s="99"/>
      <c r="AL46" s="66"/>
      <c r="AM46" s="65"/>
      <c r="AN46" s="67"/>
      <c r="AO46" s="87">
        <v>164</v>
      </c>
      <c r="AP46" s="87">
        <f t="shared" si="10"/>
        <v>5740</v>
      </c>
      <c r="AQ46" s="88">
        <f t="shared" si="11"/>
        <v>4.5555555555555554</v>
      </c>
      <c r="AR46" s="89"/>
      <c r="AS46" s="89">
        <f t="shared" si="12"/>
        <v>0</v>
      </c>
      <c r="AT46" s="90">
        <f t="shared" si="13"/>
        <v>0</v>
      </c>
      <c r="AU46" s="91">
        <f t="shared" si="17"/>
        <v>164</v>
      </c>
      <c r="AV46" s="91">
        <f t="shared" si="17"/>
        <v>5740</v>
      </c>
      <c r="AW46" s="92">
        <f t="shared" si="17"/>
        <v>4.5555555555555554</v>
      </c>
      <c r="AX46" s="74">
        <v>183</v>
      </c>
      <c r="AY46" s="75" t="s">
        <v>175</v>
      </c>
      <c r="AZ46" s="76">
        <v>187</v>
      </c>
      <c r="BA46" s="38" t="s">
        <v>65</v>
      </c>
    </row>
    <row r="47" spans="1:53" ht="15.75" customHeight="1">
      <c r="A47" s="5">
        <v>2</v>
      </c>
      <c r="B47" s="38">
        <v>46</v>
      </c>
      <c r="C47" s="93">
        <v>46221</v>
      </c>
      <c r="D47" s="38"/>
      <c r="E47" s="38"/>
      <c r="F47" s="38"/>
      <c r="G47" s="59"/>
      <c r="H47" s="59"/>
      <c r="I47" s="59"/>
      <c r="J47" s="59"/>
      <c r="K47" s="95"/>
      <c r="L47" s="60"/>
      <c r="M47" s="95"/>
      <c r="N47" s="83"/>
      <c r="O47" s="63"/>
      <c r="P47" s="63"/>
      <c r="Q47" s="63"/>
      <c r="R47" s="65"/>
      <c r="S47" s="63"/>
      <c r="T47" s="59"/>
      <c r="U47" s="59"/>
      <c r="V47" s="59"/>
      <c r="W47" s="59"/>
      <c r="X47" s="59"/>
      <c r="Y47" s="63"/>
      <c r="Z47" s="63"/>
      <c r="AA47" s="59"/>
      <c r="AB47" s="59"/>
      <c r="AC47" s="59"/>
      <c r="AD47" s="59"/>
      <c r="AE47" s="59"/>
      <c r="AF47" s="59"/>
      <c r="AG47" s="59"/>
      <c r="AH47" s="101"/>
      <c r="AI47" s="99"/>
      <c r="AJ47" s="99"/>
      <c r="AK47" s="99"/>
      <c r="AL47" s="66"/>
      <c r="AM47" s="65"/>
      <c r="AN47" s="67"/>
      <c r="AO47" s="87">
        <v>58</v>
      </c>
      <c r="AP47" s="87">
        <f t="shared" si="10"/>
        <v>2030</v>
      </c>
      <c r="AQ47" s="88">
        <f t="shared" si="11"/>
        <v>1.6111111111111112</v>
      </c>
      <c r="AR47" s="89">
        <v>2</v>
      </c>
      <c r="AS47" s="89">
        <f t="shared" si="12"/>
        <v>70</v>
      </c>
      <c r="AT47" s="90">
        <f t="shared" si="13"/>
        <v>5.5555555555555552E-2</v>
      </c>
      <c r="AU47" s="91">
        <f t="shared" si="17"/>
        <v>60</v>
      </c>
      <c r="AV47" s="91">
        <f t="shared" si="17"/>
        <v>2100</v>
      </c>
      <c r="AW47" s="92">
        <f t="shared" si="17"/>
        <v>1.6666666666666667</v>
      </c>
      <c r="AX47" s="74">
        <v>187</v>
      </c>
      <c r="AY47" s="75" t="s">
        <v>175</v>
      </c>
      <c r="AZ47" s="76">
        <v>189</v>
      </c>
      <c r="BA47" s="38" t="s">
        <v>65</v>
      </c>
    </row>
    <row r="48" spans="1:53" ht="15.75" customHeight="1">
      <c r="A48" s="5">
        <v>2</v>
      </c>
      <c r="B48" s="38">
        <v>47</v>
      </c>
      <c r="C48" s="98">
        <v>46223</v>
      </c>
      <c r="D48" s="38">
        <v>1</v>
      </c>
      <c r="E48" s="46" t="s">
        <v>231</v>
      </c>
      <c r="F48" s="46" t="s">
        <v>193</v>
      </c>
      <c r="G48" s="60">
        <v>16.149999999999999</v>
      </c>
      <c r="H48" s="60">
        <v>11.44</v>
      </c>
      <c r="I48" s="60">
        <v>14.19</v>
      </c>
      <c r="J48" s="60">
        <f t="shared" ref="J48:J50" si="20">AVERAGE(G48:I48)</f>
        <v>13.926666666666664</v>
      </c>
      <c r="K48" s="61">
        <v>46045</v>
      </c>
      <c r="L48" s="60">
        <v>71.900000000000006</v>
      </c>
      <c r="M48" s="61">
        <v>46223</v>
      </c>
      <c r="N48" s="60">
        <v>98.5</v>
      </c>
      <c r="O48" s="63">
        <v>35.25</v>
      </c>
      <c r="P48" s="63">
        <v>76</v>
      </c>
      <c r="Q48" s="63">
        <v>73.5</v>
      </c>
      <c r="R48" s="82"/>
      <c r="S48" s="63">
        <f>M48-K48</f>
        <v>178</v>
      </c>
      <c r="T48" s="59">
        <v>15.38</v>
      </c>
      <c r="U48" s="63">
        <v>34.200000000000003</v>
      </c>
      <c r="V48" s="59">
        <v>104.66</v>
      </c>
      <c r="W48" s="59">
        <v>75.66</v>
      </c>
      <c r="X48" s="59">
        <v>8</v>
      </c>
      <c r="Y48" s="63">
        <v>35.25</v>
      </c>
      <c r="Z48" s="63">
        <v>76</v>
      </c>
      <c r="AA48" s="59">
        <v>73.5</v>
      </c>
      <c r="AB48" s="59"/>
      <c r="AC48" s="59"/>
      <c r="AD48" s="59"/>
      <c r="AE48" s="63"/>
      <c r="AF48" s="63"/>
      <c r="AG48" s="59"/>
      <c r="AH48" s="59">
        <v>77.5</v>
      </c>
      <c r="AI48" s="99" t="s">
        <v>222</v>
      </c>
      <c r="AJ48" s="99" t="s">
        <v>222</v>
      </c>
      <c r="AK48" s="99" t="s">
        <v>223</v>
      </c>
      <c r="AL48" s="59"/>
      <c r="AM48" s="59"/>
      <c r="AN48" s="67"/>
      <c r="AO48" s="87"/>
      <c r="AP48" s="87">
        <f t="shared" si="10"/>
        <v>0</v>
      </c>
      <c r="AQ48" s="88">
        <f t="shared" si="11"/>
        <v>0</v>
      </c>
      <c r="AR48" s="89"/>
      <c r="AS48" s="89">
        <f t="shared" si="12"/>
        <v>0</v>
      </c>
      <c r="AT48" s="90">
        <f t="shared" si="13"/>
        <v>0</v>
      </c>
      <c r="AU48" s="91">
        <f t="shared" si="17"/>
        <v>0</v>
      </c>
      <c r="AV48" s="91">
        <f t="shared" si="17"/>
        <v>0</v>
      </c>
      <c r="AW48" s="92">
        <f t="shared" si="17"/>
        <v>0</v>
      </c>
      <c r="AX48" s="74"/>
      <c r="AY48" s="75" t="s">
        <v>175</v>
      </c>
      <c r="AZ48" s="76"/>
      <c r="BA48" s="38" t="s">
        <v>65</v>
      </c>
    </row>
    <row r="49" spans="1:53" ht="15.75" customHeight="1">
      <c r="A49" s="5">
        <v>2</v>
      </c>
      <c r="B49" s="38">
        <v>48</v>
      </c>
      <c r="C49" s="98">
        <v>46224</v>
      </c>
      <c r="D49" s="38"/>
      <c r="E49" s="38"/>
      <c r="F49" s="38"/>
      <c r="G49" s="59"/>
      <c r="H49" s="59"/>
      <c r="I49" s="59"/>
      <c r="J49" s="59"/>
      <c r="K49" s="61">
        <v>46045</v>
      </c>
      <c r="L49" s="60">
        <v>71.900000000000006</v>
      </c>
      <c r="M49" s="61">
        <v>46224</v>
      </c>
      <c r="N49" s="60">
        <v>98.5</v>
      </c>
      <c r="O49" s="63">
        <v>35.25</v>
      </c>
      <c r="P49" s="63">
        <v>76</v>
      </c>
      <c r="Q49" s="63">
        <v>73.5</v>
      </c>
      <c r="R49" s="82"/>
      <c r="S49" s="63">
        <f t="shared" ref="S49:S53" si="21">M49-K49</f>
        <v>179</v>
      </c>
      <c r="T49" s="59"/>
      <c r="U49" s="59"/>
      <c r="V49" s="59"/>
      <c r="W49" s="59"/>
      <c r="X49" s="59"/>
      <c r="Y49" s="63"/>
      <c r="Z49" s="63"/>
      <c r="AA49" s="59"/>
      <c r="AB49" s="59"/>
      <c r="AC49" s="59"/>
      <c r="AD49" s="59"/>
      <c r="AE49" s="63"/>
      <c r="AF49" s="63"/>
      <c r="AG49" s="59"/>
      <c r="AH49" s="59"/>
      <c r="AI49" s="99" t="s">
        <v>222</v>
      </c>
      <c r="AJ49" s="99" t="s">
        <v>222</v>
      </c>
      <c r="AK49" s="99" t="s">
        <v>223</v>
      </c>
      <c r="AL49" s="66">
        <v>32</v>
      </c>
      <c r="AM49" s="100">
        <v>0.25490000000000002</v>
      </c>
      <c r="AN49" s="67" t="s">
        <v>227</v>
      </c>
      <c r="AO49" s="87">
        <v>140</v>
      </c>
      <c r="AP49" s="87">
        <f t="shared" si="10"/>
        <v>4900</v>
      </c>
      <c r="AQ49" s="88">
        <f t="shared" si="11"/>
        <v>3.8888888888888888</v>
      </c>
      <c r="AR49" s="89">
        <v>3</v>
      </c>
      <c r="AS49" s="89">
        <f t="shared" si="12"/>
        <v>105</v>
      </c>
      <c r="AT49" s="90">
        <f t="shared" si="13"/>
        <v>8.3333333333333329E-2</v>
      </c>
      <c r="AU49" s="91">
        <f t="shared" si="17"/>
        <v>143</v>
      </c>
      <c r="AV49" s="91">
        <f t="shared" si="17"/>
        <v>5005</v>
      </c>
      <c r="AW49" s="92">
        <f t="shared" si="17"/>
        <v>3.9722222222222223</v>
      </c>
      <c r="AX49" s="74">
        <v>189</v>
      </c>
      <c r="AY49" s="75" t="s">
        <v>175</v>
      </c>
      <c r="AZ49" s="76">
        <v>193</v>
      </c>
      <c r="BA49" s="38" t="s">
        <v>65</v>
      </c>
    </row>
    <row r="50" spans="1:53" ht="15.75" customHeight="1">
      <c r="A50" s="5">
        <v>2</v>
      </c>
      <c r="B50" s="38">
        <v>49</v>
      </c>
      <c r="C50" s="98">
        <v>46225</v>
      </c>
      <c r="D50" s="38"/>
      <c r="E50" s="38"/>
      <c r="F50" s="38"/>
      <c r="G50" s="60">
        <v>17.28</v>
      </c>
      <c r="H50" s="60">
        <v>13.72</v>
      </c>
      <c r="I50" s="60">
        <v>16.48</v>
      </c>
      <c r="J50" s="60">
        <f t="shared" si="20"/>
        <v>15.826666666666668</v>
      </c>
      <c r="K50" s="61">
        <v>46045</v>
      </c>
      <c r="L50" s="60">
        <v>71.900000000000006</v>
      </c>
      <c r="M50" s="61">
        <v>46225</v>
      </c>
      <c r="N50" s="60">
        <v>98.5</v>
      </c>
      <c r="O50" s="63">
        <v>35.25</v>
      </c>
      <c r="P50" s="63">
        <v>76</v>
      </c>
      <c r="Q50" s="63">
        <v>73.5</v>
      </c>
      <c r="R50" s="82"/>
      <c r="S50" s="63">
        <f t="shared" si="21"/>
        <v>180</v>
      </c>
      <c r="T50" s="59">
        <v>12.76</v>
      </c>
      <c r="U50" s="63">
        <v>35</v>
      </c>
      <c r="V50" s="59">
        <v>108.75</v>
      </c>
      <c r="W50" s="59">
        <v>120.16</v>
      </c>
      <c r="X50" s="59">
        <v>8</v>
      </c>
      <c r="Y50" s="63">
        <v>33.5</v>
      </c>
      <c r="Z50" s="63">
        <v>77.099999999999994</v>
      </c>
      <c r="AA50" s="59">
        <v>75.150000000000006</v>
      </c>
      <c r="AB50" s="59"/>
      <c r="AC50" s="59"/>
      <c r="AD50" s="59"/>
      <c r="AE50" s="63"/>
      <c r="AF50" s="63"/>
      <c r="AG50" s="59"/>
      <c r="AH50" s="59">
        <v>43.75</v>
      </c>
      <c r="AI50" s="99" t="s">
        <v>222</v>
      </c>
      <c r="AJ50" s="99" t="s">
        <v>222</v>
      </c>
      <c r="AK50" s="99" t="s">
        <v>223</v>
      </c>
      <c r="AL50" s="66">
        <v>36.57</v>
      </c>
      <c r="AM50" s="100">
        <v>1.3374999999999999</v>
      </c>
      <c r="AN50" s="67" t="s">
        <v>227</v>
      </c>
      <c r="AO50" s="87">
        <v>233</v>
      </c>
      <c r="AP50" s="87">
        <f t="shared" si="10"/>
        <v>8155</v>
      </c>
      <c r="AQ50" s="88">
        <f t="shared" si="11"/>
        <v>6.4722222222222223</v>
      </c>
      <c r="AR50" s="89">
        <v>3</v>
      </c>
      <c r="AS50" s="89">
        <f t="shared" si="12"/>
        <v>105</v>
      </c>
      <c r="AT50" s="90">
        <f t="shared" si="13"/>
        <v>8.3333333333333329E-2</v>
      </c>
      <c r="AU50" s="91">
        <f t="shared" si="17"/>
        <v>236</v>
      </c>
      <c r="AV50" s="91">
        <f t="shared" si="17"/>
        <v>8260</v>
      </c>
      <c r="AW50" s="92">
        <f t="shared" si="17"/>
        <v>6.5555555555555554</v>
      </c>
      <c r="AX50" s="74">
        <v>193</v>
      </c>
      <c r="AY50" s="75" t="s">
        <v>175</v>
      </c>
      <c r="AZ50" s="76">
        <v>199</v>
      </c>
      <c r="BA50" s="38" t="s">
        <v>65</v>
      </c>
    </row>
    <row r="51" spans="1:53" ht="15.75" customHeight="1">
      <c r="A51" s="5">
        <v>2</v>
      </c>
      <c r="B51" s="38">
        <v>50</v>
      </c>
      <c r="C51" s="98">
        <v>46226</v>
      </c>
      <c r="D51" s="38"/>
      <c r="E51" s="38"/>
      <c r="F51" s="38"/>
      <c r="G51" s="59"/>
      <c r="H51" s="59"/>
      <c r="I51" s="59"/>
      <c r="J51" s="59"/>
      <c r="K51" s="61">
        <v>46045</v>
      </c>
      <c r="L51" s="60">
        <v>71.900000000000006</v>
      </c>
      <c r="M51" s="61">
        <v>46226</v>
      </c>
      <c r="N51" s="60">
        <v>98.5</v>
      </c>
      <c r="O51" s="63">
        <v>35.25</v>
      </c>
      <c r="P51" s="63">
        <v>76</v>
      </c>
      <c r="Q51" s="63">
        <v>73.5</v>
      </c>
      <c r="R51" s="82"/>
      <c r="S51" s="63">
        <f t="shared" si="21"/>
        <v>181</v>
      </c>
      <c r="T51" s="59"/>
      <c r="U51" s="59"/>
      <c r="V51" s="59">
        <v>89.5</v>
      </c>
      <c r="W51" s="59">
        <v>101.5</v>
      </c>
      <c r="X51" s="59">
        <v>8</v>
      </c>
      <c r="Y51" s="63">
        <v>33</v>
      </c>
      <c r="Z51" s="63">
        <v>77</v>
      </c>
      <c r="AA51" s="59">
        <v>76.930000000000007</v>
      </c>
      <c r="AB51" s="59"/>
      <c r="AC51" s="59"/>
      <c r="AD51" s="59"/>
      <c r="AE51" s="63"/>
      <c r="AF51" s="63"/>
      <c r="AG51" s="59"/>
      <c r="AH51" s="59">
        <v>39</v>
      </c>
      <c r="AI51" s="99" t="s">
        <v>222</v>
      </c>
      <c r="AJ51" s="99" t="s">
        <v>222</v>
      </c>
      <c r="AK51" s="99" t="s">
        <v>223</v>
      </c>
      <c r="AL51" s="66">
        <v>37.020000000000003</v>
      </c>
      <c r="AM51" s="100">
        <v>2.39</v>
      </c>
      <c r="AN51" s="67" t="s">
        <v>227</v>
      </c>
      <c r="AO51" s="87">
        <v>205</v>
      </c>
      <c r="AP51" s="87">
        <f t="shared" si="10"/>
        <v>7175</v>
      </c>
      <c r="AQ51" s="88">
        <f t="shared" si="11"/>
        <v>5.6944444444444446</v>
      </c>
      <c r="AR51" s="89">
        <v>73</v>
      </c>
      <c r="AS51" s="89">
        <f t="shared" si="12"/>
        <v>2555</v>
      </c>
      <c r="AT51" s="90">
        <f t="shared" si="13"/>
        <v>2.0277777777777777</v>
      </c>
      <c r="AU51" s="91">
        <f t="shared" si="17"/>
        <v>278</v>
      </c>
      <c r="AV51" s="91">
        <f t="shared" si="17"/>
        <v>9730</v>
      </c>
      <c r="AW51" s="92">
        <f t="shared" si="17"/>
        <v>7.7222222222222223</v>
      </c>
      <c r="AX51" s="74">
        <v>199</v>
      </c>
      <c r="AY51" s="75" t="s">
        <v>175</v>
      </c>
      <c r="AZ51" s="76">
        <v>205</v>
      </c>
      <c r="BA51" s="38" t="s">
        <v>65</v>
      </c>
    </row>
    <row r="52" spans="1:53" ht="15.75" customHeight="1">
      <c r="A52" s="5">
        <v>2</v>
      </c>
      <c r="B52" s="38">
        <v>51</v>
      </c>
      <c r="C52" s="98">
        <v>46227</v>
      </c>
      <c r="D52" s="38"/>
      <c r="E52" s="38"/>
      <c r="F52" s="38"/>
      <c r="G52" s="59"/>
      <c r="H52" s="59"/>
      <c r="I52" s="59"/>
      <c r="J52" s="59"/>
      <c r="K52" s="61">
        <v>46045</v>
      </c>
      <c r="L52" s="60">
        <v>71.900000000000006</v>
      </c>
      <c r="M52" s="78">
        <v>46227</v>
      </c>
      <c r="N52" s="60">
        <v>98.5</v>
      </c>
      <c r="O52" s="63">
        <v>35.25</v>
      </c>
      <c r="P52" s="63">
        <v>76</v>
      </c>
      <c r="Q52" s="63">
        <v>73.5</v>
      </c>
      <c r="R52" s="82"/>
      <c r="S52" s="63">
        <f t="shared" si="21"/>
        <v>182</v>
      </c>
      <c r="T52" s="59"/>
      <c r="U52" s="59"/>
      <c r="V52" s="59"/>
      <c r="W52" s="59"/>
      <c r="X52" s="59"/>
      <c r="Y52" s="63"/>
      <c r="Z52" s="63"/>
      <c r="AA52" s="59"/>
      <c r="AB52" s="59"/>
      <c r="AC52" s="59"/>
      <c r="AD52" s="59"/>
      <c r="AE52" s="63"/>
      <c r="AF52" s="63"/>
      <c r="AG52" s="59"/>
      <c r="AH52" s="59"/>
      <c r="AI52" s="99" t="s">
        <v>222</v>
      </c>
      <c r="AJ52" s="99" t="s">
        <v>222</v>
      </c>
      <c r="AK52" s="99" t="s">
        <v>223</v>
      </c>
      <c r="AL52" s="66">
        <v>32.57</v>
      </c>
      <c r="AM52" s="65">
        <v>0.36580000000000001</v>
      </c>
      <c r="AN52" s="65" t="s">
        <v>232</v>
      </c>
      <c r="AO52" s="87">
        <v>144</v>
      </c>
      <c r="AP52" s="87">
        <f t="shared" si="10"/>
        <v>5040</v>
      </c>
      <c r="AQ52" s="88">
        <f t="shared" si="11"/>
        <v>4</v>
      </c>
      <c r="AR52" s="89">
        <v>11</v>
      </c>
      <c r="AS52" s="89">
        <f t="shared" si="12"/>
        <v>385</v>
      </c>
      <c r="AT52" s="90">
        <f t="shared" si="13"/>
        <v>0.30555555555555558</v>
      </c>
      <c r="AU52" s="91">
        <f t="shared" si="17"/>
        <v>155</v>
      </c>
      <c r="AV52" s="91">
        <f t="shared" si="17"/>
        <v>5425</v>
      </c>
      <c r="AW52" s="92">
        <f t="shared" si="17"/>
        <v>4.3055555555555554</v>
      </c>
      <c r="AX52" s="74">
        <v>205</v>
      </c>
      <c r="AY52" s="75" t="s">
        <v>175</v>
      </c>
      <c r="AZ52" s="76">
        <v>208</v>
      </c>
      <c r="BA52" s="38" t="s">
        <v>65</v>
      </c>
    </row>
    <row r="53" spans="1:53" ht="15.75" customHeight="1">
      <c r="A53" s="5">
        <v>3</v>
      </c>
      <c r="B53" s="38">
        <v>52</v>
      </c>
      <c r="C53" s="98">
        <v>46234</v>
      </c>
      <c r="D53" s="38"/>
      <c r="E53" s="38"/>
      <c r="F53" s="38"/>
      <c r="G53" s="59"/>
      <c r="H53" s="59"/>
      <c r="I53" s="59"/>
      <c r="J53" s="59"/>
      <c r="K53" s="61">
        <v>46050</v>
      </c>
      <c r="L53" s="60">
        <v>70.483333333333334</v>
      </c>
      <c r="M53" s="61">
        <v>46234</v>
      </c>
      <c r="N53" s="60">
        <v>99.06</v>
      </c>
      <c r="O53" s="63">
        <v>32</v>
      </c>
      <c r="P53" s="63">
        <v>76.7</v>
      </c>
      <c r="Q53" s="63">
        <v>74.8</v>
      </c>
      <c r="R53" s="82">
        <v>7.3999999999999996E-2</v>
      </c>
      <c r="S53" s="63">
        <f t="shared" si="21"/>
        <v>184</v>
      </c>
      <c r="T53" s="59">
        <v>13.24</v>
      </c>
      <c r="U53" s="63">
        <v>35</v>
      </c>
      <c r="V53" s="59">
        <v>84.9</v>
      </c>
      <c r="W53" s="59">
        <v>89.5</v>
      </c>
      <c r="X53" s="59">
        <v>8</v>
      </c>
      <c r="Y53" s="63">
        <v>36</v>
      </c>
      <c r="Z53" s="63">
        <v>76.3</v>
      </c>
      <c r="AA53" s="59">
        <v>83.5</v>
      </c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67"/>
      <c r="AO53" s="87"/>
      <c r="AP53" s="87">
        <f t="shared" si="10"/>
        <v>0</v>
      </c>
      <c r="AQ53" s="88">
        <f t="shared" si="11"/>
        <v>0</v>
      </c>
      <c r="AR53" s="89"/>
      <c r="AS53" s="89">
        <f t="shared" si="12"/>
        <v>0</v>
      </c>
      <c r="AT53" s="90">
        <f t="shared" si="13"/>
        <v>0</v>
      </c>
      <c r="AU53" s="91">
        <f t="shared" ref="AU53:AW68" si="22">AO53+AR53</f>
        <v>0</v>
      </c>
      <c r="AV53" s="91">
        <f t="shared" si="22"/>
        <v>0</v>
      </c>
      <c r="AW53" s="92">
        <f t="shared" si="22"/>
        <v>0</v>
      </c>
      <c r="AX53" s="74">
        <v>208</v>
      </c>
      <c r="AY53" s="75" t="s">
        <v>175</v>
      </c>
      <c r="AZ53" s="76">
        <v>209</v>
      </c>
      <c r="BA53" s="38" t="s">
        <v>65</v>
      </c>
    </row>
    <row r="54" spans="1:53" ht="15.75" customHeight="1">
      <c r="A54" s="5">
        <v>3</v>
      </c>
      <c r="B54" s="38">
        <v>53</v>
      </c>
      <c r="C54" s="98">
        <v>46268</v>
      </c>
      <c r="D54" s="38">
        <v>2</v>
      </c>
      <c r="E54" s="38">
        <v>15</v>
      </c>
      <c r="F54" s="38" t="s">
        <v>183</v>
      </c>
      <c r="G54" s="60">
        <v>14.31</v>
      </c>
      <c r="H54" s="60">
        <v>10.57</v>
      </c>
      <c r="I54" s="60">
        <v>13.15</v>
      </c>
      <c r="J54" s="60">
        <f>AVERAGE(G54:I54)</f>
        <v>12.676666666666668</v>
      </c>
      <c r="K54" s="61">
        <v>46050</v>
      </c>
      <c r="L54" s="60">
        <v>74.22</v>
      </c>
      <c r="M54" s="95">
        <v>46268</v>
      </c>
      <c r="N54" s="60">
        <v>99.26</v>
      </c>
      <c r="O54" s="59">
        <v>35</v>
      </c>
      <c r="P54" s="59">
        <v>71</v>
      </c>
      <c r="Q54" s="59">
        <v>69</v>
      </c>
      <c r="R54" s="82">
        <v>0.125</v>
      </c>
      <c r="S54" s="63">
        <f>M54-K54</f>
        <v>218</v>
      </c>
      <c r="T54" s="60">
        <v>15.14</v>
      </c>
      <c r="U54" s="63">
        <v>35.6</v>
      </c>
      <c r="V54" s="59">
        <v>108.25</v>
      </c>
      <c r="W54" s="59">
        <v>80</v>
      </c>
      <c r="X54" s="59">
        <v>8</v>
      </c>
      <c r="Y54" s="63"/>
      <c r="Z54" s="63"/>
      <c r="AA54" s="59"/>
      <c r="AB54" s="59"/>
      <c r="AC54" s="59"/>
      <c r="AD54" s="59"/>
      <c r="AE54" s="59"/>
      <c r="AF54" s="59"/>
      <c r="AG54" s="59"/>
      <c r="AH54" s="59"/>
      <c r="AI54" s="99"/>
      <c r="AJ54" s="99"/>
      <c r="AK54" s="99"/>
      <c r="AL54" s="67"/>
      <c r="AM54" s="67"/>
      <c r="AN54" s="67"/>
      <c r="AO54" s="87"/>
      <c r="AP54" s="87">
        <f t="shared" si="10"/>
        <v>0</v>
      </c>
      <c r="AQ54" s="88">
        <f t="shared" si="11"/>
        <v>0</v>
      </c>
      <c r="AR54" s="89"/>
      <c r="AS54" s="89">
        <f t="shared" si="12"/>
        <v>0</v>
      </c>
      <c r="AT54" s="90">
        <f t="shared" si="13"/>
        <v>0</v>
      </c>
      <c r="AU54" s="91">
        <f t="shared" si="22"/>
        <v>0</v>
      </c>
      <c r="AV54" s="91">
        <f t="shared" si="22"/>
        <v>0</v>
      </c>
      <c r="AW54" s="92">
        <f t="shared" si="22"/>
        <v>0</v>
      </c>
      <c r="AX54" s="74"/>
      <c r="AY54" s="75" t="s">
        <v>175</v>
      </c>
      <c r="AZ54" s="76"/>
      <c r="BA54" s="38" t="s">
        <v>65</v>
      </c>
    </row>
    <row r="55" spans="1:53" ht="15.75" customHeight="1">
      <c r="A55" s="5">
        <v>3</v>
      </c>
      <c r="B55" s="38">
        <v>54</v>
      </c>
      <c r="C55" s="98">
        <v>46269</v>
      </c>
      <c r="D55" s="38">
        <v>2</v>
      </c>
      <c r="E55" s="38">
        <v>14</v>
      </c>
      <c r="F55" s="38" t="s">
        <v>183</v>
      </c>
      <c r="G55" s="60">
        <v>16.41</v>
      </c>
      <c r="H55" s="60">
        <v>15.2</v>
      </c>
      <c r="I55" s="60">
        <v>15.86</v>
      </c>
      <c r="J55" s="60">
        <f>AVERAGE(G55:I55)</f>
        <v>15.823333333333332</v>
      </c>
      <c r="K55" s="61">
        <v>46050</v>
      </c>
      <c r="L55" s="60">
        <v>74.22</v>
      </c>
      <c r="M55" s="95">
        <v>46269</v>
      </c>
      <c r="N55" s="60">
        <v>99.26</v>
      </c>
      <c r="O55" s="59">
        <v>35</v>
      </c>
      <c r="P55" s="59">
        <v>71</v>
      </c>
      <c r="Q55" s="59">
        <v>69</v>
      </c>
      <c r="R55" s="82">
        <v>0.125</v>
      </c>
      <c r="S55" s="63">
        <f>M55-K55</f>
        <v>219</v>
      </c>
      <c r="T55" s="59">
        <v>13.02</v>
      </c>
      <c r="U55" s="63">
        <v>36</v>
      </c>
      <c r="V55" s="59">
        <v>103.89</v>
      </c>
      <c r="W55" s="59">
        <v>107.56</v>
      </c>
      <c r="X55" s="59">
        <v>7.33</v>
      </c>
      <c r="Y55" s="63">
        <v>33.25</v>
      </c>
      <c r="Z55" s="63">
        <v>76</v>
      </c>
      <c r="AA55" s="59"/>
      <c r="AB55" s="59"/>
      <c r="AC55" s="59"/>
      <c r="AD55" s="59"/>
      <c r="AE55" s="59"/>
      <c r="AF55" s="59"/>
      <c r="AG55" s="59"/>
      <c r="AH55" s="59">
        <v>54.33</v>
      </c>
      <c r="AI55" s="99" t="s">
        <v>222</v>
      </c>
      <c r="AJ55" s="99" t="s">
        <v>222</v>
      </c>
      <c r="AK55" s="99" t="s">
        <v>223</v>
      </c>
      <c r="AL55" s="67">
        <v>36</v>
      </c>
      <c r="AM55" s="100">
        <v>1.6937</v>
      </c>
      <c r="AN55" s="67" t="s">
        <v>227</v>
      </c>
      <c r="AO55" s="87">
        <v>171</v>
      </c>
      <c r="AP55" s="87">
        <f t="shared" si="10"/>
        <v>5985</v>
      </c>
      <c r="AQ55" s="88">
        <f t="shared" si="11"/>
        <v>4.75</v>
      </c>
      <c r="AR55" s="89">
        <v>17</v>
      </c>
      <c r="AS55" s="89">
        <f t="shared" si="12"/>
        <v>595</v>
      </c>
      <c r="AT55" s="90">
        <f t="shared" si="13"/>
        <v>0.47222222222222221</v>
      </c>
      <c r="AU55" s="91">
        <f t="shared" si="22"/>
        <v>188</v>
      </c>
      <c r="AV55" s="91">
        <f t="shared" si="22"/>
        <v>6580</v>
      </c>
      <c r="AW55" s="92">
        <f t="shared" si="22"/>
        <v>5.2222222222222223</v>
      </c>
      <c r="AX55" s="74">
        <v>210</v>
      </c>
      <c r="AY55" s="75" t="s">
        <v>175</v>
      </c>
      <c r="AZ55" s="76">
        <v>215</v>
      </c>
      <c r="BA55" s="38" t="s">
        <v>65</v>
      </c>
    </row>
    <row r="56" spans="1:53" ht="15.75" customHeight="1">
      <c r="A56" s="5">
        <v>3</v>
      </c>
      <c r="B56" s="38">
        <v>55</v>
      </c>
      <c r="C56" s="93">
        <v>46270</v>
      </c>
      <c r="D56" s="38"/>
      <c r="E56" s="38"/>
      <c r="F56" s="38"/>
      <c r="G56" s="60"/>
      <c r="H56" s="60"/>
      <c r="I56" s="60"/>
      <c r="J56" s="60"/>
      <c r="K56" s="61"/>
      <c r="L56" s="60"/>
      <c r="M56" s="95"/>
      <c r="N56" s="60"/>
      <c r="O56" s="59"/>
      <c r="P56" s="59"/>
      <c r="Q56" s="59"/>
      <c r="R56" s="82"/>
      <c r="S56" s="63"/>
      <c r="T56" s="59"/>
      <c r="U56" s="63"/>
      <c r="V56" s="59"/>
      <c r="W56" s="59"/>
      <c r="X56" s="59"/>
      <c r="Y56" s="63"/>
      <c r="Z56" s="63"/>
      <c r="AA56" s="59"/>
      <c r="AB56" s="59"/>
      <c r="AC56" s="59"/>
      <c r="AD56" s="59"/>
      <c r="AE56" s="59"/>
      <c r="AF56" s="59"/>
      <c r="AG56" s="59"/>
      <c r="AH56" s="59"/>
      <c r="AI56" s="99"/>
      <c r="AJ56" s="99"/>
      <c r="AK56" s="99"/>
      <c r="AL56" s="67"/>
      <c r="AM56" s="100"/>
      <c r="AN56" s="67"/>
      <c r="AO56" s="87">
        <v>180</v>
      </c>
      <c r="AP56" s="87">
        <f t="shared" si="10"/>
        <v>6300</v>
      </c>
      <c r="AQ56" s="88">
        <f t="shared" si="11"/>
        <v>5</v>
      </c>
      <c r="AR56" s="89">
        <v>6</v>
      </c>
      <c r="AS56" s="89">
        <f t="shared" si="12"/>
        <v>210</v>
      </c>
      <c r="AT56" s="90">
        <f t="shared" si="13"/>
        <v>0.16666666666666666</v>
      </c>
      <c r="AU56" s="91">
        <f t="shared" si="22"/>
        <v>186</v>
      </c>
      <c r="AV56" s="91">
        <f t="shared" si="22"/>
        <v>6510</v>
      </c>
      <c r="AW56" s="92">
        <f t="shared" si="22"/>
        <v>5.166666666666667</v>
      </c>
      <c r="AX56" s="74">
        <v>215</v>
      </c>
      <c r="AY56" s="75" t="s">
        <v>175</v>
      </c>
      <c r="AZ56" s="76">
        <v>220</v>
      </c>
      <c r="BA56" s="38" t="s">
        <v>65</v>
      </c>
    </row>
    <row r="57" spans="1:53" ht="15.75" customHeight="1">
      <c r="A57" s="5">
        <v>3</v>
      </c>
      <c r="B57" s="38">
        <v>56</v>
      </c>
      <c r="C57" s="98">
        <v>46272</v>
      </c>
      <c r="D57" s="102" t="s">
        <v>233</v>
      </c>
      <c r="E57" s="38" t="s">
        <v>37</v>
      </c>
      <c r="F57" s="38" t="s">
        <v>183</v>
      </c>
      <c r="G57" s="60">
        <v>15.96</v>
      </c>
      <c r="H57" s="60">
        <v>14.82</v>
      </c>
      <c r="I57" s="60">
        <v>15.11</v>
      </c>
      <c r="J57" s="60">
        <f>AVERAGE(G57:I57)</f>
        <v>15.296666666666667</v>
      </c>
      <c r="K57" s="61">
        <v>46050</v>
      </c>
      <c r="L57" s="60">
        <v>74.22</v>
      </c>
      <c r="M57" s="95">
        <v>46272</v>
      </c>
      <c r="N57" s="60">
        <v>99.26</v>
      </c>
      <c r="O57" s="59">
        <v>35</v>
      </c>
      <c r="P57" s="59">
        <v>71</v>
      </c>
      <c r="Q57" s="59">
        <v>69</v>
      </c>
      <c r="R57" s="82">
        <v>0.125</v>
      </c>
      <c r="S57" s="63">
        <f>M57-K57</f>
        <v>222</v>
      </c>
      <c r="T57" s="59">
        <v>17.48</v>
      </c>
      <c r="U57" s="63">
        <v>34.75</v>
      </c>
      <c r="V57" s="59">
        <v>108.17</v>
      </c>
      <c r="W57" s="59">
        <v>98.5</v>
      </c>
      <c r="X57" s="59">
        <v>8</v>
      </c>
      <c r="Y57" s="63">
        <v>40</v>
      </c>
      <c r="Z57" s="63">
        <v>75.5</v>
      </c>
      <c r="AA57" s="59"/>
      <c r="AB57" s="59"/>
      <c r="AC57" s="59"/>
      <c r="AD57" s="59"/>
      <c r="AE57" s="59"/>
      <c r="AF57" s="59"/>
      <c r="AG57" s="59"/>
      <c r="AH57" s="59"/>
      <c r="AI57" s="99" t="s">
        <v>222</v>
      </c>
      <c r="AJ57" s="99" t="s">
        <v>222</v>
      </c>
      <c r="AK57" s="99" t="s">
        <v>223</v>
      </c>
      <c r="AL57" s="67">
        <v>32.450000000000003</v>
      </c>
      <c r="AM57" s="65">
        <v>1.3629</v>
      </c>
      <c r="AN57" s="65" t="s">
        <v>234</v>
      </c>
      <c r="AO57" s="87">
        <v>120</v>
      </c>
      <c r="AP57" s="87">
        <f t="shared" si="10"/>
        <v>4200</v>
      </c>
      <c r="AQ57" s="88">
        <f t="shared" si="11"/>
        <v>3.3333333333333335</v>
      </c>
      <c r="AR57" s="89">
        <v>1</v>
      </c>
      <c r="AS57" s="89">
        <f t="shared" si="12"/>
        <v>35</v>
      </c>
      <c r="AT57" s="90">
        <f t="shared" si="13"/>
        <v>2.7777777777777776E-2</v>
      </c>
      <c r="AU57" s="91">
        <f t="shared" si="22"/>
        <v>121</v>
      </c>
      <c r="AV57" s="91">
        <f t="shared" si="22"/>
        <v>4235</v>
      </c>
      <c r="AW57" s="92">
        <f t="shared" si="22"/>
        <v>3.3611111111111112</v>
      </c>
      <c r="AX57" s="74">
        <v>220</v>
      </c>
      <c r="AY57" s="75" t="s">
        <v>175</v>
      </c>
      <c r="AZ57" s="76">
        <v>223</v>
      </c>
      <c r="BA57" s="38" t="s">
        <v>65</v>
      </c>
    </row>
    <row r="58" spans="1:53" ht="15.75" customHeight="1">
      <c r="A58" s="5">
        <v>3</v>
      </c>
      <c r="B58" s="38">
        <v>57</v>
      </c>
      <c r="C58" s="98">
        <v>46273</v>
      </c>
      <c r="D58" s="38">
        <v>1</v>
      </c>
      <c r="E58" s="38">
        <v>8</v>
      </c>
      <c r="F58" s="38" t="s">
        <v>183</v>
      </c>
      <c r="G58" s="60">
        <v>14.43</v>
      </c>
      <c r="H58" s="60">
        <v>9.82</v>
      </c>
      <c r="I58" s="60">
        <v>13.93</v>
      </c>
      <c r="J58" s="60">
        <f t="shared" ref="J58:J61" si="23">AVERAGE(G58:I58)</f>
        <v>12.726666666666667</v>
      </c>
      <c r="K58" s="95">
        <v>46155</v>
      </c>
      <c r="L58" s="60">
        <v>71.44</v>
      </c>
      <c r="M58" s="95">
        <v>46273</v>
      </c>
      <c r="N58" s="83">
        <v>99.03</v>
      </c>
      <c r="O58" s="63">
        <v>33</v>
      </c>
      <c r="P58" s="63">
        <v>74</v>
      </c>
      <c r="Q58" s="59">
        <v>69.8</v>
      </c>
      <c r="R58" s="82">
        <v>8.3000000000000004E-2</v>
      </c>
      <c r="S58" s="63">
        <f t="shared" ref="S58:S61" si="24">M58-K58</f>
        <v>118</v>
      </c>
      <c r="T58" s="59">
        <v>13.68</v>
      </c>
      <c r="U58" s="63">
        <v>34.5</v>
      </c>
      <c r="V58" s="59">
        <v>99.82</v>
      </c>
      <c r="W58" s="59">
        <v>102.82</v>
      </c>
      <c r="X58" s="59">
        <v>8.73</v>
      </c>
      <c r="Y58" s="63">
        <v>38</v>
      </c>
      <c r="Z58" s="63">
        <v>75</v>
      </c>
      <c r="AA58" s="59"/>
      <c r="AB58" s="59"/>
      <c r="AC58" s="59"/>
      <c r="AD58" s="59"/>
      <c r="AE58" s="59"/>
      <c r="AF58" s="59"/>
      <c r="AG58" s="59"/>
      <c r="AH58" s="59">
        <v>37</v>
      </c>
      <c r="AI58" s="99" t="s">
        <v>222</v>
      </c>
      <c r="AJ58" s="99" t="s">
        <v>222</v>
      </c>
      <c r="AK58" s="99" t="s">
        <v>223</v>
      </c>
      <c r="AL58" s="67">
        <v>34.700000000000003</v>
      </c>
      <c r="AM58" s="100">
        <v>2.8553000000000002</v>
      </c>
      <c r="AN58" s="65" t="s">
        <v>234</v>
      </c>
      <c r="AO58" s="87">
        <v>360</v>
      </c>
      <c r="AP58" s="87">
        <f t="shared" si="10"/>
        <v>12600</v>
      </c>
      <c r="AQ58" s="88">
        <f t="shared" si="11"/>
        <v>10</v>
      </c>
      <c r="AR58" s="89">
        <v>31</v>
      </c>
      <c r="AS58" s="89">
        <f t="shared" si="12"/>
        <v>1085</v>
      </c>
      <c r="AT58" s="90">
        <f t="shared" si="13"/>
        <v>0.86111111111111116</v>
      </c>
      <c r="AU58" s="91">
        <f t="shared" si="22"/>
        <v>391</v>
      </c>
      <c r="AV58" s="91">
        <f t="shared" si="22"/>
        <v>13685</v>
      </c>
      <c r="AW58" s="92">
        <f t="shared" si="22"/>
        <v>10.861111111111111</v>
      </c>
      <c r="AX58" s="74">
        <v>223</v>
      </c>
      <c r="AY58" s="75" t="s">
        <v>175</v>
      </c>
      <c r="AZ58" s="76">
        <v>233</v>
      </c>
      <c r="BA58" s="38" t="s">
        <v>65</v>
      </c>
    </row>
    <row r="59" spans="1:53" ht="15.75" customHeight="1">
      <c r="A59" s="5">
        <v>9</v>
      </c>
      <c r="B59" s="38">
        <v>58</v>
      </c>
      <c r="C59" s="98">
        <v>46274</v>
      </c>
      <c r="D59" s="38">
        <v>2</v>
      </c>
      <c r="E59" s="38">
        <v>8</v>
      </c>
      <c r="F59" s="38" t="s">
        <v>183</v>
      </c>
      <c r="G59" s="60">
        <v>12.81</v>
      </c>
      <c r="H59" s="60">
        <v>11.81</v>
      </c>
      <c r="I59" s="60">
        <v>13.12</v>
      </c>
      <c r="J59" s="60">
        <f t="shared" si="23"/>
        <v>12.58</v>
      </c>
      <c r="K59" s="95">
        <v>46155</v>
      </c>
      <c r="L59" s="60">
        <v>71.44</v>
      </c>
      <c r="M59" s="95">
        <v>46274</v>
      </c>
      <c r="N59" s="83">
        <v>99.03</v>
      </c>
      <c r="O59" s="63">
        <v>33</v>
      </c>
      <c r="P59" s="63">
        <v>74</v>
      </c>
      <c r="Q59" s="59">
        <v>69.8</v>
      </c>
      <c r="R59" s="82">
        <v>8.3000000000000004E-2</v>
      </c>
      <c r="S59" s="63">
        <f t="shared" si="24"/>
        <v>119</v>
      </c>
      <c r="T59" s="59">
        <v>16.41</v>
      </c>
      <c r="U59" s="63">
        <v>34.6</v>
      </c>
      <c r="V59" s="59">
        <v>104.38</v>
      </c>
      <c r="W59" s="59">
        <v>109.13</v>
      </c>
      <c r="X59" s="59">
        <v>7.5</v>
      </c>
      <c r="Y59" s="63">
        <v>36.6</v>
      </c>
      <c r="Z59" s="63">
        <v>75.56</v>
      </c>
      <c r="AA59" s="59"/>
      <c r="AB59" s="59"/>
      <c r="AC59" s="59"/>
      <c r="AD59" s="59"/>
      <c r="AE59" s="59"/>
      <c r="AF59" s="59"/>
      <c r="AG59" s="59"/>
      <c r="AH59" s="59"/>
      <c r="AI59" s="99" t="s">
        <v>222</v>
      </c>
      <c r="AJ59" s="99" t="s">
        <v>222</v>
      </c>
      <c r="AK59" s="99" t="s">
        <v>223</v>
      </c>
      <c r="AL59" s="67">
        <v>36.200000000000003</v>
      </c>
      <c r="AM59" s="100"/>
      <c r="AN59" s="65"/>
      <c r="AO59" s="87">
        <v>316</v>
      </c>
      <c r="AP59" s="87">
        <f t="shared" si="10"/>
        <v>11060</v>
      </c>
      <c r="AQ59" s="88">
        <f t="shared" si="11"/>
        <v>8.7777777777777786</v>
      </c>
      <c r="AR59" s="89">
        <v>4</v>
      </c>
      <c r="AS59" s="89">
        <f t="shared" si="12"/>
        <v>140</v>
      </c>
      <c r="AT59" s="90">
        <f t="shared" si="13"/>
        <v>0.1111111111111111</v>
      </c>
      <c r="AU59" s="91">
        <f t="shared" si="22"/>
        <v>320</v>
      </c>
      <c r="AV59" s="91">
        <f t="shared" si="22"/>
        <v>11200</v>
      </c>
      <c r="AW59" s="92">
        <f t="shared" si="22"/>
        <v>8.8888888888888893</v>
      </c>
      <c r="AX59" s="74">
        <v>233</v>
      </c>
      <c r="AY59" s="75" t="s">
        <v>175</v>
      </c>
      <c r="AZ59" s="76">
        <v>242</v>
      </c>
      <c r="BA59" s="38" t="s">
        <v>65</v>
      </c>
    </row>
    <row r="60" spans="1:53" ht="15.75" customHeight="1">
      <c r="A60" s="5">
        <v>9</v>
      </c>
      <c r="B60" s="38">
        <v>59</v>
      </c>
      <c r="C60" s="98">
        <v>46275</v>
      </c>
      <c r="D60" s="38">
        <v>3</v>
      </c>
      <c r="E60" s="38">
        <v>8</v>
      </c>
      <c r="F60" s="38" t="s">
        <v>183</v>
      </c>
      <c r="G60" s="59">
        <v>15.17</v>
      </c>
      <c r="H60" s="59">
        <v>11.85</v>
      </c>
      <c r="I60" s="59">
        <v>13.86</v>
      </c>
      <c r="J60" s="60">
        <f t="shared" si="23"/>
        <v>13.626666666666665</v>
      </c>
      <c r="K60" s="95">
        <v>46155</v>
      </c>
      <c r="L60" s="60">
        <v>71.44</v>
      </c>
      <c r="M60" s="95">
        <v>46275</v>
      </c>
      <c r="N60" s="83">
        <v>99.03</v>
      </c>
      <c r="O60" s="63">
        <v>33</v>
      </c>
      <c r="P60" s="63">
        <v>74</v>
      </c>
      <c r="Q60" s="59">
        <v>69.8</v>
      </c>
      <c r="R60" s="82">
        <v>8.3000000000000004E-2</v>
      </c>
      <c r="S60" s="63">
        <f t="shared" si="24"/>
        <v>120</v>
      </c>
      <c r="T60" s="59">
        <v>14.3</v>
      </c>
      <c r="U60" s="63">
        <v>34.75</v>
      </c>
      <c r="V60" s="59">
        <v>113.6</v>
      </c>
      <c r="W60" s="59">
        <v>116.6</v>
      </c>
      <c r="X60" s="59">
        <v>8</v>
      </c>
      <c r="Y60" s="63">
        <v>37.119999999999997</v>
      </c>
      <c r="Z60" s="63">
        <v>77.89</v>
      </c>
      <c r="AA60" s="59"/>
      <c r="AB60" s="59"/>
      <c r="AC60" s="59"/>
      <c r="AD60" s="59"/>
      <c r="AE60" s="59"/>
      <c r="AF60" s="59"/>
      <c r="AG60" s="59"/>
      <c r="AH60" s="59"/>
      <c r="AI60" s="99" t="s">
        <v>222</v>
      </c>
      <c r="AJ60" s="99" t="s">
        <v>222</v>
      </c>
      <c r="AK60" s="99" t="s">
        <v>222</v>
      </c>
      <c r="AL60" s="59">
        <v>31.9</v>
      </c>
      <c r="AM60" s="100">
        <v>1.7487999999999999</v>
      </c>
      <c r="AN60" s="65" t="s">
        <v>234</v>
      </c>
      <c r="AO60" s="87">
        <v>243</v>
      </c>
      <c r="AP60" s="87">
        <f t="shared" si="10"/>
        <v>8505</v>
      </c>
      <c r="AQ60" s="88">
        <f t="shared" si="11"/>
        <v>6.75</v>
      </c>
      <c r="AR60" s="89">
        <v>18</v>
      </c>
      <c r="AS60" s="89">
        <f t="shared" si="12"/>
        <v>630</v>
      </c>
      <c r="AT60" s="90">
        <f t="shared" si="13"/>
        <v>0.5</v>
      </c>
      <c r="AU60" s="91">
        <f t="shared" si="22"/>
        <v>261</v>
      </c>
      <c r="AV60" s="91">
        <f t="shared" si="22"/>
        <v>9135</v>
      </c>
      <c r="AW60" s="92">
        <f t="shared" si="22"/>
        <v>7.25</v>
      </c>
      <c r="AX60" s="74">
        <v>242</v>
      </c>
      <c r="AY60" s="75" t="s">
        <v>175</v>
      </c>
      <c r="AZ60" s="76">
        <v>248</v>
      </c>
      <c r="BA60" s="38" t="s">
        <v>65</v>
      </c>
    </row>
    <row r="61" spans="1:53" ht="15.75" customHeight="1">
      <c r="A61" s="5">
        <v>9</v>
      </c>
      <c r="B61" s="38">
        <v>60</v>
      </c>
      <c r="C61" s="98">
        <v>46276</v>
      </c>
      <c r="D61" s="38">
        <v>3</v>
      </c>
      <c r="E61" s="38">
        <v>8</v>
      </c>
      <c r="F61" s="38" t="s">
        <v>203</v>
      </c>
      <c r="G61" s="59">
        <v>13.76</v>
      </c>
      <c r="H61" s="59">
        <v>10.98</v>
      </c>
      <c r="I61" s="59">
        <v>15.77</v>
      </c>
      <c r="J61" s="60">
        <f t="shared" si="23"/>
        <v>13.503333333333336</v>
      </c>
      <c r="K61" s="95">
        <v>46155</v>
      </c>
      <c r="L61" s="60">
        <v>71.44</v>
      </c>
      <c r="M61" s="95">
        <v>46276</v>
      </c>
      <c r="N61" s="83">
        <v>99.03</v>
      </c>
      <c r="O61" s="63">
        <v>33</v>
      </c>
      <c r="P61" s="63">
        <v>74</v>
      </c>
      <c r="Q61" s="59">
        <v>69.8</v>
      </c>
      <c r="R61" s="82">
        <v>8.3000000000000004E-2</v>
      </c>
      <c r="S61" s="63">
        <f t="shared" si="24"/>
        <v>121</v>
      </c>
      <c r="T61" s="59">
        <v>16.3</v>
      </c>
      <c r="U61" s="63">
        <v>35</v>
      </c>
      <c r="V61" s="59">
        <v>114.7</v>
      </c>
      <c r="W61" s="59">
        <v>116.5</v>
      </c>
      <c r="X61" s="59">
        <v>8</v>
      </c>
      <c r="Y61" s="63">
        <v>36.125</v>
      </c>
      <c r="Z61" s="63">
        <v>77.125</v>
      </c>
      <c r="AA61" s="59"/>
      <c r="AB61" s="59"/>
      <c r="AC61" s="59"/>
      <c r="AD61" s="59"/>
      <c r="AE61" s="59"/>
      <c r="AF61" s="59"/>
      <c r="AG61" s="59"/>
      <c r="AH61" s="59"/>
      <c r="AI61" s="99" t="s">
        <v>222</v>
      </c>
      <c r="AJ61" s="99" t="s">
        <v>222</v>
      </c>
      <c r="AK61" s="99" t="s">
        <v>223</v>
      </c>
      <c r="AL61" s="66">
        <v>34.5</v>
      </c>
      <c r="AM61" s="100">
        <v>1.6594</v>
      </c>
      <c r="AN61" s="65" t="s">
        <v>234</v>
      </c>
      <c r="AO61" s="87">
        <v>335</v>
      </c>
      <c r="AP61" s="87">
        <f t="shared" si="10"/>
        <v>11725</v>
      </c>
      <c r="AQ61" s="88">
        <f t="shared" si="11"/>
        <v>9.3055555555555554</v>
      </c>
      <c r="AR61" s="89">
        <v>17</v>
      </c>
      <c r="AS61" s="89">
        <f t="shared" si="12"/>
        <v>595</v>
      </c>
      <c r="AT61" s="90">
        <f t="shared" si="13"/>
        <v>0.47222222222222221</v>
      </c>
      <c r="AU61" s="91">
        <f t="shared" si="22"/>
        <v>352</v>
      </c>
      <c r="AV61" s="91">
        <f t="shared" si="22"/>
        <v>12320</v>
      </c>
      <c r="AW61" s="92">
        <f t="shared" si="22"/>
        <v>9.7777777777777768</v>
      </c>
      <c r="AX61" s="74">
        <v>249</v>
      </c>
      <c r="AY61" s="75" t="s">
        <v>175</v>
      </c>
      <c r="AZ61" s="76">
        <v>258</v>
      </c>
      <c r="BA61" s="38" t="s">
        <v>65</v>
      </c>
    </row>
    <row r="62" spans="1:53" ht="15.75" customHeight="1">
      <c r="A62" s="5">
        <v>9</v>
      </c>
      <c r="B62" s="38">
        <v>61</v>
      </c>
      <c r="C62" s="98">
        <v>46277</v>
      </c>
      <c r="D62" s="38"/>
      <c r="E62" s="38"/>
      <c r="F62" s="38"/>
      <c r="G62" s="60"/>
      <c r="H62" s="60"/>
      <c r="I62" s="60"/>
      <c r="J62" s="60"/>
      <c r="K62" s="95"/>
      <c r="L62" s="60"/>
      <c r="M62" s="95"/>
      <c r="N62" s="83"/>
      <c r="O62" s="63"/>
      <c r="P62" s="63"/>
      <c r="Q62" s="63"/>
      <c r="R62" s="59"/>
      <c r="S62" s="63"/>
      <c r="T62" s="59"/>
      <c r="U62" s="63"/>
      <c r="V62" s="59"/>
      <c r="W62" s="59"/>
      <c r="X62" s="59"/>
      <c r="Y62" s="63"/>
      <c r="Z62" s="63"/>
      <c r="AA62" s="59"/>
      <c r="AB62" s="59"/>
      <c r="AC62" s="59"/>
      <c r="AD62" s="59"/>
      <c r="AE62" s="59"/>
      <c r="AF62" s="59"/>
      <c r="AG62" s="59"/>
      <c r="AH62" s="59"/>
      <c r="AI62" s="99"/>
      <c r="AJ62" s="99"/>
      <c r="AK62" s="99"/>
      <c r="AL62" s="66">
        <v>31</v>
      </c>
      <c r="AM62" s="100"/>
      <c r="AN62" s="67"/>
      <c r="AO62" s="87">
        <v>14</v>
      </c>
      <c r="AP62" s="87">
        <f t="shared" si="10"/>
        <v>490</v>
      </c>
      <c r="AQ62" s="88">
        <f t="shared" si="11"/>
        <v>0.3888888888888889</v>
      </c>
      <c r="AR62" s="89">
        <v>2</v>
      </c>
      <c r="AS62" s="89">
        <f t="shared" si="12"/>
        <v>70</v>
      </c>
      <c r="AT62" s="90">
        <f t="shared" si="13"/>
        <v>5.5555555555555552E-2</v>
      </c>
      <c r="AU62" s="91">
        <f t="shared" si="22"/>
        <v>16</v>
      </c>
      <c r="AV62" s="91">
        <f t="shared" si="22"/>
        <v>560</v>
      </c>
      <c r="AW62" s="92">
        <f t="shared" si="22"/>
        <v>0.44444444444444442</v>
      </c>
      <c r="AX62" s="74">
        <v>258</v>
      </c>
      <c r="AY62" s="75" t="s">
        <v>175</v>
      </c>
      <c r="AZ62" s="76">
        <v>258</v>
      </c>
      <c r="BA62" s="38" t="s">
        <v>65</v>
      </c>
    </row>
    <row r="63" spans="1:53" ht="15.75" customHeight="1">
      <c r="A63" s="5">
        <v>9</v>
      </c>
      <c r="B63" s="38">
        <v>62</v>
      </c>
      <c r="C63" s="98">
        <v>46279</v>
      </c>
      <c r="D63" s="38">
        <v>1</v>
      </c>
      <c r="E63" s="38">
        <v>6</v>
      </c>
      <c r="F63" s="38" t="s">
        <v>203</v>
      </c>
      <c r="G63" s="60">
        <v>15.53</v>
      </c>
      <c r="H63" s="60">
        <v>11.24</v>
      </c>
      <c r="I63" s="60">
        <v>14.13</v>
      </c>
      <c r="J63" s="60">
        <f t="shared" ref="J63:J68" si="25">AVERAGE(G63:I63)</f>
        <v>13.633333333333333</v>
      </c>
      <c r="K63" s="95">
        <v>46199</v>
      </c>
      <c r="L63" s="60">
        <v>71.3</v>
      </c>
      <c r="M63" s="78">
        <v>46279</v>
      </c>
      <c r="N63" s="83">
        <v>98.5</v>
      </c>
      <c r="O63" s="63">
        <v>38</v>
      </c>
      <c r="P63" s="63">
        <v>75</v>
      </c>
      <c r="Q63" s="63">
        <v>71.2</v>
      </c>
      <c r="R63" s="82">
        <v>8.3000000000000004E-2</v>
      </c>
      <c r="S63" s="63">
        <f t="shared" ref="S63:S68" si="26">M63-K63</f>
        <v>80</v>
      </c>
      <c r="T63" s="59">
        <v>14.3</v>
      </c>
      <c r="U63" s="63">
        <v>36.5</v>
      </c>
      <c r="V63" s="59">
        <v>116.2</v>
      </c>
      <c r="W63" s="59">
        <v>117.6</v>
      </c>
      <c r="X63" s="59">
        <v>7</v>
      </c>
      <c r="Y63" s="63">
        <v>39.4</v>
      </c>
      <c r="Z63" s="63">
        <v>77.599999999999994</v>
      </c>
      <c r="AA63" s="59"/>
      <c r="AB63" s="59"/>
      <c r="AC63" s="59"/>
      <c r="AD63" s="59"/>
      <c r="AE63" s="59"/>
      <c r="AF63" s="59"/>
      <c r="AG63" s="59"/>
      <c r="AH63" s="59"/>
      <c r="AI63" s="99" t="s">
        <v>222</v>
      </c>
      <c r="AJ63" s="99" t="s">
        <v>222</v>
      </c>
      <c r="AK63" s="99" t="s">
        <v>222</v>
      </c>
      <c r="AL63" s="66">
        <v>32.1</v>
      </c>
      <c r="AM63" s="100">
        <v>2.2118000000000002</v>
      </c>
      <c r="AN63" s="67" t="s">
        <v>227</v>
      </c>
      <c r="AO63" s="87">
        <v>47</v>
      </c>
      <c r="AP63" s="87">
        <f t="shared" si="10"/>
        <v>1645</v>
      </c>
      <c r="AQ63" s="88">
        <f t="shared" si="11"/>
        <v>1.3055555555555556</v>
      </c>
      <c r="AR63" s="89">
        <v>15</v>
      </c>
      <c r="AS63" s="89">
        <f t="shared" si="12"/>
        <v>525</v>
      </c>
      <c r="AT63" s="90">
        <f t="shared" si="13"/>
        <v>0.41666666666666669</v>
      </c>
      <c r="AU63" s="91">
        <f t="shared" si="22"/>
        <v>62</v>
      </c>
      <c r="AV63" s="91">
        <f t="shared" si="22"/>
        <v>2170</v>
      </c>
      <c r="AW63" s="92">
        <f t="shared" si="22"/>
        <v>1.7222222222222223</v>
      </c>
      <c r="AX63" s="74">
        <v>258</v>
      </c>
      <c r="AY63" s="75" t="s">
        <v>175</v>
      </c>
      <c r="AZ63" s="76">
        <v>259</v>
      </c>
      <c r="BA63" s="38" t="s">
        <v>65</v>
      </c>
    </row>
    <row r="64" spans="1:53" ht="15.75" customHeight="1">
      <c r="A64" s="5">
        <v>11</v>
      </c>
      <c r="B64" s="38">
        <v>63</v>
      </c>
      <c r="C64" s="93">
        <v>46279</v>
      </c>
      <c r="D64" s="38">
        <v>1</v>
      </c>
      <c r="E64" s="38">
        <v>6</v>
      </c>
      <c r="F64" s="38" t="s">
        <v>203</v>
      </c>
      <c r="G64" s="60"/>
      <c r="H64" s="60"/>
      <c r="I64" s="60"/>
      <c r="J64" s="60"/>
      <c r="K64" s="95"/>
      <c r="L64" s="60"/>
      <c r="M64" s="78"/>
      <c r="N64" s="83"/>
      <c r="O64" s="63"/>
      <c r="P64" s="63"/>
      <c r="Q64" s="63"/>
      <c r="R64" s="82"/>
      <c r="S64" s="63"/>
      <c r="T64" s="59"/>
      <c r="U64" s="63"/>
      <c r="V64" s="59"/>
      <c r="W64" s="59"/>
      <c r="X64" s="59"/>
      <c r="Y64" s="63"/>
      <c r="Z64" s="63"/>
      <c r="AA64" s="59"/>
      <c r="AB64" s="59"/>
      <c r="AC64" s="59"/>
      <c r="AD64" s="59"/>
      <c r="AE64" s="59"/>
      <c r="AF64" s="59"/>
      <c r="AG64" s="59"/>
      <c r="AH64" s="59"/>
      <c r="AI64" s="99"/>
      <c r="AJ64" s="99"/>
      <c r="AK64" s="99"/>
      <c r="AL64" s="66"/>
      <c r="AM64" s="100"/>
      <c r="AN64" s="67"/>
      <c r="AO64" s="87">
        <v>137</v>
      </c>
      <c r="AP64" s="87">
        <f t="shared" si="10"/>
        <v>4795</v>
      </c>
      <c r="AQ64" s="88">
        <f t="shared" si="11"/>
        <v>3.8055555555555554</v>
      </c>
      <c r="AR64" s="89">
        <v>1</v>
      </c>
      <c r="AS64" s="89">
        <f t="shared" si="12"/>
        <v>35</v>
      </c>
      <c r="AT64" s="90">
        <f t="shared" si="13"/>
        <v>2.7777777777777776E-2</v>
      </c>
      <c r="AU64" s="91">
        <f t="shared" si="22"/>
        <v>138</v>
      </c>
      <c r="AV64" s="91">
        <f t="shared" si="22"/>
        <v>4830</v>
      </c>
      <c r="AW64" s="92">
        <f t="shared" si="22"/>
        <v>3.833333333333333</v>
      </c>
      <c r="AX64" s="74">
        <v>260</v>
      </c>
      <c r="AY64" s="75" t="s">
        <v>175</v>
      </c>
      <c r="AZ64" s="76">
        <v>263</v>
      </c>
      <c r="BA64" s="38" t="s">
        <v>65</v>
      </c>
    </row>
    <row r="65" spans="1:53" ht="15.75" customHeight="1">
      <c r="A65" s="5">
        <v>11</v>
      </c>
      <c r="B65" s="38">
        <v>64</v>
      </c>
      <c r="C65" s="98">
        <v>46280</v>
      </c>
      <c r="D65" s="38">
        <v>2</v>
      </c>
      <c r="E65" s="38">
        <v>6</v>
      </c>
      <c r="F65" s="38" t="s">
        <v>183</v>
      </c>
      <c r="G65" s="60">
        <v>16.079999999999998</v>
      </c>
      <c r="H65" s="60">
        <v>12.72</v>
      </c>
      <c r="I65" s="60">
        <v>15.84</v>
      </c>
      <c r="J65" s="60">
        <f t="shared" si="25"/>
        <v>14.88</v>
      </c>
      <c r="K65" s="95">
        <v>46199</v>
      </c>
      <c r="L65" s="60">
        <v>71.3</v>
      </c>
      <c r="M65" s="78">
        <v>46280</v>
      </c>
      <c r="N65" s="83">
        <v>98.5</v>
      </c>
      <c r="O65" s="63">
        <v>38</v>
      </c>
      <c r="P65" s="63">
        <v>75</v>
      </c>
      <c r="Q65" s="63">
        <v>71.2</v>
      </c>
      <c r="R65" s="82">
        <v>8.3000000000000004E-2</v>
      </c>
      <c r="S65" s="63">
        <f t="shared" si="26"/>
        <v>81</v>
      </c>
      <c r="T65" s="59">
        <v>16.600000000000001</v>
      </c>
      <c r="U65" s="63">
        <v>36</v>
      </c>
      <c r="V65" s="59">
        <v>115.4</v>
      </c>
      <c r="W65" s="59">
        <v>115.4</v>
      </c>
      <c r="X65" s="59">
        <v>7.1</v>
      </c>
      <c r="Y65" s="63">
        <v>36.9</v>
      </c>
      <c r="Z65" s="63">
        <v>77.7</v>
      </c>
      <c r="AA65" s="59">
        <v>71.599999999999994</v>
      </c>
      <c r="AB65" s="59"/>
      <c r="AC65" s="59"/>
      <c r="AD65" s="59"/>
      <c r="AE65" s="59"/>
      <c r="AF65" s="59"/>
      <c r="AG65" s="59"/>
      <c r="AH65" s="59">
        <v>47.9</v>
      </c>
      <c r="AI65" s="99" t="s">
        <v>222</v>
      </c>
      <c r="AJ65" s="99" t="s">
        <v>222</v>
      </c>
      <c r="AK65" s="99" t="s">
        <v>223</v>
      </c>
      <c r="AL65" s="66">
        <v>36.700000000000003</v>
      </c>
      <c r="AM65" s="100">
        <v>2.3248000000000002</v>
      </c>
      <c r="AN65" s="67" t="s">
        <v>235</v>
      </c>
      <c r="AO65" s="87">
        <v>336</v>
      </c>
      <c r="AP65" s="87">
        <f t="shared" si="10"/>
        <v>11760</v>
      </c>
      <c r="AQ65" s="88">
        <f t="shared" si="11"/>
        <v>9.3333333333333339</v>
      </c>
      <c r="AR65" s="89">
        <v>4</v>
      </c>
      <c r="AS65" s="89">
        <f t="shared" si="12"/>
        <v>140</v>
      </c>
      <c r="AT65" s="90">
        <f t="shared" si="13"/>
        <v>0.1111111111111111</v>
      </c>
      <c r="AU65" s="91">
        <f t="shared" si="22"/>
        <v>340</v>
      </c>
      <c r="AV65" s="91">
        <f t="shared" si="22"/>
        <v>11900</v>
      </c>
      <c r="AW65" s="92">
        <f t="shared" si="22"/>
        <v>9.4444444444444446</v>
      </c>
      <c r="AX65" s="74">
        <v>264</v>
      </c>
      <c r="AY65" s="75" t="s">
        <v>175</v>
      </c>
      <c r="AZ65" s="76">
        <v>273</v>
      </c>
      <c r="BA65" s="38" t="s">
        <v>65</v>
      </c>
    </row>
    <row r="66" spans="1:53" ht="15.75" customHeight="1">
      <c r="A66" s="5">
        <v>11</v>
      </c>
      <c r="B66" s="38">
        <v>65</v>
      </c>
      <c r="C66" s="98">
        <v>46281</v>
      </c>
      <c r="D66" s="38">
        <v>1</v>
      </c>
      <c r="E66" s="38">
        <v>5</v>
      </c>
      <c r="F66" s="38" t="s">
        <v>203</v>
      </c>
      <c r="G66" s="60">
        <v>13.15</v>
      </c>
      <c r="H66" s="60">
        <v>13.13</v>
      </c>
      <c r="I66" s="60">
        <v>15.09</v>
      </c>
      <c r="J66" s="60">
        <f t="shared" si="25"/>
        <v>13.790000000000001</v>
      </c>
      <c r="K66" s="95">
        <v>46199</v>
      </c>
      <c r="L66" s="60">
        <v>71.3</v>
      </c>
      <c r="M66" s="78">
        <v>46281</v>
      </c>
      <c r="N66" s="83">
        <v>98.5</v>
      </c>
      <c r="O66" s="63">
        <v>38</v>
      </c>
      <c r="P66" s="63">
        <v>75</v>
      </c>
      <c r="Q66" s="63">
        <v>71.2</v>
      </c>
      <c r="R66" s="82">
        <v>8.3000000000000004E-2</v>
      </c>
      <c r="S66" s="63">
        <f t="shared" si="26"/>
        <v>82</v>
      </c>
      <c r="T66" s="59">
        <v>15.3</v>
      </c>
      <c r="U66" s="63">
        <v>37.299999999999997</v>
      </c>
      <c r="V66" s="59">
        <v>115.3</v>
      </c>
      <c r="W66" s="59">
        <v>118</v>
      </c>
      <c r="X66" s="59">
        <v>7.3</v>
      </c>
      <c r="Y66" s="63">
        <v>36.9</v>
      </c>
      <c r="Z66" s="63">
        <v>78.3</v>
      </c>
      <c r="AA66" s="59">
        <v>71.2</v>
      </c>
      <c r="AB66" s="59"/>
      <c r="AC66" s="59"/>
      <c r="AD66" s="59"/>
      <c r="AE66" s="59"/>
      <c r="AF66" s="59"/>
      <c r="AG66" s="59"/>
      <c r="AH66" s="59">
        <v>48.7</v>
      </c>
      <c r="AI66" s="99" t="s">
        <v>222</v>
      </c>
      <c r="AJ66" s="99" t="s">
        <v>222</v>
      </c>
      <c r="AK66" s="99" t="s">
        <v>223</v>
      </c>
      <c r="AL66" s="66">
        <v>33.9</v>
      </c>
      <c r="AM66" s="100">
        <v>2.0430000000000001</v>
      </c>
      <c r="AN66" s="67" t="s">
        <v>227</v>
      </c>
      <c r="AO66" s="87">
        <v>411</v>
      </c>
      <c r="AP66" s="87">
        <f t="shared" si="10"/>
        <v>14385</v>
      </c>
      <c r="AQ66" s="88">
        <f t="shared" si="11"/>
        <v>11.416666666666666</v>
      </c>
      <c r="AR66" s="89">
        <v>7</v>
      </c>
      <c r="AS66" s="89">
        <f t="shared" si="12"/>
        <v>245</v>
      </c>
      <c r="AT66" s="90">
        <f t="shared" si="13"/>
        <v>0.19444444444444445</v>
      </c>
      <c r="AU66" s="91">
        <f t="shared" si="22"/>
        <v>418</v>
      </c>
      <c r="AV66" s="91">
        <f t="shared" si="22"/>
        <v>14630</v>
      </c>
      <c r="AW66" s="92">
        <f t="shared" si="22"/>
        <v>11.611111111111111</v>
      </c>
      <c r="AX66" s="74">
        <v>273</v>
      </c>
      <c r="AY66" s="75" t="s">
        <v>175</v>
      </c>
      <c r="AZ66" s="76">
        <v>284</v>
      </c>
      <c r="BA66" s="38" t="s">
        <v>65</v>
      </c>
    </row>
    <row r="67" spans="1:53" ht="15.75" customHeight="1">
      <c r="A67" s="5">
        <v>11</v>
      </c>
      <c r="B67" s="38">
        <v>66</v>
      </c>
      <c r="C67" s="98">
        <v>46282</v>
      </c>
      <c r="D67" s="38">
        <v>2</v>
      </c>
      <c r="E67" s="38">
        <v>5</v>
      </c>
      <c r="F67" s="38" t="s">
        <v>203</v>
      </c>
      <c r="G67" s="59">
        <v>16.48</v>
      </c>
      <c r="H67" s="59">
        <v>12.72</v>
      </c>
      <c r="I67" s="59">
        <v>16.25</v>
      </c>
      <c r="J67" s="60">
        <f t="shared" si="25"/>
        <v>15.15</v>
      </c>
      <c r="K67" s="95">
        <v>46199</v>
      </c>
      <c r="L67" s="60">
        <v>71.3</v>
      </c>
      <c r="M67" s="78">
        <v>46282</v>
      </c>
      <c r="N67" s="83">
        <v>98.5</v>
      </c>
      <c r="O67" s="63">
        <v>38</v>
      </c>
      <c r="P67" s="63">
        <v>75</v>
      </c>
      <c r="Q67" s="63">
        <v>71.2</v>
      </c>
      <c r="R67" s="82">
        <v>8.3000000000000004E-2</v>
      </c>
      <c r="S67" s="63">
        <f t="shared" si="26"/>
        <v>83</v>
      </c>
      <c r="T67" s="59">
        <v>16.7</v>
      </c>
      <c r="U67" s="59">
        <v>37</v>
      </c>
      <c r="V67" s="59">
        <v>116.6</v>
      </c>
      <c r="W67" s="59">
        <v>119.1</v>
      </c>
      <c r="X67" s="59">
        <v>7.5</v>
      </c>
      <c r="Y67" s="63">
        <v>36.799999999999997</v>
      </c>
      <c r="Z67" s="63">
        <v>81.3</v>
      </c>
      <c r="AA67" s="59">
        <v>70.900000000000006</v>
      </c>
      <c r="AB67" s="59"/>
      <c r="AC67" s="59"/>
      <c r="AD67" s="59"/>
      <c r="AE67" s="59"/>
      <c r="AF67" s="59"/>
      <c r="AG67" s="59"/>
      <c r="AH67" s="101"/>
      <c r="AI67" s="99" t="s">
        <v>222</v>
      </c>
      <c r="AJ67" s="99" t="s">
        <v>222</v>
      </c>
      <c r="AK67" s="99" t="s">
        <v>223</v>
      </c>
      <c r="AL67" s="66">
        <v>33.200000000000003</v>
      </c>
      <c r="AM67" s="65">
        <v>0.97360000000000002</v>
      </c>
      <c r="AN67" s="67" t="s">
        <v>236</v>
      </c>
      <c r="AO67" s="87">
        <v>387</v>
      </c>
      <c r="AP67" s="87">
        <f t="shared" si="10"/>
        <v>13545</v>
      </c>
      <c r="AQ67" s="88">
        <f t="shared" si="11"/>
        <v>10.75</v>
      </c>
      <c r="AR67" s="89">
        <v>16</v>
      </c>
      <c r="AS67" s="89">
        <f t="shared" si="12"/>
        <v>560</v>
      </c>
      <c r="AT67" s="90">
        <f t="shared" si="13"/>
        <v>0.44444444444444442</v>
      </c>
      <c r="AU67" s="91">
        <f t="shared" si="22"/>
        <v>403</v>
      </c>
      <c r="AV67" s="91">
        <f t="shared" si="22"/>
        <v>14105</v>
      </c>
      <c r="AW67" s="92">
        <f t="shared" si="22"/>
        <v>11.194444444444445</v>
      </c>
      <c r="AX67" s="74">
        <v>284</v>
      </c>
      <c r="AY67" s="75" t="s">
        <v>175</v>
      </c>
      <c r="AZ67" s="76">
        <v>295</v>
      </c>
      <c r="BA67" s="38" t="s">
        <v>65</v>
      </c>
    </row>
    <row r="68" spans="1:53" ht="15.75" customHeight="1">
      <c r="A68" s="5">
        <v>11</v>
      </c>
      <c r="B68" s="38">
        <v>67</v>
      </c>
      <c r="C68" s="98">
        <v>46283</v>
      </c>
      <c r="D68" s="46" t="s">
        <v>110</v>
      </c>
      <c r="E68" s="38">
        <v>5</v>
      </c>
      <c r="F68" s="38" t="s">
        <v>203</v>
      </c>
      <c r="G68" s="60">
        <v>15.44</v>
      </c>
      <c r="H68" s="60">
        <v>9.82</v>
      </c>
      <c r="I68" s="60">
        <v>15.56</v>
      </c>
      <c r="J68" s="60">
        <f t="shared" si="25"/>
        <v>13.606666666666667</v>
      </c>
      <c r="K68" s="95">
        <v>46199</v>
      </c>
      <c r="L68" s="60">
        <v>71.3</v>
      </c>
      <c r="M68" s="78">
        <v>46283</v>
      </c>
      <c r="N68" s="83">
        <v>98.5</v>
      </c>
      <c r="O68" s="63">
        <v>38</v>
      </c>
      <c r="P68" s="63">
        <v>75</v>
      </c>
      <c r="Q68" s="63">
        <v>71.2</v>
      </c>
      <c r="R68" s="82">
        <v>8.3000000000000004E-2</v>
      </c>
      <c r="S68" s="63">
        <f t="shared" si="26"/>
        <v>84</v>
      </c>
      <c r="T68" s="59">
        <v>13.9</v>
      </c>
      <c r="U68" s="63">
        <v>37</v>
      </c>
      <c r="V68" s="59">
        <v>121.8</v>
      </c>
      <c r="W68" s="59">
        <v>119.3</v>
      </c>
      <c r="X68" s="59">
        <v>7.4</v>
      </c>
      <c r="Y68" s="63">
        <v>36.200000000000003</v>
      </c>
      <c r="Z68" s="63">
        <v>80.3</v>
      </c>
      <c r="AA68" s="59">
        <v>70.900000000000006</v>
      </c>
      <c r="AB68" s="59"/>
      <c r="AC68" s="59"/>
      <c r="AD68" s="59"/>
      <c r="AE68" s="59"/>
      <c r="AF68" s="59"/>
      <c r="AG68" s="59"/>
      <c r="AH68" s="59">
        <v>56</v>
      </c>
      <c r="AI68" s="99" t="s">
        <v>222</v>
      </c>
      <c r="AJ68" s="99" t="s">
        <v>222</v>
      </c>
      <c r="AK68" s="99" t="s">
        <v>222</v>
      </c>
      <c r="AL68" s="67">
        <v>36.4</v>
      </c>
      <c r="AM68" s="100">
        <v>1.6371</v>
      </c>
      <c r="AN68" s="67" t="s">
        <v>237</v>
      </c>
      <c r="AO68" s="87">
        <v>231</v>
      </c>
      <c r="AP68" s="87">
        <f t="shared" si="10"/>
        <v>8085</v>
      </c>
      <c r="AQ68" s="88">
        <f t="shared" si="11"/>
        <v>6.416666666666667</v>
      </c>
      <c r="AR68" s="89">
        <v>96</v>
      </c>
      <c r="AS68" s="89">
        <f t="shared" si="12"/>
        <v>3360</v>
      </c>
      <c r="AT68" s="90">
        <f t="shared" si="13"/>
        <v>2.6666666666666665</v>
      </c>
      <c r="AU68" s="91">
        <f t="shared" si="22"/>
        <v>327</v>
      </c>
      <c r="AV68" s="91">
        <f t="shared" si="22"/>
        <v>11445</v>
      </c>
      <c r="AW68" s="92">
        <f t="shared" si="22"/>
        <v>9.0833333333333339</v>
      </c>
      <c r="AX68" s="74">
        <v>295</v>
      </c>
      <c r="AY68" s="75" t="s">
        <v>175</v>
      </c>
      <c r="AZ68" s="76">
        <v>301</v>
      </c>
      <c r="BA68" s="38" t="s">
        <v>65</v>
      </c>
    </row>
    <row r="69" spans="1:53" ht="15.75" customHeight="1">
      <c r="A69" s="5">
        <v>11</v>
      </c>
      <c r="B69" s="38">
        <v>68</v>
      </c>
      <c r="C69" s="93">
        <v>46284</v>
      </c>
      <c r="D69" s="38"/>
      <c r="E69" s="38"/>
      <c r="F69" s="38"/>
      <c r="G69" s="60"/>
      <c r="H69" s="60"/>
      <c r="I69" s="60"/>
      <c r="J69" s="60"/>
      <c r="K69" s="95"/>
      <c r="L69" s="60"/>
      <c r="M69" s="78"/>
      <c r="N69" s="83"/>
      <c r="O69" s="63"/>
      <c r="P69" s="63"/>
      <c r="Q69" s="63"/>
      <c r="R69" s="82"/>
      <c r="S69" s="63"/>
      <c r="T69" s="59"/>
      <c r="U69" s="63"/>
      <c r="V69" s="59"/>
      <c r="W69" s="59"/>
      <c r="X69" s="59"/>
      <c r="Y69" s="63"/>
      <c r="Z69" s="63"/>
      <c r="AA69" s="59"/>
      <c r="AB69" s="59"/>
      <c r="AC69" s="59"/>
      <c r="AD69" s="59"/>
      <c r="AE69" s="59"/>
      <c r="AF69" s="59"/>
      <c r="AG69" s="59"/>
      <c r="AH69" s="59"/>
      <c r="AI69" s="99"/>
      <c r="AJ69" s="99"/>
      <c r="AK69" s="99"/>
      <c r="AL69" s="67"/>
      <c r="AM69" s="100"/>
      <c r="AN69" s="67"/>
      <c r="AO69" s="87">
        <v>34</v>
      </c>
      <c r="AP69" s="87">
        <f t="shared" si="10"/>
        <v>1190</v>
      </c>
      <c r="AQ69" s="88">
        <f t="shared" si="11"/>
        <v>0.94444444444444442</v>
      </c>
      <c r="AR69" s="89">
        <v>6</v>
      </c>
      <c r="AS69" s="89">
        <f t="shared" si="12"/>
        <v>210</v>
      </c>
      <c r="AT69" s="90">
        <f t="shared" si="13"/>
        <v>0.16666666666666666</v>
      </c>
      <c r="AU69" s="91">
        <f t="shared" ref="AU69:AW80" si="27">AO69+AR69</f>
        <v>40</v>
      </c>
      <c r="AV69" s="91">
        <f t="shared" si="27"/>
        <v>1400</v>
      </c>
      <c r="AW69" s="92">
        <f t="shared" si="27"/>
        <v>1.1111111111111112</v>
      </c>
      <c r="AX69" s="74">
        <v>301</v>
      </c>
      <c r="AY69" s="75" t="s">
        <v>175</v>
      </c>
      <c r="AZ69" s="76">
        <v>302</v>
      </c>
      <c r="BA69" s="38" t="s">
        <v>65</v>
      </c>
    </row>
    <row r="70" spans="1:53" ht="15.75" customHeight="1">
      <c r="A70" s="5">
        <v>11</v>
      </c>
      <c r="B70" s="38">
        <v>69</v>
      </c>
      <c r="C70" s="98">
        <v>46286</v>
      </c>
      <c r="D70" s="38"/>
      <c r="E70" s="38"/>
      <c r="F70" s="38"/>
      <c r="G70" s="59">
        <v>17.22</v>
      </c>
      <c r="H70" s="59">
        <v>11.27</v>
      </c>
      <c r="I70" s="59">
        <v>15.79</v>
      </c>
      <c r="J70" s="60">
        <f t="shared" ref="J70:J74" si="28">AVERAGE(G70:I70)</f>
        <v>14.76</v>
      </c>
      <c r="K70" s="61">
        <v>46211</v>
      </c>
      <c r="L70" s="60">
        <v>70.28</v>
      </c>
      <c r="M70" s="61">
        <v>46286</v>
      </c>
      <c r="N70" s="60">
        <v>97.96</v>
      </c>
      <c r="O70" s="63">
        <v>38.666666666666664</v>
      </c>
      <c r="P70" s="63">
        <v>76</v>
      </c>
      <c r="Q70" s="63">
        <v>73</v>
      </c>
      <c r="R70" s="82">
        <v>8.1000000000000003E-2</v>
      </c>
      <c r="S70" s="63">
        <f t="shared" ref="S70:S74" si="29">M70-K70</f>
        <v>75</v>
      </c>
      <c r="T70" s="59">
        <v>11.8</v>
      </c>
      <c r="U70" s="59">
        <v>35.700000000000003</v>
      </c>
      <c r="V70" s="59">
        <v>112.2</v>
      </c>
      <c r="W70" s="59">
        <v>18.2</v>
      </c>
      <c r="X70" s="59">
        <v>7</v>
      </c>
      <c r="Y70" s="63">
        <v>37.700000000000003</v>
      </c>
      <c r="Z70" s="63">
        <v>82.3</v>
      </c>
      <c r="AA70" s="59">
        <v>73.8</v>
      </c>
      <c r="AB70" s="59"/>
      <c r="AC70" s="59"/>
      <c r="AD70" s="59"/>
      <c r="AE70" s="59"/>
      <c r="AF70" s="59"/>
      <c r="AG70" s="59"/>
      <c r="AH70" s="59">
        <v>48.2</v>
      </c>
      <c r="AI70" s="99" t="s">
        <v>222</v>
      </c>
      <c r="AJ70" s="99" t="s">
        <v>222</v>
      </c>
      <c r="AK70" s="99" t="s">
        <v>223</v>
      </c>
      <c r="AL70" s="66">
        <v>40.799999999999997</v>
      </c>
      <c r="AM70" s="100"/>
      <c r="AN70" s="67"/>
      <c r="AO70" s="87">
        <v>96</v>
      </c>
      <c r="AP70" s="87">
        <f t="shared" si="10"/>
        <v>3360</v>
      </c>
      <c r="AQ70" s="88">
        <f t="shared" si="11"/>
        <v>2.6666666666666665</v>
      </c>
      <c r="AR70" s="89">
        <v>49</v>
      </c>
      <c r="AS70" s="89">
        <f t="shared" si="12"/>
        <v>1715</v>
      </c>
      <c r="AT70" s="90">
        <f t="shared" si="13"/>
        <v>1.3611111111111112</v>
      </c>
      <c r="AU70" s="91">
        <f t="shared" si="27"/>
        <v>145</v>
      </c>
      <c r="AV70" s="91">
        <f t="shared" si="27"/>
        <v>5075</v>
      </c>
      <c r="AW70" s="92">
        <f t="shared" si="27"/>
        <v>4.0277777777777777</v>
      </c>
      <c r="AX70" s="74">
        <v>302</v>
      </c>
      <c r="AY70" s="75" t="s">
        <v>175</v>
      </c>
      <c r="AZ70" s="76">
        <v>305</v>
      </c>
      <c r="BA70" s="38" t="s">
        <v>65</v>
      </c>
    </row>
    <row r="71" spans="1:53" ht="15.75" customHeight="1">
      <c r="A71" s="5">
        <v>12</v>
      </c>
      <c r="B71" s="38">
        <v>70</v>
      </c>
      <c r="C71" s="93">
        <v>46286</v>
      </c>
      <c r="D71" s="38">
        <v>1</v>
      </c>
      <c r="E71" s="38">
        <v>4</v>
      </c>
      <c r="F71" s="38" t="s">
        <v>238</v>
      </c>
      <c r="G71" s="59"/>
      <c r="H71" s="59"/>
      <c r="I71" s="59"/>
      <c r="J71" s="60"/>
      <c r="K71" s="61"/>
      <c r="L71" s="60"/>
      <c r="M71" s="61"/>
      <c r="N71" s="60"/>
      <c r="O71" s="63"/>
      <c r="P71" s="63"/>
      <c r="Q71" s="63"/>
      <c r="R71" s="82"/>
      <c r="S71" s="63"/>
      <c r="T71" s="59"/>
      <c r="U71" s="59"/>
      <c r="V71" s="59"/>
      <c r="W71" s="59"/>
      <c r="X71" s="59"/>
      <c r="Y71" s="63"/>
      <c r="Z71" s="63"/>
      <c r="AA71" s="59"/>
      <c r="AB71" s="59"/>
      <c r="AC71" s="59"/>
      <c r="AD71" s="59"/>
      <c r="AE71" s="59"/>
      <c r="AF71" s="59"/>
      <c r="AG71" s="59"/>
      <c r="AH71" s="59"/>
      <c r="AI71" s="99"/>
      <c r="AJ71" s="99"/>
      <c r="AK71" s="99"/>
      <c r="AL71" s="66"/>
      <c r="AM71" s="100"/>
      <c r="AN71" s="67"/>
      <c r="AO71" s="87"/>
      <c r="AP71" s="87">
        <f t="shared" si="10"/>
        <v>0</v>
      </c>
      <c r="AQ71" s="88">
        <f t="shared" si="11"/>
        <v>0</v>
      </c>
      <c r="AR71" s="89"/>
      <c r="AS71" s="89">
        <f t="shared" si="12"/>
        <v>0</v>
      </c>
      <c r="AT71" s="90">
        <f t="shared" si="13"/>
        <v>0</v>
      </c>
      <c r="AU71" s="91">
        <f t="shared" si="27"/>
        <v>0</v>
      </c>
      <c r="AV71" s="91">
        <f t="shared" si="27"/>
        <v>0</v>
      </c>
      <c r="AW71" s="92">
        <f t="shared" si="27"/>
        <v>0</v>
      </c>
      <c r="AX71" s="74"/>
      <c r="AY71" s="75" t="s">
        <v>175</v>
      </c>
      <c r="AZ71" s="76"/>
      <c r="BA71" s="38" t="s">
        <v>65</v>
      </c>
    </row>
    <row r="72" spans="1:53" ht="15.75" customHeight="1">
      <c r="A72" s="5">
        <v>12</v>
      </c>
      <c r="B72" s="38">
        <v>71</v>
      </c>
      <c r="C72" s="98">
        <v>46287</v>
      </c>
      <c r="D72" s="46" t="s">
        <v>225</v>
      </c>
      <c r="E72" s="46" t="s">
        <v>192</v>
      </c>
      <c r="F72" s="38" t="s">
        <v>239</v>
      </c>
      <c r="G72" s="60">
        <v>16.97</v>
      </c>
      <c r="H72" s="60">
        <v>11.51</v>
      </c>
      <c r="I72" s="60">
        <v>15.64</v>
      </c>
      <c r="J72" s="60">
        <f t="shared" si="28"/>
        <v>14.706666666666665</v>
      </c>
      <c r="K72" s="61">
        <v>46211</v>
      </c>
      <c r="L72" s="60">
        <v>70.28</v>
      </c>
      <c r="M72" s="61">
        <v>46287</v>
      </c>
      <c r="N72" s="60">
        <v>97.96</v>
      </c>
      <c r="O72" s="63">
        <v>38.666666666666664</v>
      </c>
      <c r="P72" s="63">
        <v>76</v>
      </c>
      <c r="Q72" s="63">
        <v>73</v>
      </c>
      <c r="R72" s="82">
        <v>8.1000000000000003E-2</v>
      </c>
      <c r="S72" s="63">
        <f t="shared" si="29"/>
        <v>76</v>
      </c>
      <c r="T72" s="59">
        <v>11.9</v>
      </c>
      <c r="U72" s="63">
        <v>36</v>
      </c>
      <c r="V72" s="59">
        <v>121.4</v>
      </c>
      <c r="W72" s="59">
        <v>119.8</v>
      </c>
      <c r="X72" s="59">
        <v>7.4</v>
      </c>
      <c r="Y72" s="63">
        <v>40.4</v>
      </c>
      <c r="Z72" s="63">
        <v>81.3</v>
      </c>
      <c r="AA72" s="59">
        <v>76.099999999999994</v>
      </c>
      <c r="AB72" s="59"/>
      <c r="AC72" s="59"/>
      <c r="AD72" s="59"/>
      <c r="AE72" s="59"/>
      <c r="AF72" s="59"/>
      <c r="AG72" s="59"/>
      <c r="AH72" s="59">
        <v>40.799999999999997</v>
      </c>
      <c r="AI72" s="99" t="s">
        <v>222</v>
      </c>
      <c r="AJ72" s="99" t="s">
        <v>222</v>
      </c>
      <c r="AK72" s="99" t="s">
        <v>223</v>
      </c>
      <c r="AL72" s="66">
        <v>33.9</v>
      </c>
      <c r="AM72" s="100"/>
      <c r="AN72" s="67"/>
      <c r="AO72" s="87">
        <f>25+109</f>
        <v>134</v>
      </c>
      <c r="AP72" s="87">
        <f t="shared" si="10"/>
        <v>4690</v>
      </c>
      <c r="AQ72" s="88">
        <f t="shared" si="11"/>
        <v>3.7222222222222223</v>
      </c>
      <c r="AR72" s="89">
        <f>45+61</f>
        <v>106</v>
      </c>
      <c r="AS72" s="89">
        <f t="shared" si="12"/>
        <v>3710</v>
      </c>
      <c r="AT72" s="90">
        <f t="shared" si="13"/>
        <v>2.9444444444444446</v>
      </c>
      <c r="AU72" s="91">
        <f t="shared" si="27"/>
        <v>240</v>
      </c>
      <c r="AV72" s="91">
        <f t="shared" si="27"/>
        <v>8400</v>
      </c>
      <c r="AW72" s="92">
        <f t="shared" si="27"/>
        <v>6.666666666666667</v>
      </c>
      <c r="AX72" s="74">
        <v>305</v>
      </c>
      <c r="AY72" s="75" t="s">
        <v>175</v>
      </c>
      <c r="AZ72" s="76">
        <v>309</v>
      </c>
      <c r="BA72" s="38" t="s">
        <v>65</v>
      </c>
    </row>
    <row r="73" spans="1:53" ht="15.75" customHeight="1">
      <c r="A73" s="5">
        <v>12</v>
      </c>
      <c r="B73" s="38">
        <v>72</v>
      </c>
      <c r="C73" s="98">
        <v>46288</v>
      </c>
      <c r="D73" s="46" t="s">
        <v>225</v>
      </c>
      <c r="E73" s="46" t="s">
        <v>192</v>
      </c>
      <c r="F73" s="38" t="s">
        <v>239</v>
      </c>
      <c r="G73" s="59">
        <v>15.98</v>
      </c>
      <c r="H73" s="59">
        <v>12.04</v>
      </c>
      <c r="I73" s="59">
        <v>15.43</v>
      </c>
      <c r="J73" s="60">
        <f t="shared" si="28"/>
        <v>14.483333333333334</v>
      </c>
      <c r="K73" s="61">
        <v>46211</v>
      </c>
      <c r="L73" s="60">
        <v>70.28</v>
      </c>
      <c r="M73" s="61">
        <v>46288</v>
      </c>
      <c r="N73" s="60">
        <v>97.96</v>
      </c>
      <c r="O73" s="63">
        <v>38.666666666666664</v>
      </c>
      <c r="P73" s="63">
        <v>76</v>
      </c>
      <c r="Q73" s="63">
        <v>73</v>
      </c>
      <c r="R73" s="82">
        <v>8.1000000000000003E-2</v>
      </c>
      <c r="S73" s="63">
        <f t="shared" si="29"/>
        <v>77</v>
      </c>
      <c r="T73" s="59">
        <v>17.899999999999999</v>
      </c>
      <c r="U73" s="59">
        <v>37.299999999999997</v>
      </c>
      <c r="V73" s="59">
        <v>123.9</v>
      </c>
      <c r="W73" s="59">
        <v>120.6</v>
      </c>
      <c r="X73" s="59">
        <v>7.5</v>
      </c>
      <c r="Y73" s="63">
        <v>36.6</v>
      </c>
      <c r="Z73" s="63">
        <v>78.099999999999994</v>
      </c>
      <c r="AA73" s="59">
        <v>73.5</v>
      </c>
      <c r="AB73" s="59"/>
      <c r="AC73" s="59"/>
      <c r="AD73" s="59"/>
      <c r="AE73" s="59"/>
      <c r="AF73" s="59"/>
      <c r="AG73" s="59"/>
      <c r="AH73" s="59"/>
      <c r="AI73" s="99" t="s">
        <v>222</v>
      </c>
      <c r="AJ73" s="99" t="s">
        <v>222</v>
      </c>
      <c r="AK73" s="99" t="s">
        <v>223</v>
      </c>
      <c r="AL73" s="66"/>
      <c r="AM73" s="100"/>
      <c r="AN73" s="67"/>
      <c r="AO73" s="87"/>
      <c r="AP73" s="87">
        <f t="shared" si="10"/>
        <v>0</v>
      </c>
      <c r="AQ73" s="88">
        <f t="shared" si="11"/>
        <v>0</v>
      </c>
      <c r="AR73" s="89"/>
      <c r="AS73" s="89">
        <f t="shared" si="12"/>
        <v>0</v>
      </c>
      <c r="AT73" s="90">
        <f t="shared" si="13"/>
        <v>0</v>
      </c>
      <c r="AU73" s="91">
        <f t="shared" si="27"/>
        <v>0</v>
      </c>
      <c r="AV73" s="91">
        <f t="shared" si="27"/>
        <v>0</v>
      </c>
      <c r="AW73" s="92">
        <f t="shared" si="27"/>
        <v>0</v>
      </c>
      <c r="AX73" s="74"/>
      <c r="AY73" s="75" t="s">
        <v>175</v>
      </c>
      <c r="AZ73" s="76"/>
      <c r="BA73" s="38" t="s">
        <v>65</v>
      </c>
    </row>
    <row r="74" spans="1:53" ht="15.75" customHeight="1">
      <c r="A74" s="5">
        <v>12</v>
      </c>
      <c r="B74" s="38">
        <v>73</v>
      </c>
      <c r="C74" s="98">
        <v>46289</v>
      </c>
      <c r="D74" s="46" t="s">
        <v>225</v>
      </c>
      <c r="E74" s="46" t="s">
        <v>192</v>
      </c>
      <c r="F74" s="38" t="s">
        <v>239</v>
      </c>
      <c r="G74" s="59">
        <v>16.37</v>
      </c>
      <c r="H74" s="59">
        <v>12.55</v>
      </c>
      <c r="I74" s="59">
        <v>15</v>
      </c>
      <c r="J74" s="60">
        <f t="shared" si="28"/>
        <v>14.64</v>
      </c>
      <c r="K74" s="61">
        <v>46211</v>
      </c>
      <c r="L74" s="60">
        <v>70.28</v>
      </c>
      <c r="M74" s="61">
        <v>46289</v>
      </c>
      <c r="N74" s="60">
        <v>97.96</v>
      </c>
      <c r="O74" s="63">
        <v>38.666666666666664</v>
      </c>
      <c r="P74" s="63">
        <v>76</v>
      </c>
      <c r="Q74" s="63">
        <v>73</v>
      </c>
      <c r="R74" s="82">
        <v>8.1000000000000003E-2</v>
      </c>
      <c r="S74" s="63">
        <f t="shared" si="29"/>
        <v>78</v>
      </c>
      <c r="T74" s="59">
        <v>17.5</v>
      </c>
      <c r="U74" s="59">
        <v>36.700000000000003</v>
      </c>
      <c r="V74" s="59">
        <v>126.3</v>
      </c>
      <c r="W74" s="59">
        <v>118.8</v>
      </c>
      <c r="X74" s="59">
        <v>7.5</v>
      </c>
      <c r="Y74" s="63">
        <v>35</v>
      </c>
      <c r="Z74" s="63">
        <v>83.5</v>
      </c>
      <c r="AA74" s="59">
        <v>71</v>
      </c>
      <c r="AB74" s="59"/>
      <c r="AC74" s="59"/>
      <c r="AD74" s="59"/>
      <c r="AE74" s="59"/>
      <c r="AF74" s="59"/>
      <c r="AG74" s="59"/>
      <c r="AH74" s="59">
        <v>46.5</v>
      </c>
      <c r="AI74" s="99" t="s">
        <v>222</v>
      </c>
      <c r="AJ74" s="99" t="s">
        <v>222</v>
      </c>
      <c r="AK74" s="99" t="s">
        <v>223</v>
      </c>
      <c r="AL74" s="66">
        <v>34.880000000000003</v>
      </c>
      <c r="AM74" s="65"/>
      <c r="AN74" s="65"/>
      <c r="AO74" s="87">
        <v>339</v>
      </c>
      <c r="AP74" s="87">
        <f t="shared" si="10"/>
        <v>11865</v>
      </c>
      <c r="AQ74" s="88">
        <f t="shared" si="11"/>
        <v>9.4166666666666661</v>
      </c>
      <c r="AR74" s="89">
        <v>35</v>
      </c>
      <c r="AS74" s="89">
        <f t="shared" si="12"/>
        <v>1225</v>
      </c>
      <c r="AT74" s="90">
        <f t="shared" si="13"/>
        <v>0.97222222222222221</v>
      </c>
      <c r="AU74" s="91">
        <f t="shared" si="27"/>
        <v>374</v>
      </c>
      <c r="AV74" s="91">
        <f t="shared" si="27"/>
        <v>13090</v>
      </c>
      <c r="AW74" s="92">
        <f t="shared" si="27"/>
        <v>10.388888888888888</v>
      </c>
      <c r="AX74" s="74">
        <v>309</v>
      </c>
      <c r="AY74" s="75" t="s">
        <v>175</v>
      </c>
      <c r="AZ74" s="76">
        <v>318</v>
      </c>
      <c r="BA74" s="38" t="s">
        <v>65</v>
      </c>
    </row>
    <row r="75" spans="1:53" ht="15.75" customHeight="1">
      <c r="A75" s="5">
        <v>12</v>
      </c>
      <c r="B75" s="38">
        <v>74</v>
      </c>
      <c r="C75" s="93">
        <v>46290</v>
      </c>
      <c r="D75" s="46"/>
      <c r="E75" s="38"/>
      <c r="F75" s="38"/>
      <c r="G75" s="59"/>
      <c r="H75" s="59"/>
      <c r="I75" s="59"/>
      <c r="J75" s="60"/>
      <c r="K75" s="61"/>
      <c r="L75" s="60"/>
      <c r="M75" s="61"/>
      <c r="N75" s="60"/>
      <c r="O75" s="63"/>
      <c r="P75" s="63"/>
      <c r="Q75" s="63"/>
      <c r="R75" s="82"/>
      <c r="S75" s="63"/>
      <c r="T75" s="59"/>
      <c r="U75" s="59"/>
      <c r="V75" s="59"/>
      <c r="W75" s="59"/>
      <c r="X75" s="59"/>
      <c r="Y75" s="63"/>
      <c r="Z75" s="63"/>
      <c r="AA75" s="59"/>
      <c r="AB75" s="59"/>
      <c r="AC75" s="59"/>
      <c r="AD75" s="59"/>
      <c r="AE75" s="59"/>
      <c r="AF75" s="59"/>
      <c r="AG75" s="59"/>
      <c r="AH75" s="59"/>
      <c r="AI75" s="99"/>
      <c r="AJ75" s="99"/>
      <c r="AK75" s="99"/>
      <c r="AL75" s="66"/>
      <c r="AM75" s="65"/>
      <c r="AN75" s="65"/>
      <c r="AO75" s="87">
        <v>389</v>
      </c>
      <c r="AP75" s="87">
        <f t="shared" si="10"/>
        <v>13615</v>
      </c>
      <c r="AQ75" s="88">
        <f t="shared" si="11"/>
        <v>10.805555555555555</v>
      </c>
      <c r="AR75" s="89">
        <v>24</v>
      </c>
      <c r="AS75" s="89">
        <f t="shared" si="12"/>
        <v>840</v>
      </c>
      <c r="AT75" s="90">
        <f t="shared" si="13"/>
        <v>0.66666666666666663</v>
      </c>
      <c r="AU75" s="91">
        <f t="shared" si="27"/>
        <v>413</v>
      </c>
      <c r="AV75" s="91">
        <f t="shared" si="27"/>
        <v>14455</v>
      </c>
      <c r="AW75" s="92">
        <f t="shared" si="27"/>
        <v>11.472222222222221</v>
      </c>
      <c r="AX75" s="74">
        <v>318</v>
      </c>
      <c r="AY75" s="75" t="s">
        <v>175</v>
      </c>
      <c r="AZ75" s="76">
        <v>329</v>
      </c>
      <c r="BA75" s="38" t="s">
        <v>65</v>
      </c>
    </row>
    <row r="76" spans="1:53" ht="15.75" customHeight="1">
      <c r="A76" s="5">
        <v>12</v>
      </c>
      <c r="B76" s="38">
        <v>75</v>
      </c>
      <c r="C76" s="93">
        <v>46291</v>
      </c>
      <c r="D76" s="46"/>
      <c r="E76" s="38"/>
      <c r="F76" s="38"/>
      <c r="G76" s="59"/>
      <c r="H76" s="59"/>
      <c r="I76" s="59"/>
      <c r="J76" s="60"/>
      <c r="K76" s="61"/>
      <c r="L76" s="60"/>
      <c r="M76" s="61"/>
      <c r="N76" s="60"/>
      <c r="O76" s="63"/>
      <c r="P76" s="63"/>
      <c r="Q76" s="63"/>
      <c r="R76" s="82"/>
      <c r="S76" s="63"/>
      <c r="T76" s="59"/>
      <c r="U76" s="59"/>
      <c r="V76" s="59"/>
      <c r="W76" s="59"/>
      <c r="X76" s="59"/>
      <c r="Y76" s="63"/>
      <c r="Z76" s="63"/>
      <c r="AA76" s="59"/>
      <c r="AB76" s="59"/>
      <c r="AC76" s="59"/>
      <c r="AD76" s="59"/>
      <c r="AE76" s="59"/>
      <c r="AF76" s="59"/>
      <c r="AG76" s="59"/>
      <c r="AH76" s="59"/>
      <c r="AI76" s="99"/>
      <c r="AJ76" s="99"/>
      <c r="AK76" s="99"/>
      <c r="AL76" s="66"/>
      <c r="AM76" s="65"/>
      <c r="AN76" s="65"/>
      <c r="AO76" s="87">
        <v>239</v>
      </c>
      <c r="AP76" s="87">
        <f t="shared" si="10"/>
        <v>8365</v>
      </c>
      <c r="AQ76" s="88">
        <f t="shared" si="11"/>
        <v>6.6388888888888893</v>
      </c>
      <c r="AR76" s="89">
        <v>34</v>
      </c>
      <c r="AS76" s="89">
        <f t="shared" si="12"/>
        <v>1190</v>
      </c>
      <c r="AT76" s="90">
        <f t="shared" si="13"/>
        <v>0.94444444444444442</v>
      </c>
      <c r="AU76" s="91">
        <f t="shared" si="27"/>
        <v>273</v>
      </c>
      <c r="AV76" s="91">
        <f t="shared" si="27"/>
        <v>9555</v>
      </c>
      <c r="AW76" s="92">
        <f t="shared" si="27"/>
        <v>7.5833333333333339</v>
      </c>
      <c r="AX76" s="74">
        <v>329</v>
      </c>
      <c r="AY76" s="75" t="s">
        <v>175</v>
      </c>
      <c r="AZ76" s="76">
        <v>335</v>
      </c>
      <c r="BA76" s="38" t="s">
        <v>65</v>
      </c>
    </row>
    <row r="77" spans="1:53" ht="15.75" customHeight="1">
      <c r="A77" s="5">
        <v>12</v>
      </c>
      <c r="B77" s="38">
        <v>76</v>
      </c>
      <c r="C77" s="98">
        <v>46293</v>
      </c>
      <c r="D77" s="46"/>
      <c r="E77" s="38"/>
      <c r="F77" s="38"/>
      <c r="G77" s="60">
        <v>13.66</v>
      </c>
      <c r="H77" s="60">
        <v>10.7</v>
      </c>
      <c r="I77" s="60">
        <v>14.87</v>
      </c>
      <c r="J77" s="60"/>
      <c r="K77" s="61"/>
      <c r="L77" s="60"/>
      <c r="M77" s="78"/>
      <c r="N77" s="60">
        <v>94.99</v>
      </c>
      <c r="O77" s="63"/>
      <c r="P77" s="63"/>
      <c r="Q77" s="63"/>
      <c r="R77" s="63"/>
      <c r="S77" s="63"/>
      <c r="T77" s="59">
        <v>16.27</v>
      </c>
      <c r="U77" s="63">
        <v>36</v>
      </c>
      <c r="V77" s="59">
        <v>123.7</v>
      </c>
      <c r="W77" s="59">
        <v>119.1</v>
      </c>
      <c r="X77" s="59">
        <v>7.2</v>
      </c>
      <c r="Y77" s="63">
        <v>34.299999999999997</v>
      </c>
      <c r="Z77" s="63">
        <v>79.099999999999994</v>
      </c>
      <c r="AA77" s="59">
        <v>67.7</v>
      </c>
      <c r="AB77" s="59"/>
      <c r="AC77" s="59"/>
      <c r="AD77" s="59"/>
      <c r="AE77" s="59"/>
      <c r="AF77" s="59"/>
      <c r="AG77" s="59"/>
      <c r="AH77" s="59">
        <v>52.4</v>
      </c>
      <c r="AI77" s="99" t="s">
        <v>222</v>
      </c>
      <c r="AJ77" s="99" t="s">
        <v>222</v>
      </c>
      <c r="AK77" s="99" t="s">
        <v>222</v>
      </c>
      <c r="AL77" s="66">
        <v>39.700000000000003</v>
      </c>
      <c r="AM77" s="65"/>
      <c r="AN77" s="65"/>
      <c r="AO77" s="87">
        <v>130</v>
      </c>
      <c r="AP77" s="87">
        <f t="shared" si="10"/>
        <v>4550</v>
      </c>
      <c r="AQ77" s="88">
        <f t="shared" si="11"/>
        <v>3.6111111111111112</v>
      </c>
      <c r="AR77" s="89">
        <v>10</v>
      </c>
      <c r="AS77" s="89">
        <f t="shared" si="12"/>
        <v>350</v>
      </c>
      <c r="AT77" s="90">
        <f t="shared" si="13"/>
        <v>0.27777777777777779</v>
      </c>
      <c r="AU77" s="91">
        <f t="shared" si="27"/>
        <v>140</v>
      </c>
      <c r="AV77" s="91">
        <f t="shared" si="27"/>
        <v>4900</v>
      </c>
      <c r="AW77" s="92">
        <f t="shared" si="27"/>
        <v>3.8888888888888888</v>
      </c>
      <c r="AX77" s="74">
        <v>336</v>
      </c>
      <c r="AY77" s="75" t="s">
        <v>175</v>
      </c>
      <c r="AZ77" s="76">
        <v>339</v>
      </c>
      <c r="BA77" s="38" t="s">
        <v>65</v>
      </c>
    </row>
    <row r="78" spans="1:53" ht="15.75" customHeight="1">
      <c r="A78" s="17" t="s">
        <v>120</v>
      </c>
      <c r="B78" s="38">
        <v>77</v>
      </c>
      <c r="C78" s="93">
        <v>46293</v>
      </c>
      <c r="D78" s="46" t="s">
        <v>228</v>
      </c>
      <c r="E78" s="38">
        <v>2</v>
      </c>
      <c r="F78" s="38" t="s">
        <v>190</v>
      </c>
      <c r="G78" s="60"/>
      <c r="H78" s="60"/>
      <c r="I78" s="60"/>
      <c r="J78" s="60"/>
      <c r="K78" s="61"/>
      <c r="L78" s="60"/>
      <c r="M78" s="78"/>
      <c r="N78" s="60">
        <v>94.99</v>
      </c>
      <c r="O78" s="63"/>
      <c r="P78" s="63"/>
      <c r="Q78" s="63"/>
      <c r="R78" s="63"/>
      <c r="S78" s="63"/>
      <c r="T78" s="59"/>
      <c r="U78" s="63"/>
      <c r="V78" s="59"/>
      <c r="W78" s="59"/>
      <c r="X78" s="59"/>
      <c r="Y78" s="63"/>
      <c r="Z78" s="63"/>
      <c r="AA78" s="59"/>
      <c r="AB78" s="59"/>
      <c r="AC78" s="59"/>
      <c r="AD78" s="59"/>
      <c r="AE78" s="59"/>
      <c r="AF78" s="59"/>
      <c r="AG78" s="59"/>
      <c r="AH78" s="59"/>
      <c r="AI78" s="99"/>
      <c r="AJ78" s="99"/>
      <c r="AK78" s="99"/>
      <c r="AL78" s="66"/>
      <c r="AM78" s="65"/>
      <c r="AN78" s="65"/>
      <c r="AO78" s="87">
        <v>198</v>
      </c>
      <c r="AP78" s="87">
        <f t="shared" si="10"/>
        <v>6930</v>
      </c>
      <c r="AQ78" s="88">
        <f t="shared" si="11"/>
        <v>5.5</v>
      </c>
      <c r="AR78" s="89">
        <v>5</v>
      </c>
      <c r="AS78" s="89">
        <f t="shared" si="12"/>
        <v>175</v>
      </c>
      <c r="AT78" s="90">
        <f t="shared" si="13"/>
        <v>0.1388888888888889</v>
      </c>
      <c r="AU78" s="91">
        <f t="shared" si="27"/>
        <v>203</v>
      </c>
      <c r="AV78" s="91">
        <f t="shared" si="27"/>
        <v>7105</v>
      </c>
      <c r="AW78" s="92">
        <f t="shared" si="27"/>
        <v>5.6388888888888893</v>
      </c>
      <c r="AX78" s="74">
        <v>339</v>
      </c>
      <c r="AY78" s="75" t="s">
        <v>175</v>
      </c>
      <c r="AZ78" s="76">
        <v>345</v>
      </c>
      <c r="BA78" s="38" t="s">
        <v>65</v>
      </c>
    </row>
    <row r="79" spans="1:53" ht="15.75" customHeight="1">
      <c r="A79" s="17" t="s">
        <v>120</v>
      </c>
      <c r="B79" s="38">
        <v>78</v>
      </c>
      <c r="C79" s="98">
        <v>46294</v>
      </c>
      <c r="D79" s="38"/>
      <c r="E79" s="38"/>
      <c r="F79" s="38"/>
      <c r="G79" s="60"/>
      <c r="H79" s="60"/>
      <c r="I79" s="60"/>
      <c r="J79" s="60"/>
      <c r="K79" s="61"/>
      <c r="L79" s="60"/>
      <c r="M79" s="61"/>
      <c r="N79" s="60"/>
      <c r="O79" s="63"/>
      <c r="P79" s="63"/>
      <c r="Q79" s="63"/>
      <c r="R79" s="63"/>
      <c r="S79" s="63"/>
      <c r="T79" s="59"/>
      <c r="U79" s="63"/>
      <c r="V79" s="59"/>
      <c r="W79" s="59"/>
      <c r="X79" s="59"/>
      <c r="Y79" s="63"/>
      <c r="Z79" s="63"/>
      <c r="AA79" s="59"/>
      <c r="AB79" s="59"/>
      <c r="AC79" s="59"/>
      <c r="AD79" s="59"/>
      <c r="AE79" s="59"/>
      <c r="AF79" s="59"/>
      <c r="AG79" s="59"/>
      <c r="AH79" s="59"/>
      <c r="AI79" s="99" t="s">
        <v>222</v>
      </c>
      <c r="AJ79" s="99" t="s">
        <v>222</v>
      </c>
      <c r="AK79" s="99" t="s">
        <v>222</v>
      </c>
      <c r="AL79" s="66">
        <v>30.8</v>
      </c>
      <c r="AM79" s="65"/>
      <c r="AN79" s="65"/>
      <c r="AO79" s="87">
        <v>101</v>
      </c>
      <c r="AP79" s="87">
        <f t="shared" si="10"/>
        <v>3535</v>
      </c>
      <c r="AQ79" s="88">
        <f t="shared" si="11"/>
        <v>2.8055555555555554</v>
      </c>
      <c r="AR79" s="89">
        <v>15</v>
      </c>
      <c r="AS79" s="89">
        <f t="shared" si="12"/>
        <v>525</v>
      </c>
      <c r="AT79" s="90">
        <f>AS79/1260</f>
        <v>0.41666666666666669</v>
      </c>
      <c r="AU79" s="91">
        <f t="shared" si="27"/>
        <v>116</v>
      </c>
      <c r="AV79" s="91">
        <f t="shared" si="27"/>
        <v>4060</v>
      </c>
      <c r="AW79" s="92">
        <f t="shared" si="27"/>
        <v>3.2222222222222219</v>
      </c>
      <c r="AX79" s="74">
        <v>345</v>
      </c>
      <c r="AY79" s="75" t="s">
        <v>175</v>
      </c>
      <c r="AZ79" s="76">
        <v>348</v>
      </c>
      <c r="BA79" s="38" t="s">
        <v>65</v>
      </c>
    </row>
    <row r="80" spans="1:53" s="103" customFormat="1" ht="15" customHeight="1">
      <c r="A80" s="17" t="s">
        <v>120</v>
      </c>
      <c r="B80" s="38">
        <v>79</v>
      </c>
      <c r="C80" s="98">
        <v>46303</v>
      </c>
      <c r="D80" s="38">
        <v>2</v>
      </c>
      <c r="E80" s="38">
        <v>2</v>
      </c>
      <c r="F80" s="38" t="s">
        <v>193</v>
      </c>
      <c r="G80" s="60">
        <v>13.22</v>
      </c>
      <c r="H80" s="60">
        <v>13.12</v>
      </c>
      <c r="I80" s="60">
        <v>13.76</v>
      </c>
      <c r="J80" s="60">
        <f t="shared" ref="J80:J81" si="30">AVERAGE(G80:I80)</f>
        <v>13.366666666666667</v>
      </c>
      <c r="K80" s="95">
        <v>46254</v>
      </c>
      <c r="L80" s="60">
        <v>72.430000000000007</v>
      </c>
      <c r="M80" s="95">
        <v>46303</v>
      </c>
      <c r="N80" s="60">
        <v>94.99</v>
      </c>
      <c r="O80" s="63">
        <v>39</v>
      </c>
      <c r="P80" s="63">
        <v>31</v>
      </c>
      <c r="Q80" s="63">
        <v>80</v>
      </c>
      <c r="R80" s="82">
        <v>6.6000000000000003E-2</v>
      </c>
      <c r="S80" s="63">
        <f t="shared" ref="S80:S86" si="31">M80-K80</f>
        <v>49</v>
      </c>
      <c r="T80" s="59">
        <v>13.68</v>
      </c>
      <c r="U80" s="63">
        <v>34.5</v>
      </c>
      <c r="V80" s="489"/>
      <c r="W80" s="489"/>
      <c r="X80" s="489"/>
      <c r="Y80" s="489"/>
      <c r="Z80" s="489"/>
      <c r="AA80" s="489"/>
      <c r="AB80" s="59">
        <v>116.2</v>
      </c>
      <c r="AC80" s="59">
        <v>101.1</v>
      </c>
      <c r="AD80" s="59">
        <v>9</v>
      </c>
      <c r="AE80" s="59">
        <v>41</v>
      </c>
      <c r="AF80" s="59">
        <v>81.8</v>
      </c>
      <c r="AG80" s="59">
        <v>75.5</v>
      </c>
      <c r="AH80" s="59">
        <v>40.1</v>
      </c>
      <c r="AI80" s="99" t="s">
        <v>222</v>
      </c>
      <c r="AJ80" s="99" t="s">
        <v>222</v>
      </c>
      <c r="AK80" s="99" t="s">
        <v>222</v>
      </c>
      <c r="AL80" s="67">
        <v>36</v>
      </c>
      <c r="AM80" s="67"/>
      <c r="AN80" s="67"/>
      <c r="AO80" s="67">
        <v>40</v>
      </c>
      <c r="AP80" s="67">
        <f t="shared" si="10"/>
        <v>1400</v>
      </c>
      <c r="AQ80" s="88">
        <f t="shared" si="11"/>
        <v>1.1111111111111112</v>
      </c>
      <c r="AR80" s="89">
        <v>1</v>
      </c>
      <c r="AS80" s="89">
        <f t="shared" si="12"/>
        <v>35</v>
      </c>
      <c r="AT80" s="90">
        <f>AS80/1260</f>
        <v>2.7777777777777776E-2</v>
      </c>
      <c r="AU80" s="91">
        <f t="shared" si="27"/>
        <v>41</v>
      </c>
      <c r="AV80" s="91">
        <f t="shared" si="27"/>
        <v>1435</v>
      </c>
      <c r="AW80" s="92">
        <f t="shared" si="27"/>
        <v>1.1388888888888888</v>
      </c>
      <c r="AX80" s="74">
        <v>348</v>
      </c>
      <c r="AY80" s="75"/>
      <c r="AZ80" s="76">
        <v>349</v>
      </c>
      <c r="BA80" s="38" t="s">
        <v>65</v>
      </c>
    </row>
    <row r="81" spans="1:53">
      <c r="A81" s="17" t="s">
        <v>120</v>
      </c>
      <c r="B81" s="38">
        <v>80</v>
      </c>
      <c r="C81" s="98">
        <v>46304</v>
      </c>
      <c r="D81" s="46" t="s">
        <v>228</v>
      </c>
      <c r="E81" s="38">
        <v>2</v>
      </c>
      <c r="F81" s="38" t="s">
        <v>190</v>
      </c>
      <c r="G81" s="60">
        <v>14.58</v>
      </c>
      <c r="H81" s="60">
        <v>13.9</v>
      </c>
      <c r="I81" s="60">
        <v>16.649999999999999</v>
      </c>
      <c r="J81" s="60">
        <f t="shared" si="30"/>
        <v>15.043333333333331</v>
      </c>
      <c r="K81" s="95">
        <v>46254</v>
      </c>
      <c r="L81" s="60">
        <v>72.430000000000007</v>
      </c>
      <c r="M81" s="78">
        <v>46304</v>
      </c>
      <c r="N81" s="60">
        <v>94.99</v>
      </c>
      <c r="O81" s="63">
        <v>39</v>
      </c>
      <c r="P81" s="63">
        <v>31</v>
      </c>
      <c r="Q81" s="63">
        <v>80</v>
      </c>
      <c r="R81" s="82">
        <v>6.6000000000000003E-2</v>
      </c>
      <c r="S81" s="63">
        <f t="shared" si="31"/>
        <v>50</v>
      </c>
      <c r="T81" s="59">
        <v>25.7</v>
      </c>
      <c r="U81" s="63">
        <v>34.299999999999997</v>
      </c>
      <c r="V81" s="489"/>
      <c r="W81" s="489"/>
      <c r="X81" s="489"/>
      <c r="Y81" s="489"/>
      <c r="Z81" s="489"/>
      <c r="AA81" s="489"/>
      <c r="AB81" s="59">
        <v>115.7</v>
      </c>
      <c r="AC81" s="59">
        <v>112.8</v>
      </c>
      <c r="AD81" s="59">
        <v>10</v>
      </c>
      <c r="AE81" s="59">
        <v>40.200000000000003</v>
      </c>
      <c r="AF81" s="59">
        <v>78.8</v>
      </c>
      <c r="AG81" s="59">
        <v>11</v>
      </c>
      <c r="AH81" s="59"/>
      <c r="AI81" s="99"/>
      <c r="AJ81" s="99"/>
      <c r="AK81" s="99"/>
      <c r="AL81" s="67"/>
      <c r="AM81" s="100"/>
      <c r="AN81" s="67"/>
      <c r="AO81" s="67">
        <v>217</v>
      </c>
      <c r="AP81" s="67">
        <f t="shared" si="10"/>
        <v>7595</v>
      </c>
      <c r="AQ81" s="490">
        <f t="shared" si="11"/>
        <v>6.0277777777777777</v>
      </c>
      <c r="AR81" s="81">
        <v>115</v>
      </c>
      <c r="AS81" s="81">
        <f t="shared" si="12"/>
        <v>4025</v>
      </c>
      <c r="AT81" s="241">
        <f>AS81/1260</f>
        <v>3.1944444444444446</v>
      </c>
      <c r="AU81" s="91">
        <f t="shared" ref="AU81" si="32">AO81+AR81</f>
        <v>332</v>
      </c>
      <c r="AV81" s="91">
        <f t="shared" ref="AV81" si="33">AP81+AS81</f>
        <v>11620</v>
      </c>
      <c r="AW81" s="92">
        <f t="shared" ref="AW81" si="34">AQ81+AT81</f>
        <v>9.2222222222222214</v>
      </c>
      <c r="AX81" s="74"/>
      <c r="AY81" s="75"/>
      <c r="AZ81" s="76"/>
      <c r="BA81" s="38" t="s">
        <v>65</v>
      </c>
    </row>
    <row r="82" spans="1:53">
      <c r="A82" s="17" t="s">
        <v>120</v>
      </c>
      <c r="B82" s="38">
        <v>81</v>
      </c>
      <c r="C82" s="98">
        <v>46305</v>
      </c>
      <c r="D82" s="38"/>
      <c r="E82" s="38"/>
      <c r="F82" s="38"/>
      <c r="G82" s="489"/>
      <c r="H82" s="489"/>
      <c r="I82" s="489"/>
      <c r="J82" s="489"/>
      <c r="K82" s="95">
        <v>46254</v>
      </c>
      <c r="L82" s="60">
        <v>72.430000000000007</v>
      </c>
      <c r="M82" s="95">
        <v>46305</v>
      </c>
      <c r="N82" s="60">
        <v>94.99</v>
      </c>
      <c r="O82" s="63">
        <v>39</v>
      </c>
      <c r="P82" s="63">
        <v>31</v>
      </c>
      <c r="Q82" s="63">
        <v>80</v>
      </c>
      <c r="R82" s="82">
        <v>6.6000000000000003E-2</v>
      </c>
      <c r="S82" s="63">
        <f t="shared" si="31"/>
        <v>51</v>
      </c>
      <c r="T82" s="489"/>
      <c r="U82" s="489"/>
      <c r="V82" s="489"/>
      <c r="W82" s="489"/>
      <c r="X82" s="489"/>
      <c r="Y82" s="489"/>
      <c r="Z82" s="489"/>
      <c r="AA82" s="489"/>
      <c r="AB82" s="489"/>
      <c r="AC82" s="489"/>
      <c r="AD82" s="489"/>
      <c r="AE82" s="489"/>
      <c r="AF82" s="489"/>
      <c r="AG82" s="489"/>
      <c r="AH82" s="489"/>
      <c r="AI82" s="99" t="s">
        <v>222</v>
      </c>
      <c r="AJ82" s="99" t="s">
        <v>222</v>
      </c>
      <c r="AK82" s="99" t="s">
        <v>223</v>
      </c>
      <c r="AL82" s="67">
        <v>28</v>
      </c>
      <c r="AM82" s="100">
        <v>0.90380000000000005</v>
      </c>
      <c r="AN82" s="67" t="s">
        <v>234</v>
      </c>
      <c r="AO82" s="100"/>
      <c r="AP82" s="67"/>
      <c r="AQ82" s="80"/>
      <c r="AR82" s="81"/>
      <c r="AS82" s="81"/>
      <c r="AT82" s="81"/>
      <c r="AU82" s="38"/>
      <c r="AV82" s="38"/>
      <c r="AW82" s="38"/>
      <c r="AX82" s="74"/>
      <c r="AY82" s="75"/>
      <c r="AZ82" s="76"/>
      <c r="BA82" s="38" t="s">
        <v>65</v>
      </c>
    </row>
    <row r="83" spans="1:53">
      <c r="A83" s="17" t="s">
        <v>120</v>
      </c>
      <c r="B83" s="38">
        <v>82</v>
      </c>
      <c r="C83" s="98">
        <v>46307</v>
      </c>
      <c r="D83" s="38"/>
      <c r="E83" s="38"/>
      <c r="F83" s="38"/>
      <c r="G83" s="60">
        <v>18.420000000000002</v>
      </c>
      <c r="H83" s="60">
        <v>16.670000000000002</v>
      </c>
      <c r="I83" s="60">
        <v>17.66</v>
      </c>
      <c r="J83" s="60">
        <f t="shared" ref="J83:J86" si="35">AVERAGE(G83:I83)</f>
        <v>17.583333333333332</v>
      </c>
      <c r="K83" s="95">
        <v>46254</v>
      </c>
      <c r="L83" s="60">
        <v>72.430000000000007</v>
      </c>
      <c r="M83" s="95">
        <v>46307</v>
      </c>
      <c r="N83" s="60">
        <v>94.99</v>
      </c>
      <c r="O83" s="63">
        <v>39</v>
      </c>
      <c r="P83" s="63">
        <v>31</v>
      </c>
      <c r="Q83" s="63">
        <v>80</v>
      </c>
      <c r="R83" s="82">
        <v>6.6000000000000003E-2</v>
      </c>
      <c r="S83" s="63">
        <f t="shared" si="31"/>
        <v>53</v>
      </c>
      <c r="T83" s="59">
        <v>18.329999999999998</v>
      </c>
      <c r="U83" s="63">
        <v>35.4</v>
      </c>
      <c r="V83" s="489"/>
      <c r="W83" s="489"/>
      <c r="X83" s="489"/>
      <c r="Y83" s="489"/>
      <c r="Z83" s="489"/>
      <c r="AA83" s="489"/>
      <c r="AB83" s="59">
        <v>121</v>
      </c>
      <c r="AC83" s="59">
        <v>114.6</v>
      </c>
      <c r="AD83" s="59">
        <v>9</v>
      </c>
      <c r="AE83" s="59">
        <v>38.5</v>
      </c>
      <c r="AF83" s="59">
        <v>79.2</v>
      </c>
      <c r="AG83" s="59">
        <v>76.2</v>
      </c>
      <c r="AH83" s="59">
        <v>45.9</v>
      </c>
      <c r="AI83" s="99" t="s">
        <v>222</v>
      </c>
      <c r="AJ83" s="99" t="s">
        <v>222</v>
      </c>
      <c r="AK83" s="99" t="s">
        <v>222</v>
      </c>
      <c r="AL83" s="67"/>
      <c r="AM83" s="65"/>
      <c r="AN83" s="65"/>
      <c r="AO83" s="65"/>
      <c r="AP83" s="65"/>
      <c r="AQ83" s="80"/>
      <c r="AR83" s="81"/>
      <c r="AS83" s="81"/>
      <c r="AT83" s="81"/>
      <c r="AU83" s="38"/>
      <c r="AV83" s="38"/>
      <c r="AW83" s="38"/>
      <c r="AX83" s="74"/>
      <c r="AY83" s="75"/>
      <c r="AZ83" s="76"/>
      <c r="BA83" s="38" t="s">
        <v>65</v>
      </c>
    </row>
    <row r="84" spans="1:53">
      <c r="A84" s="17" t="s">
        <v>120</v>
      </c>
      <c r="B84" s="38">
        <v>83</v>
      </c>
      <c r="C84" s="98">
        <v>46308</v>
      </c>
      <c r="D84" s="38"/>
      <c r="E84" s="38"/>
      <c r="F84" s="38"/>
      <c r="G84" s="60">
        <v>14.18</v>
      </c>
      <c r="H84" s="60">
        <v>10.95</v>
      </c>
      <c r="I84" s="60">
        <v>14.2</v>
      </c>
      <c r="J84" s="60">
        <f t="shared" si="35"/>
        <v>13.11</v>
      </c>
      <c r="K84" s="61">
        <v>46254</v>
      </c>
      <c r="L84" s="60">
        <v>72.430000000000007</v>
      </c>
      <c r="M84" s="95">
        <v>46308</v>
      </c>
      <c r="N84" s="60">
        <v>94.99</v>
      </c>
      <c r="O84" s="63">
        <v>39</v>
      </c>
      <c r="P84" s="63">
        <v>31</v>
      </c>
      <c r="Q84" s="63">
        <v>80</v>
      </c>
      <c r="R84" s="82">
        <v>6.6000000000000003E-2</v>
      </c>
      <c r="S84" s="63">
        <f t="shared" si="31"/>
        <v>54</v>
      </c>
      <c r="T84" s="59">
        <v>14.1</v>
      </c>
      <c r="U84" s="63">
        <v>35.299999999999997</v>
      </c>
      <c r="V84" s="489"/>
      <c r="W84" s="489"/>
      <c r="X84" s="489"/>
      <c r="Y84" s="489"/>
      <c r="Z84" s="489"/>
      <c r="AA84" s="489"/>
      <c r="AB84" s="59">
        <v>121.9</v>
      </c>
      <c r="AC84" s="59">
        <v>117</v>
      </c>
      <c r="AD84" s="59">
        <v>9</v>
      </c>
      <c r="AE84" s="59">
        <v>37</v>
      </c>
      <c r="AF84" s="59">
        <v>79</v>
      </c>
      <c r="AG84" s="59">
        <v>72.599999999999994</v>
      </c>
      <c r="AH84" s="59">
        <v>48.6</v>
      </c>
      <c r="AI84" s="99" t="s">
        <v>222</v>
      </c>
      <c r="AJ84" s="99" t="s">
        <v>222</v>
      </c>
      <c r="AK84" s="99" t="s">
        <v>223</v>
      </c>
      <c r="AL84" s="67">
        <v>36</v>
      </c>
      <c r="AM84" s="65">
        <v>0.93189999999999995</v>
      </c>
      <c r="AN84" s="65" t="s">
        <v>815</v>
      </c>
      <c r="AO84" s="65"/>
      <c r="AP84" s="65"/>
      <c r="AQ84" s="80"/>
      <c r="AR84" s="81"/>
      <c r="AS84" s="81"/>
      <c r="AT84" s="81"/>
      <c r="AU84" s="38"/>
      <c r="AV84" s="38"/>
      <c r="AW84" s="38"/>
      <c r="AX84" s="74"/>
      <c r="AY84" s="75"/>
      <c r="AZ84" s="76"/>
      <c r="BA84" s="38" t="s">
        <v>65</v>
      </c>
    </row>
    <row r="85" spans="1:53">
      <c r="A85" s="17" t="s">
        <v>120</v>
      </c>
      <c r="B85" s="38">
        <v>84</v>
      </c>
      <c r="C85" s="98">
        <v>46309</v>
      </c>
      <c r="D85" s="38"/>
      <c r="E85" s="38"/>
      <c r="F85" s="38"/>
      <c r="G85" s="60">
        <v>16.59</v>
      </c>
      <c r="H85" s="60">
        <v>14.74</v>
      </c>
      <c r="I85" s="60">
        <v>16.010000000000002</v>
      </c>
      <c r="J85" s="60">
        <f t="shared" si="35"/>
        <v>15.780000000000001</v>
      </c>
      <c r="K85" s="61">
        <v>46254</v>
      </c>
      <c r="L85" s="60">
        <v>72.430000000000007</v>
      </c>
      <c r="M85" s="95">
        <v>46309</v>
      </c>
      <c r="N85" s="60">
        <v>94.99</v>
      </c>
      <c r="O85" s="63">
        <v>39</v>
      </c>
      <c r="P85" s="63">
        <v>31</v>
      </c>
      <c r="Q85" s="63">
        <v>80</v>
      </c>
      <c r="R85" s="82">
        <v>6.6000000000000003E-2</v>
      </c>
      <c r="S85" s="63">
        <f t="shared" si="31"/>
        <v>55</v>
      </c>
      <c r="T85" s="59">
        <v>17.600000000000001</v>
      </c>
      <c r="U85" s="63">
        <v>36.700000000000003</v>
      </c>
      <c r="V85" s="489"/>
      <c r="W85" s="489"/>
      <c r="X85" s="489"/>
      <c r="Y85" s="489"/>
      <c r="Z85" s="489"/>
      <c r="AA85" s="489"/>
      <c r="AB85" s="59">
        <v>121.8</v>
      </c>
      <c r="AC85" s="59">
        <v>116.8</v>
      </c>
      <c r="AD85" s="59">
        <v>9</v>
      </c>
      <c r="AE85" s="59">
        <v>36.299999999999997</v>
      </c>
      <c r="AF85" s="59">
        <v>79.5</v>
      </c>
      <c r="AG85" s="59">
        <v>70.8</v>
      </c>
      <c r="AH85" s="59">
        <v>47.8</v>
      </c>
      <c r="AI85" s="99" t="s">
        <v>222</v>
      </c>
      <c r="AJ85" s="99" t="s">
        <v>222</v>
      </c>
      <c r="AK85" s="99" t="s">
        <v>223</v>
      </c>
      <c r="AL85" s="67">
        <v>35.200000000000003</v>
      </c>
      <c r="AM85" s="100">
        <v>0.38200000000000001</v>
      </c>
      <c r="AN85" s="65" t="s">
        <v>816</v>
      </c>
      <c r="AO85" s="100"/>
      <c r="AP85" s="65"/>
      <c r="AQ85" s="80"/>
      <c r="AR85" s="81"/>
      <c r="AS85" s="81"/>
      <c r="AT85" s="81"/>
      <c r="AU85" s="38"/>
      <c r="AV85" s="38"/>
      <c r="AW85" s="38"/>
      <c r="AX85" s="74"/>
      <c r="AY85" s="75"/>
      <c r="AZ85" s="76"/>
      <c r="BA85" s="38" t="s">
        <v>65</v>
      </c>
    </row>
    <row r="86" spans="1:53">
      <c r="A86" s="17" t="s">
        <v>120</v>
      </c>
      <c r="B86" s="38">
        <v>85</v>
      </c>
      <c r="C86" s="98">
        <v>46310</v>
      </c>
      <c r="D86" s="38"/>
      <c r="E86" s="38"/>
      <c r="F86" s="38"/>
      <c r="G86" s="60">
        <v>18.989999999999998</v>
      </c>
      <c r="H86" s="60">
        <v>15.39</v>
      </c>
      <c r="I86" s="60">
        <v>17.7</v>
      </c>
      <c r="J86" s="60">
        <f t="shared" si="35"/>
        <v>17.36</v>
      </c>
      <c r="K86" s="61">
        <v>46254</v>
      </c>
      <c r="L86" s="60">
        <v>72.430000000000007</v>
      </c>
      <c r="M86" s="95">
        <v>46310</v>
      </c>
      <c r="N86" s="60">
        <v>94.99</v>
      </c>
      <c r="O86" s="63">
        <v>39</v>
      </c>
      <c r="P86" s="63">
        <v>31</v>
      </c>
      <c r="Q86" s="63">
        <v>80</v>
      </c>
      <c r="R86" s="82">
        <v>6.6000000000000003E-2</v>
      </c>
      <c r="S86" s="63">
        <f t="shared" si="31"/>
        <v>56</v>
      </c>
      <c r="T86" s="59">
        <v>19.5</v>
      </c>
      <c r="U86" s="63">
        <v>36</v>
      </c>
      <c r="V86" s="489"/>
      <c r="W86" s="489"/>
      <c r="X86" s="489"/>
      <c r="Y86" s="489"/>
      <c r="Z86" s="489"/>
      <c r="AA86" s="489"/>
      <c r="AB86" s="59">
        <v>121.9</v>
      </c>
      <c r="AC86" s="59">
        <v>116.7</v>
      </c>
      <c r="AD86" s="59">
        <v>8.8000000000000007</v>
      </c>
      <c r="AE86" s="63">
        <v>36.799999999999997</v>
      </c>
      <c r="AF86" s="63">
        <v>79.099999999999994</v>
      </c>
      <c r="AG86" s="59">
        <v>71.400000000000006</v>
      </c>
      <c r="AH86" s="59">
        <v>48.7</v>
      </c>
      <c r="AI86" s="99" t="s">
        <v>222</v>
      </c>
      <c r="AJ86" s="99" t="s">
        <v>222</v>
      </c>
      <c r="AK86" s="99" t="s">
        <v>223</v>
      </c>
      <c r="AL86" s="67">
        <v>40.200000000000003</v>
      </c>
      <c r="AM86" s="100">
        <v>1.1019000000000001</v>
      </c>
      <c r="AN86" s="67" t="s">
        <v>234</v>
      </c>
      <c r="AO86" s="100"/>
      <c r="AP86" s="67"/>
      <c r="AQ86" s="80"/>
      <c r="AR86" s="81"/>
      <c r="AS86" s="81"/>
      <c r="AT86" s="81"/>
      <c r="AU86" s="38"/>
      <c r="AV86" s="38"/>
      <c r="AW86" s="38"/>
      <c r="AX86" s="74"/>
      <c r="AY86" s="75"/>
      <c r="AZ86" s="76"/>
      <c r="BA86" s="38" t="s">
        <v>65</v>
      </c>
    </row>
    <row r="87" spans="1:53">
      <c r="A87" s="17" t="s">
        <v>120</v>
      </c>
      <c r="B87" s="38">
        <v>86</v>
      </c>
      <c r="C87" s="98">
        <v>46311</v>
      </c>
      <c r="D87" s="38"/>
      <c r="E87" s="38"/>
      <c r="F87" s="38"/>
      <c r="G87" s="485"/>
      <c r="H87" s="485"/>
      <c r="I87" s="485"/>
      <c r="J87" s="485"/>
      <c r="K87" s="485"/>
      <c r="L87" s="485"/>
      <c r="M87" s="485"/>
      <c r="N87" s="485"/>
      <c r="O87" s="485"/>
      <c r="P87" s="485"/>
      <c r="Q87" s="485"/>
      <c r="R87" s="485"/>
      <c r="S87" s="485"/>
      <c r="T87" s="485"/>
      <c r="U87" s="486"/>
      <c r="V87" s="485"/>
      <c r="W87" s="485"/>
      <c r="X87" s="485"/>
      <c r="Y87" s="487"/>
      <c r="Z87" s="487"/>
      <c r="AA87" s="485"/>
      <c r="AB87" s="485"/>
      <c r="AC87" s="84"/>
      <c r="AD87" s="485"/>
      <c r="AE87" s="485"/>
      <c r="AF87" s="485"/>
      <c r="AG87" s="485"/>
      <c r="AH87" s="488"/>
      <c r="AI87" s="488"/>
      <c r="AJ87" s="488"/>
      <c r="AK87" s="488"/>
      <c r="AL87" s="488">
        <v>34</v>
      </c>
      <c r="AM87" s="488">
        <v>0.56530000000000002</v>
      </c>
      <c r="AN87" s="67" t="s">
        <v>234</v>
      </c>
      <c r="AO87" s="80">
        <v>72</v>
      </c>
      <c r="AP87" s="87">
        <f t="shared" ref="AP87" si="36">AO87*35</f>
        <v>2520</v>
      </c>
      <c r="AQ87" s="88">
        <f t="shared" ref="AQ87" si="37">AP87/1260</f>
        <v>2</v>
      </c>
      <c r="AR87" s="81">
        <v>6</v>
      </c>
      <c r="AS87" s="89">
        <f t="shared" ref="AS87:AS88" si="38">AR87*35</f>
        <v>210</v>
      </c>
      <c r="AT87" s="90">
        <f>AS87/1260</f>
        <v>0.16666666666666666</v>
      </c>
      <c r="AU87" s="91">
        <f t="shared" ref="AU87" si="39">AO87+AR87</f>
        <v>78</v>
      </c>
      <c r="AV87" s="91">
        <f t="shared" ref="AV87" si="40">AP87+AS87</f>
        <v>2730</v>
      </c>
      <c r="AW87" s="92">
        <f t="shared" ref="AW87" si="41">AQ87+AT87</f>
        <v>2.1666666666666665</v>
      </c>
      <c r="AX87" s="74">
        <v>392</v>
      </c>
      <c r="AY87" s="75" t="s">
        <v>175</v>
      </c>
      <c r="AZ87" s="76">
        <v>394</v>
      </c>
      <c r="BA87" s="38" t="s">
        <v>65</v>
      </c>
    </row>
    <row r="88" spans="1:53">
      <c r="A88" s="17" t="s">
        <v>120</v>
      </c>
      <c r="B88" s="38">
        <v>87</v>
      </c>
      <c r="C88" s="98">
        <v>46314</v>
      </c>
      <c r="D88" s="38">
        <v>1</v>
      </c>
      <c r="E88" s="38">
        <v>4</v>
      </c>
      <c r="F88" s="38" t="s">
        <v>72</v>
      </c>
      <c r="G88" s="485">
        <v>15.19</v>
      </c>
      <c r="H88" s="485">
        <v>13.07</v>
      </c>
      <c r="I88" s="485">
        <v>15.02</v>
      </c>
      <c r="J88" s="60">
        <f t="shared" ref="J88" si="42">AVERAGE(G88:I88)</f>
        <v>14.426666666666668</v>
      </c>
      <c r="K88" s="61">
        <v>46254</v>
      </c>
      <c r="L88" s="60">
        <v>72.430000000000007</v>
      </c>
      <c r="M88" s="95">
        <v>46314</v>
      </c>
      <c r="N88" s="60">
        <v>94.99</v>
      </c>
      <c r="O88" s="63">
        <v>39</v>
      </c>
      <c r="P88" s="63">
        <v>31</v>
      </c>
      <c r="Q88" s="63">
        <v>80</v>
      </c>
      <c r="R88" s="82">
        <v>6.6000000000000003E-2</v>
      </c>
      <c r="S88" s="63">
        <f t="shared" ref="S88" si="43">M88-K88</f>
        <v>60</v>
      </c>
      <c r="T88" s="485">
        <v>18.8</v>
      </c>
      <c r="U88" s="486">
        <v>36.200000000000003</v>
      </c>
      <c r="V88" s="489"/>
      <c r="W88" s="489"/>
      <c r="X88" s="489"/>
      <c r="Y88" s="489"/>
      <c r="Z88" s="489"/>
      <c r="AA88" s="489"/>
      <c r="AB88" s="485">
        <v>123.6</v>
      </c>
      <c r="AC88" s="84">
        <v>115.6</v>
      </c>
      <c r="AD88" s="485">
        <v>8.9</v>
      </c>
      <c r="AE88" s="485">
        <v>38.200000000000003</v>
      </c>
      <c r="AF88" s="485">
        <v>79</v>
      </c>
      <c r="AG88" s="485">
        <v>73.8</v>
      </c>
      <c r="AH88" s="488">
        <v>51</v>
      </c>
      <c r="AI88" s="99" t="s">
        <v>222</v>
      </c>
      <c r="AJ88" s="99" t="s">
        <v>222</v>
      </c>
      <c r="AK88" s="99" t="s">
        <v>223</v>
      </c>
      <c r="AL88" s="488">
        <v>41.6</v>
      </c>
      <c r="AM88" s="488"/>
      <c r="AN88" s="488"/>
      <c r="AO88" s="80">
        <v>316</v>
      </c>
      <c r="AP88" s="87">
        <f t="shared" ref="AP88" si="44">AO88*35</f>
        <v>11060</v>
      </c>
      <c r="AQ88" s="88">
        <f t="shared" ref="AQ88" si="45">AP88/1260</f>
        <v>8.7777777777777786</v>
      </c>
      <c r="AR88" s="81">
        <v>59</v>
      </c>
      <c r="AS88" s="89">
        <f t="shared" si="38"/>
        <v>2065</v>
      </c>
      <c r="AT88" s="90">
        <f>AS88/1260</f>
        <v>1.6388888888888888</v>
      </c>
      <c r="AU88" s="91">
        <f t="shared" ref="AU88" si="46">AO88+AR88</f>
        <v>375</v>
      </c>
      <c r="AV88" s="91">
        <f t="shared" ref="AV88" si="47">AP88+AS88</f>
        <v>13125</v>
      </c>
      <c r="AW88" s="92">
        <f t="shared" ref="AW88" si="48">AQ88+AT88</f>
        <v>10.416666666666668</v>
      </c>
      <c r="AX88" s="74">
        <v>394</v>
      </c>
      <c r="AY88" s="75"/>
      <c r="AZ88" s="76">
        <v>403</v>
      </c>
      <c r="BA88" s="38" t="s">
        <v>65</v>
      </c>
    </row>
    <row r="89" spans="1:53">
      <c r="A89" s="5"/>
      <c r="B89" s="38"/>
      <c r="C89" s="84"/>
      <c r="D89" s="38"/>
      <c r="E89" s="38"/>
      <c r="F89" s="38"/>
      <c r="G89" s="485"/>
      <c r="H89" s="485"/>
      <c r="I89" s="485"/>
      <c r="J89" s="485"/>
      <c r="K89" s="485"/>
      <c r="L89" s="485"/>
      <c r="M89" s="485"/>
      <c r="N89" s="485"/>
      <c r="O89" s="485"/>
      <c r="P89" s="485"/>
      <c r="Q89" s="485"/>
      <c r="R89" s="485"/>
      <c r="S89" s="485"/>
      <c r="T89" s="485"/>
      <c r="U89" s="486"/>
      <c r="V89" s="485"/>
      <c r="W89" s="485"/>
      <c r="X89" s="485"/>
      <c r="Y89" s="487"/>
      <c r="Z89" s="487"/>
      <c r="AA89" s="485"/>
      <c r="AB89" s="485"/>
      <c r="AC89" s="84"/>
      <c r="AD89" s="485"/>
      <c r="AE89" s="485"/>
      <c r="AF89" s="485"/>
      <c r="AG89" s="485"/>
      <c r="AH89" s="488"/>
      <c r="AI89" s="488"/>
      <c r="AJ89" s="488"/>
      <c r="AK89" s="488"/>
      <c r="AL89" s="488"/>
      <c r="AM89" s="488"/>
      <c r="AN89" s="488"/>
      <c r="AO89" s="80"/>
      <c r="AP89" s="80"/>
      <c r="AQ89" s="80"/>
      <c r="AR89" s="81"/>
      <c r="AS89" s="81"/>
      <c r="AT89" s="81"/>
      <c r="AU89" s="38"/>
      <c r="AV89" s="38"/>
      <c r="AW89" s="38"/>
      <c r="AX89" s="74"/>
      <c r="AY89" s="75"/>
      <c r="AZ89" s="76"/>
      <c r="BA89" s="38"/>
    </row>
    <row r="90" spans="1:53">
      <c r="A90" s="5"/>
      <c r="B90" s="38"/>
      <c r="C90" s="84"/>
      <c r="D90" s="38"/>
      <c r="E90" s="38"/>
      <c r="F90" s="38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6"/>
      <c r="V90" s="485"/>
      <c r="W90" s="485"/>
      <c r="X90" s="485"/>
      <c r="Y90" s="487"/>
      <c r="Z90" s="487"/>
      <c r="AA90" s="485"/>
      <c r="AB90" s="485"/>
      <c r="AC90" s="84"/>
      <c r="AD90" s="485"/>
      <c r="AE90" s="485"/>
      <c r="AF90" s="485"/>
      <c r="AG90" s="485"/>
      <c r="AH90" s="488"/>
      <c r="AI90" s="488"/>
      <c r="AJ90" s="488"/>
      <c r="AK90" s="488"/>
      <c r="AL90" s="488"/>
      <c r="AM90" s="488"/>
      <c r="AN90" s="488"/>
      <c r="AO90" s="80"/>
      <c r="AP90" s="80"/>
      <c r="AQ90" s="80"/>
      <c r="AR90" s="81"/>
      <c r="AS90" s="81"/>
      <c r="AT90" s="81"/>
      <c r="AU90" s="38"/>
      <c r="AV90" s="38"/>
      <c r="AW90" s="38"/>
      <c r="AX90" s="74"/>
      <c r="AY90" s="75"/>
      <c r="AZ90" s="76"/>
      <c r="BA90" s="38"/>
    </row>
    <row r="91" spans="1:53">
      <c r="A91" s="5"/>
      <c r="B91" s="38"/>
      <c r="C91" s="84"/>
      <c r="D91" s="38"/>
      <c r="E91" s="38"/>
      <c r="F91" s="38"/>
      <c r="G91" s="485"/>
      <c r="H91" s="485"/>
      <c r="I91" s="485"/>
      <c r="J91" s="485"/>
      <c r="K91" s="485"/>
      <c r="L91" s="485"/>
      <c r="M91" s="485"/>
      <c r="N91" s="485"/>
      <c r="O91" s="485"/>
      <c r="P91" s="485"/>
      <c r="Q91" s="485"/>
      <c r="R91" s="485"/>
      <c r="S91" s="485"/>
      <c r="T91" s="485"/>
      <c r="U91" s="486"/>
      <c r="V91" s="485"/>
      <c r="W91" s="485"/>
      <c r="X91" s="485"/>
      <c r="Y91" s="487"/>
      <c r="Z91" s="487"/>
      <c r="AA91" s="485"/>
      <c r="AB91" s="485"/>
      <c r="AC91" s="84"/>
      <c r="AD91" s="485"/>
      <c r="AE91" s="485"/>
      <c r="AF91" s="485"/>
      <c r="AG91" s="485"/>
      <c r="AH91" s="488"/>
      <c r="AI91" s="488"/>
      <c r="AJ91" s="488"/>
      <c r="AK91" s="488"/>
      <c r="AL91" s="488"/>
      <c r="AM91" s="488"/>
      <c r="AN91" s="488"/>
      <c r="AO91" s="80"/>
      <c r="AP91" s="80"/>
      <c r="AQ91" s="80"/>
      <c r="AR91" s="81"/>
      <c r="AS91" s="81"/>
      <c r="AT91" s="81"/>
      <c r="AU91" s="38"/>
      <c r="AV91" s="38"/>
      <c r="AW91" s="38"/>
      <c r="AX91" s="74"/>
      <c r="AY91" s="75"/>
      <c r="AZ91" s="76"/>
      <c r="BA91" s="38"/>
    </row>
    <row r="92" spans="1:53">
      <c r="A92" s="5"/>
      <c r="B92" s="38"/>
      <c r="C92" s="84"/>
      <c r="D92" s="38"/>
      <c r="E92" s="38"/>
      <c r="F92" s="38"/>
      <c r="G92" s="485"/>
      <c r="H92" s="485"/>
      <c r="I92" s="485"/>
      <c r="J92" s="485"/>
      <c r="K92" s="485"/>
      <c r="L92" s="485"/>
      <c r="M92" s="485"/>
      <c r="N92" s="485"/>
      <c r="O92" s="485"/>
      <c r="P92" s="485"/>
      <c r="Q92" s="485"/>
      <c r="R92" s="485"/>
      <c r="S92" s="485"/>
      <c r="T92" s="485"/>
      <c r="U92" s="486"/>
      <c r="V92" s="485"/>
      <c r="W92" s="485"/>
      <c r="X92" s="485"/>
      <c r="Y92" s="487"/>
      <c r="Z92" s="487"/>
      <c r="AA92" s="485"/>
      <c r="AB92" s="485"/>
      <c r="AC92" s="84"/>
      <c r="AD92" s="485"/>
      <c r="AE92" s="485"/>
      <c r="AF92" s="485"/>
      <c r="AG92" s="485"/>
      <c r="AH92" s="488"/>
      <c r="AI92" s="488"/>
      <c r="AJ92" s="488"/>
      <c r="AK92" s="488"/>
      <c r="AL92" s="488"/>
      <c r="AM92" s="488"/>
      <c r="AN92" s="488"/>
      <c r="AO92" s="80"/>
      <c r="AP92" s="80"/>
      <c r="AQ92" s="80"/>
      <c r="AR92" s="81"/>
      <c r="AS92" s="81"/>
      <c r="AT92" s="81"/>
      <c r="AU92" s="38"/>
      <c r="AV92" s="38"/>
      <c r="AW92" s="38"/>
      <c r="AX92" s="74"/>
      <c r="AY92" s="75"/>
      <c r="AZ92" s="76"/>
      <c r="BA92" s="38"/>
    </row>
    <row r="93" spans="1:53">
      <c r="A93" s="5"/>
      <c r="B93" s="38"/>
      <c r="C93" s="84"/>
      <c r="D93" s="38"/>
      <c r="E93" s="38"/>
      <c r="F93" s="38"/>
      <c r="G93" s="485"/>
      <c r="H93" s="485"/>
      <c r="I93" s="485"/>
      <c r="J93" s="485"/>
      <c r="K93" s="485"/>
      <c r="L93" s="485"/>
      <c r="M93" s="485"/>
      <c r="N93" s="485"/>
      <c r="O93" s="485"/>
      <c r="P93" s="485"/>
      <c r="Q93" s="485"/>
      <c r="R93" s="485"/>
      <c r="S93" s="485"/>
      <c r="T93" s="485"/>
      <c r="U93" s="486"/>
      <c r="V93" s="485"/>
      <c r="W93" s="485"/>
      <c r="X93" s="485"/>
      <c r="Y93" s="487"/>
      <c r="Z93" s="487"/>
      <c r="AA93" s="485"/>
      <c r="AB93" s="485"/>
      <c r="AC93" s="84"/>
      <c r="AD93" s="485"/>
      <c r="AE93" s="485"/>
      <c r="AF93" s="485"/>
      <c r="AG93" s="485"/>
      <c r="AH93" s="488"/>
      <c r="AI93" s="488"/>
      <c r="AJ93" s="488"/>
      <c r="AK93" s="488"/>
      <c r="AL93" s="488"/>
      <c r="AM93" s="488"/>
      <c r="AN93" s="488"/>
      <c r="AO93" s="80"/>
      <c r="AP93" s="80"/>
      <c r="AQ93" s="80"/>
      <c r="AR93" s="81"/>
      <c r="AS93" s="81"/>
      <c r="AT93" s="81"/>
      <c r="AU93" s="38"/>
      <c r="AV93" s="38"/>
      <c r="AW93" s="38"/>
      <c r="AX93" s="74"/>
      <c r="AY93" s="75"/>
      <c r="AZ93" s="76"/>
      <c r="BA93" s="38"/>
    </row>
    <row r="94" spans="1:53">
      <c r="A94" s="5"/>
      <c r="B94" s="38"/>
      <c r="C94" s="84"/>
      <c r="D94" s="38"/>
      <c r="E94" s="38"/>
      <c r="F94" s="38"/>
      <c r="G94" s="485"/>
      <c r="H94" s="485"/>
      <c r="I94" s="485"/>
      <c r="J94" s="485"/>
      <c r="K94" s="485"/>
      <c r="L94" s="485"/>
      <c r="M94" s="485"/>
      <c r="N94" s="485"/>
      <c r="O94" s="485"/>
      <c r="P94" s="485"/>
      <c r="Q94" s="485"/>
      <c r="R94" s="485"/>
      <c r="S94" s="485"/>
      <c r="T94" s="485"/>
      <c r="U94" s="486"/>
      <c r="V94" s="485"/>
      <c r="W94" s="485"/>
      <c r="X94" s="485"/>
      <c r="Y94" s="487"/>
      <c r="Z94" s="487"/>
      <c r="AA94" s="485"/>
      <c r="AB94" s="485"/>
      <c r="AC94" s="84"/>
      <c r="AD94" s="485"/>
      <c r="AE94" s="485"/>
      <c r="AF94" s="485"/>
      <c r="AG94" s="485"/>
      <c r="AH94" s="488"/>
      <c r="AI94" s="488"/>
      <c r="AJ94" s="488"/>
      <c r="AK94" s="488"/>
      <c r="AL94" s="488"/>
      <c r="AM94" s="488"/>
      <c r="AN94" s="488"/>
      <c r="AO94" s="80"/>
      <c r="AP94" s="80"/>
      <c r="AQ94" s="80"/>
      <c r="AR94" s="81"/>
      <c r="AS94" s="81"/>
      <c r="AT94" s="81"/>
      <c r="AU94" s="38"/>
      <c r="AV94" s="38"/>
      <c r="AW94" s="38"/>
      <c r="AX94" s="74"/>
      <c r="AY94" s="75"/>
      <c r="AZ94" s="76"/>
      <c r="BA94" s="38"/>
    </row>
    <row r="95" spans="1:53">
      <c r="A95" s="5"/>
      <c r="B95" s="38"/>
      <c r="C95" s="84"/>
      <c r="D95" s="38"/>
      <c r="E95" s="38"/>
      <c r="F95" s="38"/>
      <c r="G95" s="485"/>
      <c r="H95" s="485"/>
      <c r="I95" s="485"/>
      <c r="J95" s="485"/>
      <c r="K95" s="485"/>
      <c r="L95" s="485"/>
      <c r="M95" s="485"/>
      <c r="N95" s="485"/>
      <c r="O95" s="485"/>
      <c r="P95" s="485"/>
      <c r="Q95" s="485"/>
      <c r="R95" s="485"/>
      <c r="S95" s="485"/>
      <c r="T95" s="485"/>
      <c r="U95" s="486"/>
      <c r="V95" s="485"/>
      <c r="W95" s="485"/>
      <c r="X95" s="485"/>
      <c r="Y95" s="487"/>
      <c r="Z95" s="487"/>
      <c r="AA95" s="485"/>
      <c r="AB95" s="485"/>
      <c r="AC95" s="84"/>
      <c r="AD95" s="485"/>
      <c r="AE95" s="485"/>
      <c r="AF95" s="485"/>
      <c r="AG95" s="485"/>
      <c r="AH95" s="488"/>
      <c r="AI95" s="488"/>
      <c r="AJ95" s="488"/>
      <c r="AK95" s="488"/>
      <c r="AL95" s="488"/>
      <c r="AM95" s="488"/>
      <c r="AN95" s="488"/>
      <c r="AO95" s="80"/>
      <c r="AP95" s="80"/>
      <c r="AQ95" s="80"/>
      <c r="AR95" s="81"/>
      <c r="AS95" s="81"/>
      <c r="AT95" s="81"/>
      <c r="AU95" s="38"/>
      <c r="AV95" s="38"/>
      <c r="AW95" s="38"/>
      <c r="AX95" s="74"/>
      <c r="AY95" s="75"/>
      <c r="AZ95" s="76"/>
      <c r="BA95" s="38"/>
    </row>
    <row r="96" spans="1:53">
      <c r="A96" s="5"/>
      <c r="B96" s="38"/>
      <c r="C96" s="84"/>
      <c r="D96" s="38"/>
      <c r="E96" s="38"/>
      <c r="F96" s="38"/>
      <c r="G96" s="485"/>
      <c r="H96" s="485"/>
      <c r="I96" s="485"/>
      <c r="J96" s="485"/>
      <c r="K96" s="485"/>
      <c r="L96" s="485"/>
      <c r="M96" s="485"/>
      <c r="N96" s="485"/>
      <c r="O96" s="485"/>
      <c r="P96" s="485"/>
      <c r="Q96" s="485"/>
      <c r="R96" s="485"/>
      <c r="S96" s="485"/>
      <c r="T96" s="485"/>
      <c r="U96" s="486"/>
      <c r="V96" s="485"/>
      <c r="W96" s="485"/>
      <c r="X96" s="485"/>
      <c r="Y96" s="487"/>
      <c r="Z96" s="487"/>
      <c r="AA96" s="485"/>
      <c r="AB96" s="485"/>
      <c r="AC96" s="84"/>
      <c r="AD96" s="485"/>
      <c r="AE96" s="485"/>
      <c r="AF96" s="485"/>
      <c r="AG96" s="485"/>
      <c r="AH96" s="488"/>
      <c r="AI96" s="488"/>
      <c r="AJ96" s="488"/>
      <c r="AK96" s="488"/>
      <c r="AL96" s="488"/>
      <c r="AM96" s="488"/>
      <c r="AN96" s="488"/>
      <c r="AO96" s="80"/>
      <c r="AP96" s="80"/>
      <c r="AQ96" s="80"/>
      <c r="AR96" s="81"/>
      <c r="AS96" s="81"/>
      <c r="AT96" s="81"/>
      <c r="AU96" s="38"/>
      <c r="AV96" s="38"/>
      <c r="AW96" s="38"/>
      <c r="AX96" s="74"/>
      <c r="AY96" s="75"/>
      <c r="AZ96" s="76"/>
      <c r="BA96" s="38"/>
    </row>
    <row r="97" spans="1:53">
      <c r="A97" s="5"/>
      <c r="B97" s="38"/>
      <c r="C97" s="84"/>
      <c r="D97" s="38"/>
      <c r="E97" s="38"/>
      <c r="F97" s="38"/>
      <c r="G97" s="485"/>
      <c r="H97" s="485"/>
      <c r="I97" s="485"/>
      <c r="J97" s="485"/>
      <c r="K97" s="485"/>
      <c r="L97" s="485"/>
      <c r="M97" s="485"/>
      <c r="N97" s="485"/>
      <c r="O97" s="485"/>
      <c r="P97" s="485"/>
      <c r="Q97" s="485"/>
      <c r="R97" s="485"/>
      <c r="S97" s="485"/>
      <c r="T97" s="485"/>
      <c r="U97" s="486"/>
      <c r="V97" s="485"/>
      <c r="W97" s="485"/>
      <c r="X97" s="485"/>
      <c r="Y97" s="487"/>
      <c r="Z97" s="487"/>
      <c r="AA97" s="485"/>
      <c r="AB97" s="485"/>
      <c r="AC97" s="84"/>
      <c r="AD97" s="485"/>
      <c r="AE97" s="485"/>
      <c r="AF97" s="485"/>
      <c r="AG97" s="485"/>
      <c r="AH97" s="488"/>
      <c r="AI97" s="488"/>
      <c r="AJ97" s="488"/>
      <c r="AK97" s="488"/>
      <c r="AL97" s="488"/>
      <c r="AM97" s="488"/>
      <c r="AN97" s="488"/>
      <c r="AO97" s="80"/>
      <c r="AP97" s="80"/>
      <c r="AQ97" s="80"/>
      <c r="AR97" s="81"/>
      <c r="AS97" s="81"/>
      <c r="AT97" s="81"/>
      <c r="AU97" s="38"/>
      <c r="AV97" s="38"/>
      <c r="AW97" s="38"/>
      <c r="AX97" s="74"/>
      <c r="AY97" s="75"/>
      <c r="AZ97" s="76"/>
      <c r="BA97" s="38"/>
    </row>
    <row r="98" spans="1:53">
      <c r="A98" s="5"/>
      <c r="B98" s="38"/>
      <c r="C98" s="84"/>
      <c r="D98" s="38"/>
      <c r="E98" s="38"/>
      <c r="F98" s="38"/>
      <c r="G98" s="485"/>
      <c r="H98" s="485"/>
      <c r="I98" s="485"/>
      <c r="J98" s="485"/>
      <c r="K98" s="485"/>
      <c r="L98" s="485"/>
      <c r="M98" s="485"/>
      <c r="N98" s="485"/>
      <c r="O98" s="485"/>
      <c r="P98" s="485"/>
      <c r="Q98" s="485"/>
      <c r="R98" s="485"/>
      <c r="S98" s="485"/>
      <c r="T98" s="485"/>
      <c r="U98" s="486"/>
      <c r="V98" s="485"/>
      <c r="W98" s="485"/>
      <c r="X98" s="485"/>
      <c r="Y98" s="487"/>
      <c r="Z98" s="487"/>
      <c r="AA98" s="485"/>
      <c r="AB98" s="485"/>
      <c r="AC98" s="84"/>
      <c r="AD98" s="485"/>
      <c r="AE98" s="485"/>
      <c r="AF98" s="485"/>
      <c r="AG98" s="485"/>
      <c r="AH98" s="488"/>
      <c r="AI98" s="488"/>
      <c r="AJ98" s="488"/>
      <c r="AK98" s="488"/>
      <c r="AL98" s="488"/>
      <c r="AM98" s="488"/>
      <c r="AN98" s="488"/>
      <c r="AO98" s="80"/>
      <c r="AP98" s="80"/>
      <c r="AQ98" s="80"/>
      <c r="AR98" s="81"/>
      <c r="AS98" s="81"/>
      <c r="AT98" s="81"/>
      <c r="AU98" s="38"/>
      <c r="AV98" s="38"/>
      <c r="AW98" s="38"/>
      <c r="AX98" s="74"/>
      <c r="AY98" s="75"/>
      <c r="AZ98" s="76"/>
      <c r="BA98" s="38"/>
    </row>
    <row r="99" spans="1:53">
      <c r="A99" s="5"/>
      <c r="B99" s="38"/>
      <c r="C99" s="84"/>
      <c r="D99" s="38"/>
      <c r="E99" s="38"/>
      <c r="F99" s="38"/>
      <c r="G99" s="485"/>
      <c r="H99" s="485"/>
      <c r="I99" s="485"/>
      <c r="J99" s="485"/>
      <c r="K99" s="485"/>
      <c r="L99" s="485"/>
      <c r="M99" s="485"/>
      <c r="N99" s="485"/>
      <c r="O99" s="485"/>
      <c r="P99" s="485"/>
      <c r="Q99" s="485"/>
      <c r="R99" s="485"/>
      <c r="S99" s="485"/>
      <c r="T99" s="485"/>
      <c r="U99" s="486"/>
      <c r="V99" s="485"/>
      <c r="W99" s="485"/>
      <c r="X99" s="485"/>
      <c r="Y99" s="487"/>
      <c r="Z99" s="487"/>
      <c r="AA99" s="485"/>
      <c r="AB99" s="485"/>
      <c r="AC99" s="84"/>
      <c r="AD99" s="485"/>
      <c r="AE99" s="485"/>
      <c r="AF99" s="485"/>
      <c r="AG99" s="485"/>
      <c r="AH99" s="488"/>
      <c r="AI99" s="488"/>
      <c r="AJ99" s="488"/>
      <c r="AK99" s="488"/>
      <c r="AL99" s="488"/>
      <c r="AM99" s="488"/>
      <c r="AN99" s="488"/>
      <c r="AO99" s="80"/>
      <c r="AP99" s="80"/>
      <c r="AQ99" s="80"/>
      <c r="AR99" s="81"/>
      <c r="AS99" s="81"/>
      <c r="AT99" s="81"/>
      <c r="AU99" s="38"/>
      <c r="AV99" s="38"/>
      <c r="AW99" s="38"/>
      <c r="AX99" s="74"/>
      <c r="AY99" s="75"/>
      <c r="AZ99" s="76"/>
      <c r="BA99" s="38"/>
    </row>
    <row r="100" spans="1:53">
      <c r="A100" s="5"/>
      <c r="B100" s="38"/>
      <c r="C100" s="84"/>
      <c r="D100" s="38"/>
      <c r="E100" s="38"/>
      <c r="F100" s="38"/>
      <c r="G100" s="485"/>
      <c r="H100" s="485"/>
      <c r="I100" s="485"/>
      <c r="J100" s="485"/>
      <c r="K100" s="485"/>
      <c r="L100" s="485"/>
      <c r="M100" s="485"/>
      <c r="N100" s="485"/>
      <c r="O100" s="485"/>
      <c r="P100" s="485"/>
      <c r="Q100" s="485"/>
      <c r="R100" s="485"/>
      <c r="S100" s="485"/>
      <c r="T100" s="485"/>
      <c r="U100" s="486"/>
      <c r="V100" s="485"/>
      <c r="W100" s="485"/>
      <c r="X100" s="485"/>
      <c r="Y100" s="487"/>
      <c r="Z100" s="487"/>
      <c r="AA100" s="485"/>
      <c r="AB100" s="485"/>
      <c r="AC100" s="84"/>
      <c r="AD100" s="485"/>
      <c r="AE100" s="485"/>
      <c r="AF100" s="485"/>
      <c r="AG100" s="485"/>
      <c r="AH100" s="488"/>
      <c r="AI100" s="488"/>
      <c r="AJ100" s="488"/>
      <c r="AK100" s="488"/>
      <c r="AL100" s="488"/>
      <c r="AM100" s="488"/>
      <c r="AN100" s="488"/>
      <c r="AO100" s="80"/>
      <c r="AP100" s="80"/>
      <c r="AQ100" s="80"/>
      <c r="AR100" s="81"/>
      <c r="AS100" s="81"/>
      <c r="AT100" s="81"/>
      <c r="AU100" s="38"/>
      <c r="AV100" s="38"/>
      <c r="AW100" s="38"/>
      <c r="AX100" s="74"/>
      <c r="AY100" s="75"/>
      <c r="AZ100" s="76"/>
      <c r="BA100" s="38"/>
    </row>
    <row r="101" spans="1:53">
      <c r="A101" s="5"/>
      <c r="B101" s="38"/>
      <c r="C101" s="84"/>
      <c r="D101" s="38"/>
      <c r="E101" s="38"/>
      <c r="F101" s="38"/>
      <c r="G101" s="485"/>
      <c r="H101" s="485"/>
      <c r="I101" s="485"/>
      <c r="J101" s="485"/>
      <c r="K101" s="485"/>
      <c r="L101" s="485"/>
      <c r="M101" s="485"/>
      <c r="N101" s="485"/>
      <c r="O101" s="485"/>
      <c r="P101" s="485"/>
      <c r="Q101" s="485"/>
      <c r="R101" s="485"/>
      <c r="S101" s="485"/>
      <c r="T101" s="485"/>
      <c r="U101" s="486"/>
      <c r="V101" s="485"/>
      <c r="W101" s="485"/>
      <c r="X101" s="485"/>
      <c r="Y101" s="487"/>
      <c r="Z101" s="487"/>
      <c r="AA101" s="485"/>
      <c r="AB101" s="485"/>
      <c r="AC101" s="84"/>
      <c r="AD101" s="485"/>
      <c r="AE101" s="485"/>
      <c r="AF101" s="485"/>
      <c r="AG101" s="485"/>
      <c r="AH101" s="488"/>
      <c r="AI101" s="488"/>
      <c r="AJ101" s="488"/>
      <c r="AK101" s="488"/>
      <c r="AL101" s="488"/>
      <c r="AM101" s="488"/>
      <c r="AN101" s="488"/>
      <c r="AO101" s="80"/>
      <c r="AP101" s="80"/>
      <c r="AQ101" s="80"/>
      <c r="AR101" s="81"/>
      <c r="AS101" s="81"/>
      <c r="AT101" s="81"/>
      <c r="AU101" s="38"/>
      <c r="AV101" s="38"/>
      <c r="AW101" s="38"/>
      <c r="AX101" s="74"/>
      <c r="AY101" s="75"/>
      <c r="AZ101" s="76"/>
      <c r="BA101" s="38"/>
    </row>
    <row r="118" spans="10:19">
      <c r="J118" s="499"/>
      <c r="K118" s="499"/>
      <c r="L118" s="499"/>
      <c r="M118" s="499"/>
      <c r="N118" s="499"/>
      <c r="O118" s="499"/>
      <c r="P118" s="499"/>
      <c r="Q118" s="499"/>
      <c r="R118" s="499"/>
      <c r="S118" s="499"/>
    </row>
    <row r="156" spans="10:10">
      <c r="J156" s="499"/>
    </row>
  </sheetData>
  <phoneticPr fontId="32" type="noConversion"/>
  <pageMargins left="0.25" right="0.25" top="0.5" bottom="0.25" header="0.3" footer="0.3"/>
  <pageSetup paperSize="5" scale="32" orientation="landscape" horizontalDpi="4294967293" verticalDpi="429496729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2871-37F8-4527-9918-A497FBB68B7F}">
  <sheetPr filterMode="1"/>
  <dimension ref="A1:N178"/>
  <sheetViews>
    <sheetView workbookViewId="0">
      <selection activeCell="G100" sqref="G100"/>
    </sheetView>
  </sheetViews>
  <sheetFormatPr defaultColWidth="8.54296875" defaultRowHeight="14.5"/>
  <cols>
    <col min="1" max="1" width="4.54296875" customWidth="1"/>
    <col min="2" max="2" width="12.1796875" bestFit="1" customWidth="1"/>
    <col min="3" max="3" width="6.26953125" bestFit="1" customWidth="1"/>
    <col min="4" max="4" width="7.1796875" bestFit="1" customWidth="1"/>
    <col min="5" max="5" width="9.1796875" bestFit="1" customWidth="1"/>
    <col min="6" max="6" width="9.54296875" bestFit="1" customWidth="1"/>
    <col min="7" max="7" width="42.81640625" bestFit="1" customWidth="1"/>
    <col min="8" max="8" width="12.54296875" bestFit="1" customWidth="1"/>
    <col min="9" max="9" width="17.453125" bestFit="1" customWidth="1"/>
    <col min="10" max="10" width="10.26953125" bestFit="1" customWidth="1"/>
    <col min="11" max="11" width="11.81640625" bestFit="1" customWidth="1"/>
    <col min="12" max="12" width="22.453125" bestFit="1" customWidth="1"/>
    <col min="13" max="13" width="8.1796875" bestFit="1" customWidth="1"/>
    <col min="14" max="14" width="47.1796875" bestFit="1" customWidth="1"/>
  </cols>
  <sheetData>
    <row r="1" spans="1:14" ht="16.5">
      <c r="A1" s="111" t="s">
        <v>250</v>
      </c>
    </row>
    <row r="2" spans="1:14" ht="31.5" customHeight="1">
      <c r="A2" s="112" t="s">
        <v>251</v>
      </c>
      <c r="B2" s="112" t="s">
        <v>252</v>
      </c>
      <c r="C2" s="112" t="s">
        <v>0</v>
      </c>
      <c r="D2" s="112" t="s">
        <v>253</v>
      </c>
      <c r="E2" s="112" t="s">
        <v>254</v>
      </c>
      <c r="F2" s="112" t="s">
        <v>255</v>
      </c>
      <c r="G2" s="112" t="s">
        <v>256</v>
      </c>
      <c r="H2" s="112" t="s">
        <v>257</v>
      </c>
      <c r="I2" s="112" t="s">
        <v>258</v>
      </c>
      <c r="J2" s="112" t="s">
        <v>259</v>
      </c>
      <c r="K2" s="112" t="s">
        <v>260</v>
      </c>
      <c r="L2" s="112" t="s">
        <v>249</v>
      </c>
      <c r="M2" s="112" t="s">
        <v>261</v>
      </c>
      <c r="N2" s="112" t="s">
        <v>262</v>
      </c>
    </row>
    <row r="3" spans="1:14" hidden="1">
      <c r="A3" s="113">
        <v>1</v>
      </c>
      <c r="B3" s="114">
        <v>46149</v>
      </c>
      <c r="C3" s="113">
        <v>27</v>
      </c>
      <c r="D3" s="115"/>
      <c r="E3" s="113" t="s">
        <v>263</v>
      </c>
      <c r="F3" s="113" t="s">
        <v>65</v>
      </c>
      <c r="G3" s="115" t="s">
        <v>264</v>
      </c>
      <c r="H3" s="115" t="s">
        <v>265</v>
      </c>
      <c r="I3" s="113" t="s">
        <v>266</v>
      </c>
      <c r="J3" s="116">
        <v>35</v>
      </c>
      <c r="K3" s="113">
        <v>1</v>
      </c>
      <c r="L3" s="115"/>
      <c r="M3" s="113">
        <v>4</v>
      </c>
      <c r="N3" s="117"/>
    </row>
    <row r="4" spans="1:14" ht="25" hidden="1">
      <c r="A4" s="113">
        <v>2</v>
      </c>
      <c r="B4" s="114">
        <v>46150</v>
      </c>
      <c r="C4" s="113">
        <v>28</v>
      </c>
      <c r="D4" s="115"/>
      <c r="E4" s="113" t="s">
        <v>267</v>
      </c>
      <c r="F4" s="113" t="s">
        <v>65</v>
      </c>
      <c r="G4" s="115" t="s">
        <v>268</v>
      </c>
      <c r="H4" s="115" t="s">
        <v>268</v>
      </c>
      <c r="I4" s="113" t="s">
        <v>269</v>
      </c>
      <c r="J4" s="116">
        <v>210</v>
      </c>
      <c r="K4" s="113">
        <v>6</v>
      </c>
      <c r="L4" s="115"/>
      <c r="M4" s="113">
        <v>4</v>
      </c>
      <c r="N4" s="117" t="s">
        <v>270</v>
      </c>
    </row>
    <row r="5" spans="1:14" hidden="1">
      <c r="A5" s="113">
        <v>3</v>
      </c>
      <c r="B5" s="114">
        <v>46150</v>
      </c>
      <c r="C5" s="113">
        <v>28</v>
      </c>
      <c r="D5" s="115"/>
      <c r="E5" s="113" t="s">
        <v>271</v>
      </c>
      <c r="F5" s="113" t="s">
        <v>65</v>
      </c>
      <c r="G5" s="115" t="s">
        <v>272</v>
      </c>
      <c r="H5" s="115" t="s">
        <v>272</v>
      </c>
      <c r="I5" s="113" t="s">
        <v>269</v>
      </c>
      <c r="J5" s="116">
        <v>35</v>
      </c>
      <c r="K5" s="113">
        <v>1</v>
      </c>
      <c r="L5" s="115"/>
      <c r="M5" s="113">
        <v>4</v>
      </c>
      <c r="N5" s="117"/>
    </row>
    <row r="6" spans="1:14" hidden="1">
      <c r="A6" s="113">
        <v>4</v>
      </c>
      <c r="B6" s="114">
        <v>46153</v>
      </c>
      <c r="C6" s="113">
        <v>28</v>
      </c>
      <c r="D6" s="115"/>
      <c r="E6" s="113" t="s">
        <v>267</v>
      </c>
      <c r="F6" s="113" t="s">
        <v>65</v>
      </c>
      <c r="G6" s="115" t="s">
        <v>268</v>
      </c>
      <c r="H6" s="115" t="s">
        <v>268</v>
      </c>
      <c r="I6" s="113" t="s">
        <v>273</v>
      </c>
      <c r="J6" s="116">
        <v>105</v>
      </c>
      <c r="K6" s="113">
        <v>3</v>
      </c>
      <c r="L6" s="115"/>
      <c r="M6" s="113">
        <v>4</v>
      </c>
      <c r="N6" s="117"/>
    </row>
    <row r="7" spans="1:14" hidden="1">
      <c r="A7" s="113">
        <v>5</v>
      </c>
      <c r="B7" s="114">
        <v>46153</v>
      </c>
      <c r="C7" s="113">
        <v>28</v>
      </c>
      <c r="D7" s="115"/>
      <c r="E7" s="113" t="s">
        <v>271</v>
      </c>
      <c r="F7" s="113" t="s">
        <v>65</v>
      </c>
      <c r="G7" s="115" t="s">
        <v>272</v>
      </c>
      <c r="H7" s="115" t="s">
        <v>272</v>
      </c>
      <c r="I7" s="113" t="s">
        <v>273</v>
      </c>
      <c r="J7" s="116">
        <v>70</v>
      </c>
      <c r="K7" s="113">
        <v>1</v>
      </c>
      <c r="L7" s="115"/>
      <c r="M7" s="113">
        <v>4</v>
      </c>
      <c r="N7" s="117" t="s">
        <v>274</v>
      </c>
    </row>
    <row r="8" spans="1:14" hidden="1">
      <c r="A8" s="113">
        <v>6</v>
      </c>
      <c r="B8" s="114">
        <v>46157</v>
      </c>
      <c r="C8" s="113">
        <v>28</v>
      </c>
      <c r="D8" s="115"/>
      <c r="E8" s="113" t="s">
        <v>263</v>
      </c>
      <c r="F8" s="113" t="s">
        <v>65</v>
      </c>
      <c r="G8" s="115" t="s">
        <v>265</v>
      </c>
      <c r="H8" s="115" t="s">
        <v>265</v>
      </c>
      <c r="I8" s="113" t="s">
        <v>275</v>
      </c>
      <c r="J8" s="116">
        <v>35</v>
      </c>
      <c r="K8" s="113">
        <v>1</v>
      </c>
      <c r="L8" s="115"/>
      <c r="M8" s="113">
        <v>4</v>
      </c>
      <c r="N8" s="117"/>
    </row>
    <row r="9" spans="1:14" hidden="1">
      <c r="A9" s="113">
        <v>7</v>
      </c>
      <c r="B9" s="114">
        <v>46157</v>
      </c>
      <c r="C9" s="113">
        <v>28</v>
      </c>
      <c r="D9" s="115"/>
      <c r="E9" s="113" t="s">
        <v>267</v>
      </c>
      <c r="F9" s="113" t="s">
        <v>65</v>
      </c>
      <c r="G9" s="115" t="s">
        <v>268</v>
      </c>
      <c r="H9" s="115" t="s">
        <v>268</v>
      </c>
      <c r="I9" s="113" t="s">
        <v>275</v>
      </c>
      <c r="J9" s="116">
        <v>105</v>
      </c>
      <c r="K9" s="113">
        <v>3</v>
      </c>
      <c r="L9" s="115"/>
      <c r="M9" s="113">
        <v>4</v>
      </c>
      <c r="N9" s="117"/>
    </row>
    <row r="10" spans="1:14" hidden="1">
      <c r="A10" s="113">
        <v>8</v>
      </c>
      <c r="B10" s="114">
        <v>46157</v>
      </c>
      <c r="C10" s="113">
        <v>28</v>
      </c>
      <c r="D10" s="115"/>
      <c r="E10" s="113" t="s">
        <v>271</v>
      </c>
      <c r="F10" s="113" t="s">
        <v>65</v>
      </c>
      <c r="G10" s="115" t="s">
        <v>272</v>
      </c>
      <c r="H10" s="115" t="s">
        <v>272</v>
      </c>
      <c r="I10" s="113" t="s">
        <v>275</v>
      </c>
      <c r="J10" s="116">
        <v>35</v>
      </c>
      <c r="K10" s="113">
        <v>1</v>
      </c>
      <c r="L10" s="115"/>
      <c r="M10" s="113">
        <v>4</v>
      </c>
      <c r="N10" s="117"/>
    </row>
    <row r="11" spans="1:14" hidden="1">
      <c r="A11" s="113">
        <v>9</v>
      </c>
      <c r="B11" s="114">
        <v>46161</v>
      </c>
      <c r="C11" s="113">
        <v>28</v>
      </c>
      <c r="D11" s="115"/>
      <c r="E11" s="113" t="s">
        <v>267</v>
      </c>
      <c r="F11" s="113" t="s">
        <v>65</v>
      </c>
      <c r="G11" s="115" t="s">
        <v>268</v>
      </c>
      <c r="H11" s="115" t="s">
        <v>268</v>
      </c>
      <c r="I11" s="113" t="s">
        <v>276</v>
      </c>
      <c r="J11" s="116">
        <v>35</v>
      </c>
      <c r="K11" s="113">
        <v>1</v>
      </c>
      <c r="L11" s="115"/>
      <c r="M11" s="113">
        <v>4</v>
      </c>
      <c r="N11" s="117"/>
    </row>
    <row r="12" spans="1:14" hidden="1">
      <c r="A12" s="113">
        <v>10</v>
      </c>
      <c r="B12" s="114">
        <v>46161</v>
      </c>
      <c r="C12" s="113">
        <v>28</v>
      </c>
      <c r="D12" s="115"/>
      <c r="E12" s="113" t="s">
        <v>271</v>
      </c>
      <c r="F12" s="113" t="s">
        <v>65</v>
      </c>
      <c r="G12" s="115" t="s">
        <v>272</v>
      </c>
      <c r="H12" s="115" t="s">
        <v>272</v>
      </c>
      <c r="I12" s="113" t="s">
        <v>276</v>
      </c>
      <c r="J12" s="116">
        <v>35</v>
      </c>
      <c r="K12" s="113">
        <v>1</v>
      </c>
      <c r="L12" s="115"/>
      <c r="M12" s="113">
        <v>4</v>
      </c>
      <c r="N12" s="117"/>
    </row>
    <row r="13" spans="1:14" hidden="1">
      <c r="A13" s="113">
        <v>11</v>
      </c>
      <c r="B13" s="114">
        <v>46161</v>
      </c>
      <c r="C13" s="113">
        <v>28</v>
      </c>
      <c r="D13" s="115"/>
      <c r="E13" s="113" t="s">
        <v>277</v>
      </c>
      <c r="F13" s="113" t="s">
        <v>65</v>
      </c>
      <c r="G13" s="115" t="s">
        <v>278</v>
      </c>
      <c r="H13" s="115" t="s">
        <v>279</v>
      </c>
      <c r="I13" s="113" t="s">
        <v>276</v>
      </c>
      <c r="J13" s="116">
        <v>1365</v>
      </c>
      <c r="K13" s="113">
        <v>39</v>
      </c>
      <c r="L13" s="115"/>
      <c r="M13" s="113">
        <v>4</v>
      </c>
      <c r="N13" s="117"/>
    </row>
    <row r="14" spans="1:14" hidden="1">
      <c r="A14" s="113">
        <v>12</v>
      </c>
      <c r="B14" s="114">
        <v>46162</v>
      </c>
      <c r="C14" s="113">
        <v>28</v>
      </c>
      <c r="D14" s="115"/>
      <c r="E14" s="113" t="s">
        <v>267</v>
      </c>
      <c r="F14" s="113" t="s">
        <v>65</v>
      </c>
      <c r="G14" s="115" t="s">
        <v>268</v>
      </c>
      <c r="H14" s="115" t="s">
        <v>268</v>
      </c>
      <c r="I14" s="113" t="s">
        <v>280</v>
      </c>
      <c r="J14" s="116">
        <v>175</v>
      </c>
      <c r="K14" s="113">
        <v>5</v>
      </c>
      <c r="L14" s="115"/>
      <c r="M14" s="113">
        <v>4</v>
      </c>
      <c r="N14" s="117"/>
    </row>
    <row r="15" spans="1:14" hidden="1">
      <c r="A15" s="113">
        <v>13</v>
      </c>
      <c r="B15" s="114">
        <v>46162</v>
      </c>
      <c r="C15" s="113">
        <v>28</v>
      </c>
      <c r="D15" s="115"/>
      <c r="E15" s="113" t="s">
        <v>271</v>
      </c>
      <c r="F15" s="113" t="s">
        <v>65</v>
      </c>
      <c r="G15" s="115" t="s">
        <v>272</v>
      </c>
      <c r="H15" s="115" t="s">
        <v>272</v>
      </c>
      <c r="I15" s="113" t="s">
        <v>280</v>
      </c>
      <c r="J15" s="116">
        <v>35</v>
      </c>
      <c r="K15" s="113">
        <v>1</v>
      </c>
      <c r="L15" s="115"/>
      <c r="M15" s="113">
        <v>4</v>
      </c>
      <c r="N15" s="117"/>
    </row>
    <row r="16" spans="1:14" hidden="1">
      <c r="A16" s="113">
        <v>14</v>
      </c>
      <c r="B16" s="114">
        <v>46163</v>
      </c>
      <c r="C16" s="113">
        <v>28</v>
      </c>
      <c r="D16" s="115"/>
      <c r="E16" s="113" t="s">
        <v>263</v>
      </c>
      <c r="F16" s="113" t="s">
        <v>65</v>
      </c>
      <c r="G16" s="115" t="s">
        <v>265</v>
      </c>
      <c r="H16" s="115" t="s">
        <v>265</v>
      </c>
      <c r="I16" s="113" t="s">
        <v>281</v>
      </c>
      <c r="J16" s="116">
        <v>35</v>
      </c>
      <c r="K16" s="113">
        <v>1</v>
      </c>
      <c r="L16" s="115"/>
      <c r="M16" s="113">
        <v>4</v>
      </c>
      <c r="N16" s="117"/>
    </row>
    <row r="17" spans="1:14" hidden="1">
      <c r="A17" s="113">
        <v>15</v>
      </c>
      <c r="B17" s="114">
        <v>46163</v>
      </c>
      <c r="C17" s="113">
        <v>28</v>
      </c>
      <c r="D17" s="115"/>
      <c r="E17" s="113" t="s">
        <v>271</v>
      </c>
      <c r="F17" s="113" t="s">
        <v>65</v>
      </c>
      <c r="G17" s="115" t="s">
        <v>272</v>
      </c>
      <c r="H17" s="115" t="s">
        <v>272</v>
      </c>
      <c r="I17" s="113" t="s">
        <v>281</v>
      </c>
      <c r="J17" s="116">
        <v>70</v>
      </c>
      <c r="K17" s="113">
        <v>2</v>
      </c>
      <c r="L17" s="115"/>
      <c r="M17" s="113">
        <v>4</v>
      </c>
      <c r="N17" s="117"/>
    </row>
    <row r="18" spans="1:14" hidden="1">
      <c r="A18" s="113">
        <v>16</v>
      </c>
      <c r="B18" s="118">
        <v>46163</v>
      </c>
      <c r="C18" s="113">
        <v>28</v>
      </c>
      <c r="D18" s="115"/>
      <c r="E18" s="113" t="s">
        <v>267</v>
      </c>
      <c r="F18" s="113" t="s">
        <v>65</v>
      </c>
      <c r="G18" s="115" t="s">
        <v>268</v>
      </c>
      <c r="H18" s="115" t="s">
        <v>268</v>
      </c>
      <c r="I18" s="113" t="s">
        <v>281</v>
      </c>
      <c r="J18" s="116">
        <v>140</v>
      </c>
      <c r="K18" s="113">
        <v>4</v>
      </c>
      <c r="L18" s="115"/>
      <c r="M18" s="113">
        <v>4</v>
      </c>
      <c r="N18" s="117"/>
    </row>
    <row r="19" spans="1:14" hidden="1">
      <c r="A19" s="113">
        <v>17</v>
      </c>
      <c r="B19" s="114">
        <v>46163</v>
      </c>
      <c r="C19" s="113">
        <v>4</v>
      </c>
      <c r="D19" s="115"/>
      <c r="E19" s="113" t="s">
        <v>267</v>
      </c>
      <c r="F19" s="113" t="s">
        <v>65</v>
      </c>
      <c r="G19" s="115" t="s">
        <v>268</v>
      </c>
      <c r="H19" s="115" t="s">
        <v>268</v>
      </c>
      <c r="I19" s="113" t="s">
        <v>281</v>
      </c>
      <c r="J19" s="116">
        <v>70</v>
      </c>
      <c r="K19" s="113">
        <v>2</v>
      </c>
      <c r="L19" s="115"/>
      <c r="M19" s="113">
        <v>4</v>
      </c>
      <c r="N19" s="117"/>
    </row>
    <row r="20" spans="1:14" hidden="1">
      <c r="A20" s="113">
        <v>18</v>
      </c>
      <c r="B20" s="114">
        <v>46164</v>
      </c>
      <c r="C20" s="113">
        <v>4</v>
      </c>
      <c r="D20" s="115"/>
      <c r="E20" s="113" t="s">
        <v>267</v>
      </c>
      <c r="F20" s="113" t="s">
        <v>65</v>
      </c>
      <c r="G20" s="115" t="s">
        <v>268</v>
      </c>
      <c r="H20" s="115" t="s">
        <v>268</v>
      </c>
      <c r="I20" s="113" t="s">
        <v>282</v>
      </c>
      <c r="J20" s="116">
        <v>140</v>
      </c>
      <c r="K20" s="113">
        <v>4</v>
      </c>
      <c r="L20" s="115"/>
      <c r="M20" s="113">
        <v>4</v>
      </c>
      <c r="N20" s="117" t="s">
        <v>283</v>
      </c>
    </row>
    <row r="21" spans="1:14" hidden="1">
      <c r="A21" s="113">
        <v>19</v>
      </c>
      <c r="B21" s="114">
        <v>46165</v>
      </c>
      <c r="C21" s="113">
        <v>4</v>
      </c>
      <c r="D21" s="115"/>
      <c r="E21" s="113" t="s">
        <v>271</v>
      </c>
      <c r="F21" s="113" t="s">
        <v>65</v>
      </c>
      <c r="G21" s="115" t="s">
        <v>272</v>
      </c>
      <c r="H21" s="115" t="s">
        <v>272</v>
      </c>
      <c r="I21" s="113" t="s">
        <v>284</v>
      </c>
      <c r="J21" s="116">
        <v>35</v>
      </c>
      <c r="K21" s="113">
        <v>1</v>
      </c>
      <c r="L21" s="115"/>
      <c r="M21" s="113">
        <v>4</v>
      </c>
      <c r="N21" s="117"/>
    </row>
    <row r="22" spans="1:14" hidden="1">
      <c r="A22" s="113">
        <v>20</v>
      </c>
      <c r="B22" s="114">
        <v>46167</v>
      </c>
      <c r="C22" s="113">
        <v>4</v>
      </c>
      <c r="D22" s="115"/>
      <c r="E22" s="113" t="s">
        <v>285</v>
      </c>
      <c r="F22" s="113" t="s">
        <v>65</v>
      </c>
      <c r="G22" s="115" t="s">
        <v>268</v>
      </c>
      <c r="H22" s="115" t="s">
        <v>268</v>
      </c>
      <c r="I22" s="113" t="s">
        <v>286</v>
      </c>
      <c r="J22" s="116">
        <v>490</v>
      </c>
      <c r="K22" s="113">
        <v>14</v>
      </c>
      <c r="L22" s="115"/>
      <c r="M22" s="113">
        <v>3</v>
      </c>
      <c r="N22" s="117" t="s">
        <v>287</v>
      </c>
    </row>
    <row r="23" spans="1:14" hidden="1">
      <c r="A23" s="113">
        <v>21</v>
      </c>
      <c r="B23" s="114">
        <v>46167</v>
      </c>
      <c r="C23" s="113">
        <v>4</v>
      </c>
      <c r="D23" s="115"/>
      <c r="E23" s="113" t="s">
        <v>271</v>
      </c>
      <c r="F23" s="113" t="s">
        <v>65</v>
      </c>
      <c r="G23" s="115" t="s">
        <v>272</v>
      </c>
      <c r="H23" s="115" t="s">
        <v>272</v>
      </c>
      <c r="I23" s="113" t="s">
        <v>286</v>
      </c>
      <c r="J23" s="116">
        <v>175</v>
      </c>
      <c r="K23" s="113">
        <v>5</v>
      </c>
      <c r="L23" s="115"/>
      <c r="M23" s="113">
        <v>3</v>
      </c>
      <c r="N23" s="117"/>
    </row>
    <row r="24" spans="1:14" hidden="1">
      <c r="A24" s="113">
        <v>22</v>
      </c>
      <c r="B24" s="114">
        <v>46171</v>
      </c>
      <c r="C24" s="113">
        <v>4</v>
      </c>
      <c r="D24" s="115"/>
      <c r="E24" s="113"/>
      <c r="F24" s="113" t="s">
        <v>65</v>
      </c>
      <c r="G24" s="115" t="s">
        <v>288</v>
      </c>
      <c r="H24" s="115" t="s">
        <v>289</v>
      </c>
      <c r="I24" s="113" t="s">
        <v>290</v>
      </c>
      <c r="J24" s="116"/>
      <c r="K24" s="113"/>
      <c r="L24" s="115"/>
      <c r="M24" s="113">
        <v>3</v>
      </c>
      <c r="N24" s="117"/>
    </row>
    <row r="25" spans="1:14" hidden="1">
      <c r="A25" s="113">
        <v>23</v>
      </c>
      <c r="B25" s="114">
        <v>46172</v>
      </c>
      <c r="C25" s="113">
        <v>4</v>
      </c>
      <c r="D25" s="115"/>
      <c r="E25" s="113" t="s">
        <v>285</v>
      </c>
      <c r="F25" s="113" t="s">
        <v>65</v>
      </c>
      <c r="G25" s="115" t="s">
        <v>268</v>
      </c>
      <c r="H25" s="115" t="s">
        <v>268</v>
      </c>
      <c r="I25" s="113" t="s">
        <v>291</v>
      </c>
      <c r="J25" s="116">
        <v>280</v>
      </c>
      <c r="K25" s="113">
        <v>8</v>
      </c>
      <c r="L25" s="115"/>
      <c r="M25" s="113">
        <v>3</v>
      </c>
      <c r="N25" s="117"/>
    </row>
    <row r="26" spans="1:14" hidden="1">
      <c r="A26" s="113">
        <v>24</v>
      </c>
      <c r="B26" s="114">
        <v>46172</v>
      </c>
      <c r="C26" s="113">
        <v>4</v>
      </c>
      <c r="D26" s="115"/>
      <c r="E26" s="113" t="s">
        <v>271</v>
      </c>
      <c r="F26" s="113" t="s">
        <v>65</v>
      </c>
      <c r="G26" s="115" t="s">
        <v>272</v>
      </c>
      <c r="H26" s="115" t="s">
        <v>272</v>
      </c>
      <c r="I26" s="113" t="s">
        <v>291</v>
      </c>
      <c r="J26" s="116">
        <v>175</v>
      </c>
      <c r="K26" s="113">
        <v>5</v>
      </c>
      <c r="L26" s="115"/>
      <c r="M26" s="113">
        <v>3</v>
      </c>
      <c r="N26" s="117"/>
    </row>
    <row r="27" spans="1:14" hidden="1">
      <c r="A27" s="113">
        <v>25</v>
      </c>
      <c r="B27" s="114">
        <v>46175</v>
      </c>
      <c r="C27" s="113">
        <v>4</v>
      </c>
      <c r="D27" s="115"/>
      <c r="E27" s="113" t="s">
        <v>285</v>
      </c>
      <c r="F27" s="113" t="s">
        <v>65</v>
      </c>
      <c r="G27" s="115" t="s">
        <v>268</v>
      </c>
      <c r="H27" s="115" t="s">
        <v>268</v>
      </c>
      <c r="I27" s="113" t="s">
        <v>292</v>
      </c>
      <c r="J27" s="116">
        <v>175</v>
      </c>
      <c r="K27" s="113">
        <v>5</v>
      </c>
      <c r="L27" s="115"/>
      <c r="M27" s="113">
        <v>5</v>
      </c>
      <c r="N27" s="117"/>
    </row>
    <row r="28" spans="1:14" hidden="1">
      <c r="A28" s="113">
        <v>26</v>
      </c>
      <c r="B28" s="114">
        <v>46175</v>
      </c>
      <c r="C28" s="113">
        <v>4</v>
      </c>
      <c r="D28" s="115"/>
      <c r="E28" s="113" t="s">
        <v>271</v>
      </c>
      <c r="F28" s="113" t="s">
        <v>65</v>
      </c>
      <c r="G28" s="115" t="s">
        <v>272</v>
      </c>
      <c r="H28" s="115" t="s">
        <v>272</v>
      </c>
      <c r="I28" s="113" t="s">
        <v>292</v>
      </c>
      <c r="J28" s="116">
        <v>175</v>
      </c>
      <c r="K28" s="113">
        <v>5</v>
      </c>
      <c r="L28" s="115"/>
      <c r="M28" s="113">
        <v>5</v>
      </c>
      <c r="N28" s="117"/>
    </row>
    <row r="29" spans="1:14" hidden="1">
      <c r="A29" s="113">
        <v>27</v>
      </c>
      <c r="B29" s="114">
        <v>46176</v>
      </c>
      <c r="C29" s="113">
        <v>4</v>
      </c>
      <c r="D29" s="115"/>
      <c r="E29" s="113" t="s">
        <v>271</v>
      </c>
      <c r="F29" s="113" t="s">
        <v>65</v>
      </c>
      <c r="G29" s="115" t="s">
        <v>272</v>
      </c>
      <c r="H29" s="115" t="s">
        <v>272</v>
      </c>
      <c r="I29" s="113" t="s">
        <v>293</v>
      </c>
      <c r="J29" s="116">
        <v>175</v>
      </c>
      <c r="K29" s="113">
        <v>5</v>
      </c>
      <c r="L29" s="115"/>
      <c r="M29" s="113">
        <v>5</v>
      </c>
      <c r="N29" s="117" t="s">
        <v>287</v>
      </c>
    </row>
    <row r="30" spans="1:14" hidden="1">
      <c r="A30" s="113">
        <v>28</v>
      </c>
      <c r="B30" s="114">
        <v>46176</v>
      </c>
      <c r="C30" s="113">
        <v>4</v>
      </c>
      <c r="D30" s="115"/>
      <c r="E30" s="113" t="s">
        <v>285</v>
      </c>
      <c r="F30" s="113" t="s">
        <v>65</v>
      </c>
      <c r="G30" s="115" t="s">
        <v>268</v>
      </c>
      <c r="H30" s="115" t="s">
        <v>268</v>
      </c>
      <c r="I30" s="113" t="s">
        <v>293</v>
      </c>
      <c r="J30" s="116">
        <v>105</v>
      </c>
      <c r="K30" s="113">
        <v>3</v>
      </c>
      <c r="L30" s="115"/>
      <c r="M30" s="113">
        <v>5</v>
      </c>
      <c r="N30" s="117"/>
    </row>
    <row r="31" spans="1:14" hidden="1">
      <c r="A31" s="113">
        <v>29</v>
      </c>
      <c r="B31" s="114">
        <v>46176</v>
      </c>
      <c r="C31" s="113">
        <v>4</v>
      </c>
      <c r="D31" s="115"/>
      <c r="E31" s="113"/>
      <c r="F31" s="113" t="s">
        <v>65</v>
      </c>
      <c r="G31" s="115" t="s">
        <v>294</v>
      </c>
      <c r="H31" s="115" t="s">
        <v>279</v>
      </c>
      <c r="I31" s="113" t="s">
        <v>295</v>
      </c>
      <c r="J31" s="116">
        <v>390</v>
      </c>
      <c r="K31" s="113"/>
      <c r="L31" s="115" t="s">
        <v>296</v>
      </c>
      <c r="M31" s="113">
        <v>5</v>
      </c>
      <c r="N31" s="117" t="s">
        <v>297</v>
      </c>
    </row>
    <row r="32" spans="1:14" hidden="1">
      <c r="A32" s="113">
        <v>30</v>
      </c>
      <c r="B32" s="114">
        <v>46176</v>
      </c>
      <c r="C32" s="113">
        <v>5</v>
      </c>
      <c r="D32" s="115"/>
      <c r="E32" s="113" t="s">
        <v>298</v>
      </c>
      <c r="F32" s="113" t="s">
        <v>65</v>
      </c>
      <c r="G32" s="115" t="s">
        <v>272</v>
      </c>
      <c r="H32" s="115" t="s">
        <v>272</v>
      </c>
      <c r="I32" s="113" t="s">
        <v>293</v>
      </c>
      <c r="J32" s="116">
        <v>420</v>
      </c>
      <c r="K32" s="113">
        <v>12</v>
      </c>
      <c r="L32" s="115"/>
      <c r="M32" s="113">
        <v>5</v>
      </c>
      <c r="N32" s="117" t="s">
        <v>299</v>
      </c>
    </row>
    <row r="33" spans="1:14" hidden="1">
      <c r="A33" s="113">
        <v>31</v>
      </c>
      <c r="B33" s="114">
        <v>46176</v>
      </c>
      <c r="C33" s="113">
        <v>5</v>
      </c>
      <c r="D33" s="115"/>
      <c r="E33" s="113" t="s">
        <v>300</v>
      </c>
      <c r="F33" s="113" t="s">
        <v>65</v>
      </c>
      <c r="G33" s="115" t="s">
        <v>268</v>
      </c>
      <c r="H33" s="115" t="s">
        <v>268</v>
      </c>
      <c r="I33" s="113" t="s">
        <v>293</v>
      </c>
      <c r="J33" s="116">
        <v>210</v>
      </c>
      <c r="K33" s="113">
        <v>6</v>
      </c>
      <c r="L33" s="115"/>
      <c r="M33" s="113">
        <v>5</v>
      </c>
      <c r="N33" s="117" t="s">
        <v>299</v>
      </c>
    </row>
    <row r="34" spans="1:14" hidden="1">
      <c r="A34" s="113">
        <v>32</v>
      </c>
      <c r="B34" s="114">
        <v>46176</v>
      </c>
      <c r="C34" s="113">
        <v>5</v>
      </c>
      <c r="D34" s="115"/>
      <c r="E34" s="113" t="s">
        <v>301</v>
      </c>
      <c r="F34" s="113" t="s">
        <v>65</v>
      </c>
      <c r="G34" s="115" t="s">
        <v>302</v>
      </c>
      <c r="H34" s="115" t="s">
        <v>303</v>
      </c>
      <c r="I34" s="113" t="s">
        <v>293</v>
      </c>
      <c r="J34" s="116">
        <v>35</v>
      </c>
      <c r="K34" s="113">
        <v>1</v>
      </c>
      <c r="L34" s="115"/>
      <c r="M34" s="113">
        <v>5</v>
      </c>
      <c r="N34" s="117"/>
    </row>
    <row r="35" spans="1:14" hidden="1">
      <c r="A35" s="113">
        <v>33</v>
      </c>
      <c r="B35" s="114">
        <v>46177</v>
      </c>
      <c r="C35" s="113">
        <v>5</v>
      </c>
      <c r="D35" s="115"/>
      <c r="E35" s="113" t="s">
        <v>301</v>
      </c>
      <c r="F35" s="113" t="s">
        <v>65</v>
      </c>
      <c r="G35" s="115" t="s">
        <v>303</v>
      </c>
      <c r="H35" s="115" t="s">
        <v>303</v>
      </c>
      <c r="I35" s="113" t="s">
        <v>304</v>
      </c>
      <c r="J35" s="116">
        <v>1260</v>
      </c>
      <c r="K35" s="113">
        <v>36</v>
      </c>
      <c r="L35" s="115"/>
      <c r="M35" s="113">
        <v>5</v>
      </c>
      <c r="N35" s="117"/>
    </row>
    <row r="36" spans="1:14" hidden="1">
      <c r="A36" s="113">
        <v>34</v>
      </c>
      <c r="B36" s="114">
        <v>46177</v>
      </c>
      <c r="C36" s="113">
        <v>5</v>
      </c>
      <c r="D36" s="115"/>
      <c r="E36" s="113" t="s">
        <v>305</v>
      </c>
      <c r="F36" s="113" t="s">
        <v>65</v>
      </c>
      <c r="G36" s="115" t="s">
        <v>303</v>
      </c>
      <c r="H36" s="115" t="s">
        <v>303</v>
      </c>
      <c r="I36" s="113" t="s">
        <v>304</v>
      </c>
      <c r="J36" s="116">
        <v>875</v>
      </c>
      <c r="K36" s="113">
        <v>25</v>
      </c>
      <c r="L36" s="115"/>
      <c r="M36" s="113">
        <v>5</v>
      </c>
      <c r="N36" s="117"/>
    </row>
    <row r="37" spans="1:14" hidden="1">
      <c r="A37" s="113">
        <v>35</v>
      </c>
      <c r="B37" s="114">
        <v>46177</v>
      </c>
      <c r="C37" s="113">
        <v>5</v>
      </c>
      <c r="D37" s="115"/>
      <c r="E37" s="113" t="s">
        <v>298</v>
      </c>
      <c r="F37" s="113" t="s">
        <v>65</v>
      </c>
      <c r="G37" s="115" t="s">
        <v>272</v>
      </c>
      <c r="H37" s="115" t="s">
        <v>272</v>
      </c>
      <c r="I37" s="113" t="s">
        <v>306</v>
      </c>
      <c r="J37" s="116">
        <v>175</v>
      </c>
      <c r="K37" s="113">
        <v>5</v>
      </c>
      <c r="L37" s="115"/>
      <c r="M37" s="113">
        <v>5</v>
      </c>
      <c r="N37" s="117" t="s">
        <v>299</v>
      </c>
    </row>
    <row r="38" spans="1:14" hidden="1">
      <c r="A38" s="113">
        <v>36</v>
      </c>
      <c r="B38" s="114">
        <v>46178</v>
      </c>
      <c r="C38" s="113">
        <v>5</v>
      </c>
      <c r="D38" s="115"/>
      <c r="E38" s="113" t="s">
        <v>298</v>
      </c>
      <c r="F38" s="113" t="s">
        <v>65</v>
      </c>
      <c r="G38" s="115" t="s">
        <v>272</v>
      </c>
      <c r="H38" s="115" t="s">
        <v>272</v>
      </c>
      <c r="I38" s="113" t="s">
        <v>307</v>
      </c>
      <c r="J38" s="116">
        <v>70</v>
      </c>
      <c r="K38" s="113">
        <v>2</v>
      </c>
      <c r="L38" s="115"/>
      <c r="M38" s="113">
        <v>5</v>
      </c>
      <c r="N38" s="117" t="s">
        <v>299</v>
      </c>
    </row>
    <row r="39" spans="1:14" hidden="1">
      <c r="A39" s="113">
        <v>37</v>
      </c>
      <c r="B39" s="114">
        <v>46178</v>
      </c>
      <c r="C39" s="113">
        <v>5</v>
      </c>
      <c r="D39" s="115"/>
      <c r="E39" s="113" t="s">
        <v>300</v>
      </c>
      <c r="F39" s="113" t="s">
        <v>65</v>
      </c>
      <c r="G39" s="115" t="s">
        <v>268</v>
      </c>
      <c r="H39" s="115" t="s">
        <v>268</v>
      </c>
      <c r="I39" s="113" t="s">
        <v>307</v>
      </c>
      <c r="J39" s="116">
        <v>35</v>
      </c>
      <c r="K39" s="113">
        <v>1</v>
      </c>
      <c r="L39" s="115"/>
      <c r="M39" s="113">
        <v>5</v>
      </c>
      <c r="N39" s="117" t="s">
        <v>299</v>
      </c>
    </row>
    <row r="40" spans="1:14" hidden="1">
      <c r="A40" s="113">
        <v>38</v>
      </c>
      <c r="B40" s="114">
        <v>46178</v>
      </c>
      <c r="C40" s="113">
        <v>5</v>
      </c>
      <c r="D40" s="115"/>
      <c r="E40" s="113" t="s">
        <v>305</v>
      </c>
      <c r="F40" s="113" t="s">
        <v>65</v>
      </c>
      <c r="G40" s="115" t="s">
        <v>303</v>
      </c>
      <c r="H40" s="115" t="s">
        <v>303</v>
      </c>
      <c r="I40" s="113" t="s">
        <v>307</v>
      </c>
      <c r="J40" s="116">
        <v>420</v>
      </c>
      <c r="K40" s="113">
        <v>12</v>
      </c>
      <c r="L40" s="115"/>
      <c r="M40" s="113">
        <v>5</v>
      </c>
      <c r="N40" s="117"/>
    </row>
    <row r="41" spans="1:14" hidden="1">
      <c r="A41" s="113">
        <v>39</v>
      </c>
      <c r="B41" s="114">
        <v>46178</v>
      </c>
      <c r="C41" s="113">
        <v>5</v>
      </c>
      <c r="D41" s="115"/>
      <c r="E41" s="113" t="s">
        <v>308</v>
      </c>
      <c r="F41" s="113" t="s">
        <v>65</v>
      </c>
      <c r="G41" s="115" t="s">
        <v>303</v>
      </c>
      <c r="H41" s="115" t="s">
        <v>303</v>
      </c>
      <c r="I41" s="113" t="s">
        <v>307</v>
      </c>
      <c r="J41" s="116">
        <v>1260</v>
      </c>
      <c r="K41" s="113">
        <v>36</v>
      </c>
      <c r="L41" s="115"/>
      <c r="M41" s="113">
        <v>5</v>
      </c>
      <c r="N41" s="117"/>
    </row>
    <row r="42" spans="1:14" hidden="1">
      <c r="A42" s="113">
        <v>40</v>
      </c>
      <c r="B42" s="114">
        <v>46178</v>
      </c>
      <c r="C42" s="113">
        <v>5</v>
      </c>
      <c r="D42" s="115"/>
      <c r="E42" s="113" t="s">
        <v>309</v>
      </c>
      <c r="F42" s="113" t="s">
        <v>65</v>
      </c>
      <c r="G42" s="115" t="s">
        <v>303</v>
      </c>
      <c r="H42" s="115" t="s">
        <v>303</v>
      </c>
      <c r="I42" s="113" t="s">
        <v>307</v>
      </c>
      <c r="J42" s="116">
        <v>455</v>
      </c>
      <c r="K42" s="113">
        <v>13</v>
      </c>
      <c r="L42" s="115"/>
      <c r="M42" s="113">
        <v>5</v>
      </c>
      <c r="N42" s="117"/>
    </row>
    <row r="43" spans="1:14" hidden="1">
      <c r="A43" s="113">
        <v>41</v>
      </c>
      <c r="B43" s="114">
        <v>46179</v>
      </c>
      <c r="C43" s="113">
        <v>5</v>
      </c>
      <c r="D43" s="115"/>
      <c r="E43" s="113" t="s">
        <v>300</v>
      </c>
      <c r="F43" s="113" t="s">
        <v>65</v>
      </c>
      <c r="G43" s="115" t="s">
        <v>268</v>
      </c>
      <c r="H43" s="115" t="s">
        <v>268</v>
      </c>
      <c r="I43" s="113" t="s">
        <v>310</v>
      </c>
      <c r="J43" s="116">
        <v>140</v>
      </c>
      <c r="K43" s="113">
        <v>4</v>
      </c>
      <c r="L43" s="115"/>
      <c r="M43" s="113">
        <v>5</v>
      </c>
      <c r="N43" s="117"/>
    </row>
    <row r="44" spans="1:14" hidden="1">
      <c r="A44" s="113">
        <v>42</v>
      </c>
      <c r="B44" s="114">
        <v>46179</v>
      </c>
      <c r="C44" s="113">
        <v>5</v>
      </c>
      <c r="D44" s="115"/>
      <c r="E44" s="113" t="s">
        <v>298</v>
      </c>
      <c r="F44" s="113" t="s">
        <v>65</v>
      </c>
      <c r="G44" s="115" t="s">
        <v>272</v>
      </c>
      <c r="H44" s="115" t="s">
        <v>272</v>
      </c>
      <c r="I44" s="113" t="s">
        <v>310</v>
      </c>
      <c r="J44" s="116">
        <v>105</v>
      </c>
      <c r="K44" s="113">
        <v>3</v>
      </c>
      <c r="L44" s="115"/>
      <c r="M44" s="113">
        <v>5</v>
      </c>
      <c r="N44" s="117"/>
    </row>
    <row r="45" spans="1:14" hidden="1">
      <c r="A45" s="113">
        <v>43</v>
      </c>
      <c r="B45" s="114">
        <v>46179</v>
      </c>
      <c r="C45" s="113">
        <v>5</v>
      </c>
      <c r="D45" s="115"/>
      <c r="E45" s="113" t="s">
        <v>301</v>
      </c>
      <c r="F45" s="113" t="s">
        <v>65</v>
      </c>
      <c r="G45" s="115" t="s">
        <v>303</v>
      </c>
      <c r="H45" s="115" t="s">
        <v>303</v>
      </c>
      <c r="I45" s="113" t="s">
        <v>310</v>
      </c>
      <c r="J45" s="116">
        <v>805</v>
      </c>
      <c r="K45" s="113">
        <v>23</v>
      </c>
      <c r="L45" s="115"/>
      <c r="M45" s="113">
        <v>5</v>
      </c>
      <c r="N45" s="117" t="s">
        <v>311</v>
      </c>
    </row>
    <row r="46" spans="1:14" hidden="1">
      <c r="A46" s="113">
        <v>44</v>
      </c>
      <c r="B46" s="114">
        <v>46179</v>
      </c>
      <c r="C46" s="113">
        <v>5</v>
      </c>
      <c r="D46" s="115"/>
      <c r="E46" s="113" t="s">
        <v>312</v>
      </c>
      <c r="F46" s="113" t="s">
        <v>65</v>
      </c>
      <c r="G46" s="115" t="s">
        <v>303</v>
      </c>
      <c r="H46" s="115" t="s">
        <v>303</v>
      </c>
      <c r="I46" s="113" t="s">
        <v>310</v>
      </c>
      <c r="J46" s="116">
        <v>1260</v>
      </c>
      <c r="K46" s="113">
        <v>36</v>
      </c>
      <c r="L46" s="115"/>
      <c r="M46" s="113">
        <v>5</v>
      </c>
      <c r="N46" s="117"/>
    </row>
    <row r="47" spans="1:14" hidden="1">
      <c r="A47" s="113">
        <v>45</v>
      </c>
      <c r="B47" s="114">
        <v>46179</v>
      </c>
      <c r="C47" s="113">
        <v>5</v>
      </c>
      <c r="D47" s="115"/>
      <c r="E47" s="113" t="s">
        <v>313</v>
      </c>
      <c r="F47" s="113" t="s">
        <v>65</v>
      </c>
      <c r="G47" s="115" t="s">
        <v>303</v>
      </c>
      <c r="H47" s="115" t="s">
        <v>303</v>
      </c>
      <c r="I47" s="113" t="s">
        <v>310</v>
      </c>
      <c r="J47" s="116">
        <v>700</v>
      </c>
      <c r="K47" s="113">
        <v>20</v>
      </c>
      <c r="L47" s="115"/>
      <c r="M47" s="113">
        <v>5</v>
      </c>
      <c r="N47" s="117"/>
    </row>
    <row r="48" spans="1:14" hidden="1">
      <c r="A48" s="113">
        <v>46</v>
      </c>
      <c r="B48" s="114">
        <v>46181</v>
      </c>
      <c r="C48" s="113">
        <v>5</v>
      </c>
      <c r="D48" s="115"/>
      <c r="E48" s="113" t="s">
        <v>300</v>
      </c>
      <c r="F48" s="113" t="s">
        <v>65</v>
      </c>
      <c r="G48" s="115" t="s">
        <v>268</v>
      </c>
      <c r="H48" s="115" t="s">
        <v>268</v>
      </c>
      <c r="I48" s="113" t="s">
        <v>314</v>
      </c>
      <c r="J48" s="116">
        <v>70</v>
      </c>
      <c r="K48" s="113">
        <v>2</v>
      </c>
      <c r="L48" s="115"/>
      <c r="M48" s="113">
        <v>1</v>
      </c>
      <c r="N48" s="117"/>
    </row>
    <row r="49" spans="1:14" hidden="1">
      <c r="A49" s="113">
        <v>47</v>
      </c>
      <c r="B49" s="114">
        <v>46181</v>
      </c>
      <c r="C49" s="113">
        <v>5</v>
      </c>
      <c r="D49" s="115"/>
      <c r="E49" s="113" t="s">
        <v>298</v>
      </c>
      <c r="F49" s="113" t="s">
        <v>65</v>
      </c>
      <c r="G49" s="115" t="s">
        <v>272</v>
      </c>
      <c r="H49" s="115" t="s">
        <v>272</v>
      </c>
      <c r="I49" s="113" t="s">
        <v>314</v>
      </c>
      <c r="J49" s="116">
        <v>280</v>
      </c>
      <c r="K49" s="113">
        <v>8</v>
      </c>
      <c r="L49" s="115"/>
      <c r="M49" s="113">
        <v>1</v>
      </c>
      <c r="N49" s="117"/>
    </row>
    <row r="50" spans="1:14" hidden="1">
      <c r="A50" s="113">
        <v>48</v>
      </c>
      <c r="B50" s="114">
        <v>46181</v>
      </c>
      <c r="C50" s="113">
        <v>5</v>
      </c>
      <c r="D50" s="115"/>
      <c r="E50" s="113" t="s">
        <v>313</v>
      </c>
      <c r="F50" s="113" t="s">
        <v>65</v>
      </c>
      <c r="G50" s="115" t="s">
        <v>303</v>
      </c>
      <c r="H50" s="115" t="s">
        <v>303</v>
      </c>
      <c r="I50" s="113" t="s">
        <v>314</v>
      </c>
      <c r="J50" s="116">
        <v>560</v>
      </c>
      <c r="K50" s="113">
        <v>16</v>
      </c>
      <c r="L50" s="115"/>
      <c r="M50" s="113">
        <v>1</v>
      </c>
      <c r="N50" s="117"/>
    </row>
    <row r="51" spans="1:14" hidden="1">
      <c r="A51" s="113">
        <v>49</v>
      </c>
      <c r="B51" s="114">
        <v>46181</v>
      </c>
      <c r="C51" s="113">
        <v>5</v>
      </c>
      <c r="D51" s="115"/>
      <c r="E51" s="113" t="s">
        <v>315</v>
      </c>
      <c r="F51" s="113" t="s">
        <v>65</v>
      </c>
      <c r="G51" s="115" t="s">
        <v>303</v>
      </c>
      <c r="H51" s="115" t="s">
        <v>303</v>
      </c>
      <c r="I51" s="113" t="s">
        <v>314</v>
      </c>
      <c r="J51" s="116">
        <v>245</v>
      </c>
      <c r="K51" s="113">
        <v>7</v>
      </c>
      <c r="L51" s="115"/>
      <c r="M51" s="113">
        <v>1</v>
      </c>
      <c r="N51" s="117"/>
    </row>
    <row r="52" spans="1:14" hidden="1">
      <c r="A52" s="113">
        <v>50</v>
      </c>
      <c r="B52" s="114">
        <v>46182</v>
      </c>
      <c r="C52" s="113">
        <v>5</v>
      </c>
      <c r="D52" s="115"/>
      <c r="E52" s="113" t="s">
        <v>300</v>
      </c>
      <c r="F52" s="113" t="s">
        <v>65</v>
      </c>
      <c r="G52" s="115" t="s">
        <v>268</v>
      </c>
      <c r="H52" s="115" t="s">
        <v>268</v>
      </c>
      <c r="I52" s="113" t="s">
        <v>316</v>
      </c>
      <c r="J52" s="116">
        <v>105</v>
      </c>
      <c r="K52" s="113">
        <v>3</v>
      </c>
      <c r="L52" s="115"/>
      <c r="M52" s="113">
        <v>1</v>
      </c>
      <c r="N52" s="117"/>
    </row>
    <row r="53" spans="1:14" hidden="1">
      <c r="A53" s="113">
        <v>51</v>
      </c>
      <c r="B53" s="114">
        <v>46182</v>
      </c>
      <c r="C53" s="113">
        <v>5</v>
      </c>
      <c r="D53" s="115"/>
      <c r="E53" s="113" t="s">
        <v>298</v>
      </c>
      <c r="F53" s="113" t="s">
        <v>65</v>
      </c>
      <c r="G53" s="115" t="s">
        <v>272</v>
      </c>
      <c r="H53" s="115" t="s">
        <v>272</v>
      </c>
      <c r="I53" s="113" t="s">
        <v>316</v>
      </c>
      <c r="J53" s="116">
        <v>70</v>
      </c>
      <c r="K53" s="113">
        <v>2</v>
      </c>
      <c r="L53" s="115"/>
      <c r="M53" s="113">
        <v>1</v>
      </c>
      <c r="N53" s="117"/>
    </row>
    <row r="54" spans="1:14" hidden="1">
      <c r="A54" s="113">
        <v>52</v>
      </c>
      <c r="B54" s="114">
        <v>46182</v>
      </c>
      <c r="C54" s="113">
        <v>5</v>
      </c>
      <c r="D54" s="115"/>
      <c r="E54" s="113" t="s">
        <v>315</v>
      </c>
      <c r="F54" s="113" t="s">
        <v>65</v>
      </c>
      <c r="G54" s="115" t="s">
        <v>303</v>
      </c>
      <c r="H54" s="115" t="s">
        <v>303</v>
      </c>
      <c r="I54" s="113" t="s">
        <v>317</v>
      </c>
      <c r="J54" s="116">
        <v>735</v>
      </c>
      <c r="K54" s="113">
        <v>21</v>
      </c>
      <c r="L54" s="115"/>
      <c r="M54" s="113">
        <v>1</v>
      </c>
      <c r="N54" s="117"/>
    </row>
    <row r="55" spans="1:14" hidden="1">
      <c r="A55" s="113">
        <v>53</v>
      </c>
      <c r="B55" s="114">
        <v>46182</v>
      </c>
      <c r="C55" s="113">
        <v>6</v>
      </c>
      <c r="D55" s="115"/>
      <c r="E55" s="113" t="s">
        <v>300</v>
      </c>
      <c r="F55" s="113" t="s">
        <v>65</v>
      </c>
      <c r="G55" s="115" t="s">
        <v>268</v>
      </c>
      <c r="H55" s="115" t="s">
        <v>268</v>
      </c>
      <c r="I55" s="113" t="s">
        <v>316</v>
      </c>
      <c r="J55" s="116">
        <v>980</v>
      </c>
      <c r="K55" s="113">
        <v>28</v>
      </c>
      <c r="L55" s="115"/>
      <c r="M55" s="113">
        <v>1</v>
      </c>
      <c r="N55" s="117"/>
    </row>
    <row r="56" spans="1:14" hidden="1">
      <c r="A56" s="113">
        <v>54</v>
      </c>
      <c r="B56" s="114">
        <v>46182</v>
      </c>
      <c r="C56" s="113">
        <v>6</v>
      </c>
      <c r="D56" s="115"/>
      <c r="E56" s="113" t="s">
        <v>318</v>
      </c>
      <c r="F56" s="113" t="s">
        <v>65</v>
      </c>
      <c r="G56" s="115" t="s">
        <v>268</v>
      </c>
      <c r="H56" s="115" t="s">
        <v>268</v>
      </c>
      <c r="I56" s="113" t="s">
        <v>316</v>
      </c>
      <c r="J56" s="116">
        <v>805</v>
      </c>
      <c r="K56" s="113">
        <v>23</v>
      </c>
      <c r="L56" s="115"/>
      <c r="M56" s="113">
        <v>1</v>
      </c>
      <c r="N56" s="117"/>
    </row>
    <row r="57" spans="1:14" hidden="1">
      <c r="A57" s="113">
        <v>55</v>
      </c>
      <c r="B57" s="114">
        <v>46182</v>
      </c>
      <c r="C57" s="113">
        <v>6</v>
      </c>
      <c r="D57" s="115"/>
      <c r="E57" s="113" t="s">
        <v>298</v>
      </c>
      <c r="F57" s="113" t="s">
        <v>65</v>
      </c>
      <c r="G57" s="115" t="s">
        <v>272</v>
      </c>
      <c r="H57" s="115" t="s">
        <v>272</v>
      </c>
      <c r="I57" s="113" t="s">
        <v>316</v>
      </c>
      <c r="J57" s="116">
        <v>315</v>
      </c>
      <c r="K57" s="113">
        <v>9</v>
      </c>
      <c r="L57" s="115"/>
      <c r="M57" s="113">
        <v>1</v>
      </c>
      <c r="N57" s="117"/>
    </row>
    <row r="58" spans="1:14" hidden="1">
      <c r="A58" s="113">
        <v>56</v>
      </c>
      <c r="B58" s="114">
        <v>46182</v>
      </c>
      <c r="C58" s="113">
        <v>6</v>
      </c>
      <c r="D58" s="115"/>
      <c r="E58" s="113" t="s">
        <v>315</v>
      </c>
      <c r="F58" s="113" t="s">
        <v>65</v>
      </c>
      <c r="G58" s="115" t="s">
        <v>303</v>
      </c>
      <c r="H58" s="115" t="s">
        <v>303</v>
      </c>
      <c r="I58" s="113" t="s">
        <v>317</v>
      </c>
      <c r="J58" s="116">
        <v>315</v>
      </c>
      <c r="K58" s="113">
        <v>9</v>
      </c>
      <c r="L58" s="115"/>
      <c r="M58" s="113">
        <v>1</v>
      </c>
      <c r="N58" s="117"/>
    </row>
    <row r="59" spans="1:14" hidden="1">
      <c r="A59" s="113">
        <v>57</v>
      </c>
      <c r="B59" s="114">
        <v>46182</v>
      </c>
      <c r="C59" s="113">
        <v>6</v>
      </c>
      <c r="D59" s="115"/>
      <c r="E59" s="113" t="s">
        <v>319</v>
      </c>
      <c r="F59" s="113" t="s">
        <v>65</v>
      </c>
      <c r="G59" s="115" t="s">
        <v>303</v>
      </c>
      <c r="H59" s="115" t="s">
        <v>303</v>
      </c>
      <c r="I59" s="113" t="s">
        <v>317</v>
      </c>
      <c r="J59" s="116">
        <v>665</v>
      </c>
      <c r="K59" s="113">
        <v>19</v>
      </c>
      <c r="L59" s="115"/>
      <c r="M59" s="113">
        <v>1</v>
      </c>
      <c r="N59" s="117"/>
    </row>
    <row r="60" spans="1:14">
      <c r="A60" s="113">
        <v>58</v>
      </c>
      <c r="B60" s="114">
        <v>46182</v>
      </c>
      <c r="C60" s="113">
        <v>6</v>
      </c>
      <c r="D60" s="115"/>
      <c r="E60" s="113" t="s">
        <v>320</v>
      </c>
      <c r="F60" s="113" t="s">
        <v>65</v>
      </c>
      <c r="G60" s="115" t="s">
        <v>272</v>
      </c>
      <c r="H60" s="115" t="s">
        <v>272</v>
      </c>
      <c r="I60" s="113" t="s">
        <v>316</v>
      </c>
      <c r="J60" s="116">
        <v>140</v>
      </c>
      <c r="K60" s="113" t="s">
        <v>321</v>
      </c>
      <c r="L60" s="115"/>
      <c r="M60" s="113">
        <v>1</v>
      </c>
      <c r="N60" s="117"/>
    </row>
    <row r="61" spans="1:14" hidden="1">
      <c r="A61" s="113">
        <v>59</v>
      </c>
      <c r="B61" s="114">
        <v>46183</v>
      </c>
      <c r="C61" s="113">
        <v>6</v>
      </c>
      <c r="D61" s="115"/>
      <c r="E61" s="113" t="s">
        <v>318</v>
      </c>
      <c r="F61" s="113" t="s">
        <v>65</v>
      </c>
      <c r="G61" s="115" t="s">
        <v>268</v>
      </c>
      <c r="H61" s="115" t="s">
        <v>268</v>
      </c>
      <c r="I61" s="113" t="s">
        <v>322</v>
      </c>
      <c r="J61" s="116">
        <v>420</v>
      </c>
      <c r="K61" s="113">
        <v>12</v>
      </c>
      <c r="L61" s="115"/>
      <c r="M61" s="113">
        <v>1</v>
      </c>
      <c r="N61" s="117"/>
    </row>
    <row r="62" spans="1:14">
      <c r="A62" s="113">
        <v>60</v>
      </c>
      <c r="B62" s="114">
        <v>46183</v>
      </c>
      <c r="C62" s="113">
        <v>6</v>
      </c>
      <c r="D62" s="115"/>
      <c r="E62" s="113" t="s">
        <v>320</v>
      </c>
      <c r="F62" s="113" t="s">
        <v>65</v>
      </c>
      <c r="G62" s="115" t="s">
        <v>272</v>
      </c>
      <c r="H62" s="115" t="s">
        <v>272</v>
      </c>
      <c r="I62" s="113" t="s">
        <v>322</v>
      </c>
      <c r="J62" s="116">
        <v>525</v>
      </c>
      <c r="K62" s="113">
        <v>15</v>
      </c>
      <c r="L62" s="115"/>
      <c r="M62" s="113">
        <v>1</v>
      </c>
      <c r="N62" s="117"/>
    </row>
    <row r="63" spans="1:14" hidden="1">
      <c r="A63" s="113">
        <v>61</v>
      </c>
      <c r="B63" s="114">
        <v>46183</v>
      </c>
      <c r="C63" s="113">
        <v>6</v>
      </c>
      <c r="D63" s="115"/>
      <c r="E63" s="113" t="s">
        <v>323</v>
      </c>
      <c r="F63" s="113" t="s">
        <v>65</v>
      </c>
      <c r="G63" s="115" t="s">
        <v>268</v>
      </c>
      <c r="H63" s="115" t="s">
        <v>268</v>
      </c>
      <c r="I63" s="113" t="s">
        <v>322</v>
      </c>
      <c r="J63" s="116">
        <v>35</v>
      </c>
      <c r="K63" s="113">
        <v>1</v>
      </c>
      <c r="L63" s="115"/>
      <c r="M63" s="113">
        <v>1</v>
      </c>
      <c r="N63" s="117"/>
    </row>
    <row r="64" spans="1:14" hidden="1">
      <c r="A64" s="113">
        <v>62</v>
      </c>
      <c r="B64" s="114">
        <v>46183</v>
      </c>
      <c r="C64" s="113">
        <v>6</v>
      </c>
      <c r="D64" s="115"/>
      <c r="E64" s="113" t="s">
        <v>324</v>
      </c>
      <c r="F64" s="113" t="s">
        <v>65</v>
      </c>
      <c r="G64" s="115" t="s">
        <v>325</v>
      </c>
      <c r="H64" s="115" t="s">
        <v>326</v>
      </c>
      <c r="I64" s="113" t="s">
        <v>327</v>
      </c>
      <c r="J64" s="116"/>
      <c r="K64" s="113"/>
      <c r="L64" s="115" t="s">
        <v>328</v>
      </c>
      <c r="M64" s="113">
        <v>1</v>
      </c>
      <c r="N64" s="117" t="s">
        <v>329</v>
      </c>
    </row>
    <row r="65" spans="1:14" hidden="1">
      <c r="A65" s="113">
        <v>63</v>
      </c>
      <c r="B65" s="114">
        <v>46184</v>
      </c>
      <c r="C65" s="113">
        <v>6</v>
      </c>
      <c r="D65" s="115"/>
      <c r="E65" s="113" t="s">
        <v>324</v>
      </c>
      <c r="F65" s="113" t="s">
        <v>65</v>
      </c>
      <c r="G65" s="115" t="s">
        <v>325</v>
      </c>
      <c r="H65" s="115" t="s">
        <v>326</v>
      </c>
      <c r="I65" s="113" t="s">
        <v>330</v>
      </c>
      <c r="J65" s="116"/>
      <c r="K65" s="113"/>
      <c r="L65" s="115" t="s">
        <v>328</v>
      </c>
      <c r="M65" s="113">
        <v>1</v>
      </c>
      <c r="N65" s="117" t="s">
        <v>331</v>
      </c>
    </row>
    <row r="66" spans="1:14">
      <c r="A66" s="113">
        <v>64</v>
      </c>
      <c r="B66" s="114">
        <v>46184</v>
      </c>
      <c r="C66" s="113">
        <v>6</v>
      </c>
      <c r="D66" s="115"/>
      <c r="E66" s="113" t="s">
        <v>320</v>
      </c>
      <c r="F66" s="113" t="s">
        <v>65</v>
      </c>
      <c r="G66" s="115" t="s">
        <v>272</v>
      </c>
      <c r="H66" s="115" t="s">
        <v>272</v>
      </c>
      <c r="I66" s="113" t="s">
        <v>332</v>
      </c>
      <c r="J66" s="116">
        <v>280</v>
      </c>
      <c r="K66" s="113">
        <v>8</v>
      </c>
      <c r="L66" s="115"/>
      <c r="M66" s="113">
        <v>1</v>
      </c>
      <c r="N66" s="117"/>
    </row>
    <row r="67" spans="1:14" hidden="1">
      <c r="A67" s="113">
        <v>65</v>
      </c>
      <c r="B67" s="114">
        <v>46184</v>
      </c>
      <c r="C67" s="113">
        <v>6</v>
      </c>
      <c r="D67" s="115"/>
      <c r="E67" s="113" t="s">
        <v>323</v>
      </c>
      <c r="F67" s="113" t="s">
        <v>65</v>
      </c>
      <c r="G67" s="115" t="s">
        <v>268</v>
      </c>
      <c r="H67" s="115" t="s">
        <v>268</v>
      </c>
      <c r="I67" s="113" t="s">
        <v>332</v>
      </c>
      <c r="J67" s="116">
        <v>315</v>
      </c>
      <c r="K67" s="113">
        <v>9</v>
      </c>
      <c r="L67" s="115"/>
      <c r="M67" s="113">
        <v>1</v>
      </c>
      <c r="N67" s="117"/>
    </row>
    <row r="68" spans="1:14" hidden="1">
      <c r="A68" s="113">
        <v>66</v>
      </c>
      <c r="B68" s="114">
        <v>46184</v>
      </c>
      <c r="C68" s="113">
        <v>6</v>
      </c>
      <c r="D68" s="115"/>
      <c r="E68" s="113" t="s">
        <v>319</v>
      </c>
      <c r="F68" s="113" t="s">
        <v>65</v>
      </c>
      <c r="G68" s="115" t="s">
        <v>303</v>
      </c>
      <c r="H68" s="115" t="s">
        <v>303</v>
      </c>
      <c r="I68" s="113" t="s">
        <v>333</v>
      </c>
      <c r="J68" s="116">
        <v>385</v>
      </c>
      <c r="K68" s="113">
        <v>11</v>
      </c>
      <c r="L68" s="115"/>
      <c r="M68" s="113">
        <v>1</v>
      </c>
      <c r="N68" s="117"/>
    </row>
    <row r="69" spans="1:14" hidden="1">
      <c r="A69" s="113">
        <v>67</v>
      </c>
      <c r="B69" s="114">
        <v>46184</v>
      </c>
      <c r="C69" s="113">
        <v>6</v>
      </c>
      <c r="D69" s="115"/>
      <c r="E69" s="113" t="s">
        <v>324</v>
      </c>
      <c r="F69" s="113" t="s">
        <v>65</v>
      </c>
      <c r="G69" s="115" t="s">
        <v>334</v>
      </c>
      <c r="H69" s="115" t="s">
        <v>265</v>
      </c>
      <c r="I69" s="113" t="s">
        <v>335</v>
      </c>
      <c r="J69" s="116"/>
      <c r="K69" s="113"/>
      <c r="L69" s="115" t="s">
        <v>336</v>
      </c>
      <c r="M69" s="113">
        <v>2</v>
      </c>
      <c r="N69" s="117"/>
    </row>
    <row r="70" spans="1:14" hidden="1">
      <c r="A70" s="113">
        <v>68</v>
      </c>
      <c r="B70" s="114">
        <v>46185</v>
      </c>
      <c r="C70" s="113">
        <v>6</v>
      </c>
      <c r="D70" s="115"/>
      <c r="E70" s="113" t="s">
        <v>319</v>
      </c>
      <c r="F70" s="113" t="s">
        <v>65</v>
      </c>
      <c r="G70" s="115" t="s">
        <v>303</v>
      </c>
      <c r="H70" s="115" t="s">
        <v>303</v>
      </c>
      <c r="I70" s="113" t="s">
        <v>337</v>
      </c>
      <c r="J70" s="116">
        <v>105</v>
      </c>
      <c r="K70" s="113">
        <v>3</v>
      </c>
      <c r="L70" s="115"/>
      <c r="M70" s="113">
        <v>2</v>
      </c>
      <c r="N70" s="117"/>
    </row>
    <row r="71" spans="1:14" hidden="1">
      <c r="A71" s="113">
        <v>69</v>
      </c>
      <c r="B71" s="114">
        <v>46188</v>
      </c>
      <c r="C71" s="113">
        <v>6</v>
      </c>
      <c r="D71" s="115"/>
      <c r="E71" s="113" t="s">
        <v>324</v>
      </c>
      <c r="F71" s="113" t="s">
        <v>65</v>
      </c>
      <c r="G71" s="115" t="s">
        <v>325</v>
      </c>
      <c r="H71" s="115" t="s">
        <v>326</v>
      </c>
      <c r="I71" s="113" t="s">
        <v>338</v>
      </c>
      <c r="J71" s="116"/>
      <c r="K71" s="113"/>
      <c r="L71" s="115" t="s">
        <v>339</v>
      </c>
      <c r="M71" s="113">
        <v>2</v>
      </c>
      <c r="N71" s="117"/>
    </row>
    <row r="72" spans="1:14">
      <c r="A72" s="113">
        <v>70</v>
      </c>
      <c r="B72" s="114">
        <v>46188</v>
      </c>
      <c r="C72" s="113">
        <v>6</v>
      </c>
      <c r="D72" s="115"/>
      <c r="E72" s="113" t="s">
        <v>320</v>
      </c>
      <c r="F72" s="113" t="s">
        <v>65</v>
      </c>
      <c r="G72" s="115" t="s">
        <v>272</v>
      </c>
      <c r="H72" s="115" t="s">
        <v>272</v>
      </c>
      <c r="I72" s="113" t="s">
        <v>340</v>
      </c>
      <c r="J72" s="116">
        <v>140</v>
      </c>
      <c r="K72" s="113">
        <v>4</v>
      </c>
      <c r="L72" s="115"/>
      <c r="M72" s="113">
        <v>2</v>
      </c>
      <c r="N72" s="117"/>
    </row>
    <row r="73" spans="1:14" hidden="1">
      <c r="A73" s="113">
        <v>71</v>
      </c>
      <c r="B73" s="114">
        <v>46188</v>
      </c>
      <c r="C73" s="113">
        <v>6</v>
      </c>
      <c r="D73" s="115"/>
      <c r="E73" s="113" t="s">
        <v>323</v>
      </c>
      <c r="F73" s="113" t="s">
        <v>65</v>
      </c>
      <c r="G73" s="115" t="s">
        <v>268</v>
      </c>
      <c r="H73" s="115" t="s">
        <v>268</v>
      </c>
      <c r="I73" s="113" t="s">
        <v>340</v>
      </c>
      <c r="J73" s="116">
        <v>35</v>
      </c>
      <c r="K73" s="113">
        <v>1</v>
      </c>
      <c r="L73" s="115"/>
      <c r="M73" s="113">
        <v>2</v>
      </c>
      <c r="N73" s="117"/>
    </row>
    <row r="74" spans="1:14">
      <c r="A74" s="113">
        <v>72</v>
      </c>
      <c r="B74" s="114">
        <v>46188</v>
      </c>
      <c r="C74" s="113">
        <v>7</v>
      </c>
      <c r="D74" s="115"/>
      <c r="E74" s="113" t="s">
        <v>320</v>
      </c>
      <c r="F74" s="113" t="s">
        <v>65</v>
      </c>
      <c r="G74" s="115" t="s">
        <v>272</v>
      </c>
      <c r="H74" s="115" t="s">
        <v>272</v>
      </c>
      <c r="I74" s="113" t="s">
        <v>340</v>
      </c>
      <c r="J74" s="116">
        <v>35</v>
      </c>
      <c r="K74" s="113">
        <v>1</v>
      </c>
      <c r="L74" s="115"/>
      <c r="M74" s="113">
        <v>2</v>
      </c>
      <c r="N74" s="117"/>
    </row>
    <row r="75" spans="1:14" hidden="1">
      <c r="A75" s="113">
        <v>73</v>
      </c>
      <c r="B75" s="114">
        <v>46190</v>
      </c>
      <c r="C75" s="113">
        <v>7</v>
      </c>
      <c r="D75" s="115"/>
      <c r="E75" s="113" t="s">
        <v>324</v>
      </c>
      <c r="F75" s="113" t="s">
        <v>65</v>
      </c>
      <c r="G75" s="115" t="s">
        <v>325</v>
      </c>
      <c r="H75" s="115" t="s">
        <v>326</v>
      </c>
      <c r="I75" s="113" t="s">
        <v>341</v>
      </c>
      <c r="J75" s="116"/>
      <c r="K75" s="113"/>
      <c r="L75" s="115" t="s">
        <v>339</v>
      </c>
      <c r="M75" s="113">
        <v>2</v>
      </c>
      <c r="N75" s="117"/>
    </row>
    <row r="76" spans="1:14">
      <c r="A76" s="113">
        <v>74</v>
      </c>
      <c r="B76" s="114">
        <v>46190</v>
      </c>
      <c r="C76" s="113">
        <v>7</v>
      </c>
      <c r="D76" s="115"/>
      <c r="E76" s="113" t="s">
        <v>320</v>
      </c>
      <c r="F76" s="113" t="s">
        <v>65</v>
      </c>
      <c r="G76" s="115" t="s">
        <v>272</v>
      </c>
      <c r="H76" s="115" t="s">
        <v>272</v>
      </c>
      <c r="I76" s="113" t="s">
        <v>342</v>
      </c>
      <c r="J76" s="116">
        <v>70</v>
      </c>
      <c r="K76" s="113">
        <v>2</v>
      </c>
      <c r="L76" s="115"/>
      <c r="M76" s="113">
        <v>2</v>
      </c>
      <c r="N76" s="117"/>
    </row>
    <row r="77" spans="1:14" hidden="1">
      <c r="A77" s="113">
        <v>75</v>
      </c>
      <c r="B77" s="114">
        <v>46191</v>
      </c>
      <c r="C77" s="113">
        <v>7</v>
      </c>
      <c r="D77" s="115"/>
      <c r="E77" s="113" t="s">
        <v>324</v>
      </c>
      <c r="F77" s="113" t="s">
        <v>65</v>
      </c>
      <c r="G77" s="115" t="s">
        <v>325</v>
      </c>
      <c r="H77" s="115" t="s">
        <v>326</v>
      </c>
      <c r="I77" s="113" t="s">
        <v>343</v>
      </c>
      <c r="J77" s="116"/>
      <c r="K77" s="113"/>
      <c r="L77" s="115" t="s">
        <v>339</v>
      </c>
      <c r="M77" s="113">
        <v>2</v>
      </c>
      <c r="N77" s="117"/>
    </row>
    <row r="78" spans="1:14">
      <c r="A78" s="113">
        <v>76</v>
      </c>
      <c r="B78" s="114">
        <v>46191</v>
      </c>
      <c r="C78" s="113">
        <v>7</v>
      </c>
      <c r="D78" s="115"/>
      <c r="E78" s="113" t="s">
        <v>320</v>
      </c>
      <c r="F78" s="113" t="s">
        <v>65</v>
      </c>
      <c r="G78" s="115" t="s">
        <v>272</v>
      </c>
      <c r="H78" s="115" t="s">
        <v>272</v>
      </c>
      <c r="I78" s="113" t="s">
        <v>344</v>
      </c>
      <c r="J78" s="116">
        <v>175</v>
      </c>
      <c r="K78" s="113">
        <v>5</v>
      </c>
      <c r="L78" s="115"/>
      <c r="M78" s="113">
        <v>2</v>
      </c>
      <c r="N78" s="117"/>
    </row>
    <row r="79" spans="1:14" hidden="1">
      <c r="A79" s="113">
        <v>77</v>
      </c>
      <c r="B79" s="114">
        <v>46191</v>
      </c>
      <c r="C79" s="113">
        <v>7</v>
      </c>
      <c r="D79" s="115"/>
      <c r="E79" s="113" t="s">
        <v>323</v>
      </c>
      <c r="F79" s="113" t="s">
        <v>65</v>
      </c>
      <c r="G79" s="115" t="s">
        <v>268</v>
      </c>
      <c r="H79" s="115" t="s">
        <v>268</v>
      </c>
      <c r="I79" s="113" t="s">
        <v>344</v>
      </c>
      <c r="J79" s="116">
        <v>35</v>
      </c>
      <c r="K79" s="113">
        <v>1</v>
      </c>
      <c r="L79" s="115"/>
      <c r="M79" s="113">
        <v>2</v>
      </c>
      <c r="N79" s="117"/>
    </row>
    <row r="80" spans="1:14" hidden="1">
      <c r="A80" s="113">
        <v>78</v>
      </c>
      <c r="B80" s="114">
        <v>46191</v>
      </c>
      <c r="C80" s="113">
        <v>7</v>
      </c>
      <c r="D80" s="115"/>
      <c r="E80" s="113" t="s">
        <v>324</v>
      </c>
      <c r="F80" s="113" t="s">
        <v>65</v>
      </c>
      <c r="G80" s="115" t="s">
        <v>345</v>
      </c>
      <c r="H80" s="115" t="s">
        <v>279</v>
      </c>
      <c r="I80" s="113" t="s">
        <v>346</v>
      </c>
      <c r="J80" s="116">
        <v>102</v>
      </c>
      <c r="K80" s="113"/>
      <c r="L80" s="115" t="s">
        <v>347</v>
      </c>
      <c r="M80" s="113">
        <v>2</v>
      </c>
      <c r="N80" s="117"/>
    </row>
    <row r="81" spans="1:14" hidden="1">
      <c r="A81" s="113">
        <v>79</v>
      </c>
      <c r="B81" s="114">
        <v>46192</v>
      </c>
      <c r="C81" s="113">
        <v>7</v>
      </c>
      <c r="D81" s="115"/>
      <c r="E81" s="113" t="s">
        <v>323</v>
      </c>
      <c r="F81" s="113" t="s">
        <v>65</v>
      </c>
      <c r="G81" s="115" t="s">
        <v>268</v>
      </c>
      <c r="H81" s="115" t="s">
        <v>268</v>
      </c>
      <c r="I81" s="113" t="s">
        <v>348</v>
      </c>
      <c r="J81" s="116">
        <v>210</v>
      </c>
      <c r="K81" s="113">
        <v>6</v>
      </c>
      <c r="L81" s="115"/>
      <c r="M81" s="113">
        <v>2</v>
      </c>
      <c r="N81" s="117"/>
    </row>
    <row r="82" spans="1:14">
      <c r="A82" s="113">
        <v>80</v>
      </c>
      <c r="B82" s="114">
        <v>46192</v>
      </c>
      <c r="C82" s="113">
        <v>7</v>
      </c>
      <c r="D82" s="115"/>
      <c r="E82" s="113" t="s">
        <v>320</v>
      </c>
      <c r="F82" s="113" t="s">
        <v>65</v>
      </c>
      <c r="G82" s="115" t="s">
        <v>272</v>
      </c>
      <c r="H82" s="115" t="s">
        <v>272</v>
      </c>
      <c r="I82" s="113" t="s">
        <v>348</v>
      </c>
      <c r="J82" s="116">
        <v>35</v>
      </c>
      <c r="K82" s="113">
        <v>1</v>
      </c>
      <c r="L82" s="115"/>
      <c r="M82" s="113">
        <v>2</v>
      </c>
      <c r="N82" s="117"/>
    </row>
    <row r="83" spans="1:14" hidden="1">
      <c r="A83" s="113">
        <v>81</v>
      </c>
      <c r="B83" s="114">
        <v>46192</v>
      </c>
      <c r="C83" s="113">
        <v>7</v>
      </c>
      <c r="D83" s="115"/>
      <c r="E83" s="113" t="s">
        <v>324</v>
      </c>
      <c r="F83" s="113" t="s">
        <v>65</v>
      </c>
      <c r="G83" s="115" t="s">
        <v>325</v>
      </c>
      <c r="H83" s="115" t="s">
        <v>326</v>
      </c>
      <c r="I83" s="113" t="s">
        <v>349</v>
      </c>
      <c r="J83" s="116"/>
      <c r="K83" s="113"/>
      <c r="L83" s="115" t="s">
        <v>339</v>
      </c>
      <c r="M83" s="113">
        <v>2</v>
      </c>
      <c r="N83" s="117"/>
    </row>
    <row r="84" spans="1:14" hidden="1">
      <c r="A84" s="113">
        <v>82</v>
      </c>
      <c r="B84" s="114">
        <v>46214</v>
      </c>
      <c r="C84" s="113">
        <v>1</v>
      </c>
      <c r="D84" s="115"/>
      <c r="E84" s="113" t="s">
        <v>263</v>
      </c>
      <c r="F84" s="113" t="s">
        <v>65</v>
      </c>
      <c r="G84" s="115" t="s">
        <v>265</v>
      </c>
      <c r="H84" s="115" t="s">
        <v>265</v>
      </c>
      <c r="I84" s="113" t="s">
        <v>350</v>
      </c>
      <c r="J84" s="116">
        <v>280</v>
      </c>
      <c r="K84" s="113">
        <v>8</v>
      </c>
      <c r="L84" s="115"/>
      <c r="M84" s="113">
        <v>6</v>
      </c>
      <c r="N84" s="117"/>
    </row>
    <row r="85" spans="1:14">
      <c r="A85" s="113">
        <v>83</v>
      </c>
      <c r="B85" s="114">
        <v>46214</v>
      </c>
      <c r="C85" s="113">
        <v>1</v>
      </c>
      <c r="D85" s="115"/>
      <c r="E85" s="113" t="s">
        <v>320</v>
      </c>
      <c r="F85" s="113" t="s">
        <v>65</v>
      </c>
      <c r="G85" s="115" t="s">
        <v>272</v>
      </c>
      <c r="H85" s="115" t="s">
        <v>272</v>
      </c>
      <c r="I85" s="113" t="s">
        <v>350</v>
      </c>
      <c r="J85" s="116">
        <v>140</v>
      </c>
      <c r="K85" s="113">
        <v>4</v>
      </c>
      <c r="L85" s="115"/>
      <c r="M85" s="113">
        <v>6</v>
      </c>
      <c r="N85" s="117"/>
    </row>
    <row r="86" spans="1:14" hidden="1">
      <c r="A86" s="113">
        <v>84</v>
      </c>
      <c r="B86" s="114">
        <v>46214</v>
      </c>
      <c r="C86" s="113">
        <v>1</v>
      </c>
      <c r="D86" s="115"/>
      <c r="E86" s="113" t="s">
        <v>323</v>
      </c>
      <c r="F86" s="113" t="s">
        <v>65</v>
      </c>
      <c r="G86" s="115" t="s">
        <v>268</v>
      </c>
      <c r="H86" s="115" t="s">
        <v>268</v>
      </c>
      <c r="I86" s="113" t="s">
        <v>350</v>
      </c>
      <c r="J86" s="116">
        <v>35</v>
      </c>
      <c r="K86" s="113">
        <v>1</v>
      </c>
      <c r="L86" s="115"/>
      <c r="M86" s="113">
        <v>6</v>
      </c>
      <c r="N86" s="117"/>
    </row>
    <row r="87" spans="1:14" hidden="1">
      <c r="A87" s="113">
        <v>85</v>
      </c>
      <c r="B87" s="114">
        <v>46218</v>
      </c>
      <c r="C87" s="113">
        <v>1</v>
      </c>
      <c r="D87" s="115"/>
      <c r="E87" s="113" t="s">
        <v>263</v>
      </c>
      <c r="F87" s="113" t="s">
        <v>65</v>
      </c>
      <c r="G87" s="115" t="s">
        <v>265</v>
      </c>
      <c r="H87" s="115" t="s">
        <v>265</v>
      </c>
      <c r="I87" s="113" t="s">
        <v>351</v>
      </c>
      <c r="J87" s="116">
        <v>35</v>
      </c>
      <c r="K87" s="113">
        <v>1</v>
      </c>
      <c r="L87" s="115"/>
      <c r="M87" s="113">
        <v>6</v>
      </c>
      <c r="N87" s="117"/>
    </row>
    <row r="88" spans="1:14">
      <c r="A88" s="113">
        <v>86</v>
      </c>
      <c r="B88" s="114">
        <v>46218</v>
      </c>
      <c r="C88" s="113">
        <v>1</v>
      </c>
      <c r="D88" s="115"/>
      <c r="E88" s="113" t="s">
        <v>320</v>
      </c>
      <c r="F88" s="113" t="s">
        <v>65</v>
      </c>
      <c r="G88" s="115" t="s">
        <v>272</v>
      </c>
      <c r="H88" s="115" t="s">
        <v>272</v>
      </c>
      <c r="I88" s="113" t="s">
        <v>351</v>
      </c>
      <c r="J88" s="116">
        <v>35</v>
      </c>
      <c r="K88" s="113">
        <v>1</v>
      </c>
      <c r="L88" s="115"/>
      <c r="M88" s="113">
        <v>6</v>
      </c>
      <c r="N88" s="117"/>
    </row>
    <row r="89" spans="1:14" hidden="1">
      <c r="A89" s="113">
        <v>87</v>
      </c>
      <c r="B89" s="114">
        <v>46218</v>
      </c>
      <c r="C89" s="113">
        <v>1</v>
      </c>
      <c r="D89" s="115"/>
      <c r="E89" s="113" t="s">
        <v>323</v>
      </c>
      <c r="F89" s="113" t="s">
        <v>65</v>
      </c>
      <c r="G89" s="115" t="s">
        <v>268</v>
      </c>
      <c r="H89" s="115" t="s">
        <v>268</v>
      </c>
      <c r="I89" s="113" t="s">
        <v>351</v>
      </c>
      <c r="J89" s="116">
        <v>35</v>
      </c>
      <c r="K89" s="113">
        <v>1</v>
      </c>
      <c r="L89" s="115"/>
      <c r="M89" s="113">
        <v>6</v>
      </c>
      <c r="N89" s="117"/>
    </row>
    <row r="90" spans="1:14" hidden="1">
      <c r="A90" s="113">
        <v>88</v>
      </c>
      <c r="B90" s="114">
        <v>46219</v>
      </c>
      <c r="C90" s="113">
        <v>1</v>
      </c>
      <c r="D90" s="115"/>
      <c r="E90" s="113" t="s">
        <v>263</v>
      </c>
      <c r="F90" s="113" t="s">
        <v>65</v>
      </c>
      <c r="G90" s="115" t="s">
        <v>265</v>
      </c>
      <c r="H90" s="115" t="s">
        <v>265</v>
      </c>
      <c r="I90" s="113" t="s">
        <v>352</v>
      </c>
      <c r="J90" s="116">
        <v>35</v>
      </c>
      <c r="K90" s="113">
        <v>1</v>
      </c>
      <c r="L90" s="115"/>
      <c r="M90" s="113">
        <v>6</v>
      </c>
      <c r="N90" s="117"/>
    </row>
    <row r="91" spans="1:14">
      <c r="A91" s="113">
        <v>89</v>
      </c>
      <c r="B91" s="114">
        <v>46219</v>
      </c>
      <c r="C91" s="113">
        <v>1</v>
      </c>
      <c r="D91" s="115"/>
      <c r="E91" s="113" t="s">
        <v>320</v>
      </c>
      <c r="F91" s="113" t="s">
        <v>65</v>
      </c>
      <c r="G91" s="115" t="s">
        <v>272</v>
      </c>
      <c r="H91" s="115" t="s">
        <v>272</v>
      </c>
      <c r="I91" s="113" t="s">
        <v>352</v>
      </c>
      <c r="J91" s="116">
        <v>105</v>
      </c>
      <c r="K91" s="113">
        <v>3</v>
      </c>
      <c r="L91" s="115"/>
      <c r="M91" s="113">
        <v>6</v>
      </c>
      <c r="N91" s="117"/>
    </row>
    <row r="92" spans="1:14" hidden="1">
      <c r="A92" s="113">
        <v>90</v>
      </c>
      <c r="B92" s="114">
        <v>46219</v>
      </c>
      <c r="C92" s="113">
        <v>1</v>
      </c>
      <c r="D92" s="115"/>
      <c r="E92" s="113" t="s">
        <v>323</v>
      </c>
      <c r="F92" s="113" t="s">
        <v>65</v>
      </c>
      <c r="G92" s="115" t="s">
        <v>268</v>
      </c>
      <c r="H92" s="115" t="s">
        <v>268</v>
      </c>
      <c r="I92" s="113" t="s">
        <v>352</v>
      </c>
      <c r="J92" s="116">
        <v>245</v>
      </c>
      <c r="K92" s="113">
        <v>7</v>
      </c>
      <c r="L92" s="115"/>
      <c r="M92" s="113">
        <v>6</v>
      </c>
      <c r="N92" s="117"/>
    </row>
    <row r="93" spans="1:14" hidden="1">
      <c r="A93" s="113">
        <v>91</v>
      </c>
      <c r="B93" s="114">
        <v>46220</v>
      </c>
      <c r="C93" s="113">
        <v>1</v>
      </c>
      <c r="D93" s="115"/>
      <c r="E93" s="113" t="s">
        <v>263</v>
      </c>
      <c r="F93" s="113" t="s">
        <v>65</v>
      </c>
      <c r="G93" s="115" t="s">
        <v>265</v>
      </c>
      <c r="H93" s="115" t="s">
        <v>265</v>
      </c>
      <c r="I93" s="113" t="s">
        <v>353</v>
      </c>
      <c r="J93" s="116">
        <v>35</v>
      </c>
      <c r="K93" s="113">
        <v>1</v>
      </c>
      <c r="L93" s="115"/>
      <c r="M93" s="113">
        <v>6</v>
      </c>
      <c r="N93" s="117"/>
    </row>
    <row r="94" spans="1:14">
      <c r="A94" s="113">
        <v>92</v>
      </c>
      <c r="B94" s="114">
        <v>46220</v>
      </c>
      <c r="C94" s="113">
        <v>1</v>
      </c>
      <c r="D94" s="115"/>
      <c r="E94" s="113" t="s">
        <v>320</v>
      </c>
      <c r="F94" s="113" t="s">
        <v>65</v>
      </c>
      <c r="G94" s="115" t="s">
        <v>272</v>
      </c>
      <c r="H94" s="115" t="s">
        <v>272</v>
      </c>
      <c r="I94" s="113" t="s">
        <v>353</v>
      </c>
      <c r="J94" s="116">
        <v>105</v>
      </c>
      <c r="K94" s="113">
        <v>3</v>
      </c>
      <c r="L94" s="115"/>
      <c r="M94" s="113">
        <v>6</v>
      </c>
      <c r="N94" s="117"/>
    </row>
    <row r="95" spans="1:14" hidden="1">
      <c r="A95" s="113">
        <v>93</v>
      </c>
      <c r="B95" s="114">
        <v>46220</v>
      </c>
      <c r="C95" s="113">
        <v>1</v>
      </c>
      <c r="D95" s="115"/>
      <c r="E95" s="113" t="s">
        <v>323</v>
      </c>
      <c r="F95" s="113" t="s">
        <v>65</v>
      </c>
      <c r="G95" s="115" t="s">
        <v>268</v>
      </c>
      <c r="H95" s="115" t="s">
        <v>268</v>
      </c>
      <c r="I95" s="113" t="s">
        <v>353</v>
      </c>
      <c r="J95" s="116">
        <v>70</v>
      </c>
      <c r="K95" s="113">
        <v>2</v>
      </c>
      <c r="L95" s="115"/>
      <c r="M95" s="113">
        <v>6</v>
      </c>
      <c r="N95" s="117"/>
    </row>
    <row r="96" spans="1:14">
      <c r="A96" s="113">
        <v>94</v>
      </c>
      <c r="B96" s="114">
        <v>46220</v>
      </c>
      <c r="C96" s="113">
        <v>2</v>
      </c>
      <c r="D96" s="115"/>
      <c r="E96" s="113" t="s">
        <v>320</v>
      </c>
      <c r="F96" s="113" t="s">
        <v>65</v>
      </c>
      <c r="G96" s="115" t="s">
        <v>272</v>
      </c>
      <c r="H96" s="115" t="s">
        <v>272</v>
      </c>
      <c r="I96" s="113" t="s">
        <v>353</v>
      </c>
      <c r="J96" s="116">
        <v>35</v>
      </c>
      <c r="K96" s="113">
        <v>1</v>
      </c>
      <c r="L96" s="115"/>
      <c r="M96" s="113">
        <v>6</v>
      </c>
      <c r="N96" s="117"/>
    </row>
    <row r="97" spans="1:14" hidden="1">
      <c r="A97" s="113">
        <v>95</v>
      </c>
      <c r="B97" s="114">
        <v>46221</v>
      </c>
      <c r="C97" s="113">
        <v>2</v>
      </c>
      <c r="D97" s="115"/>
      <c r="E97" s="113" t="s">
        <v>323</v>
      </c>
      <c r="F97" s="113" t="s">
        <v>65</v>
      </c>
      <c r="G97" s="115" t="s">
        <v>268</v>
      </c>
      <c r="H97" s="115" t="s">
        <v>268</v>
      </c>
      <c r="I97" s="113" t="s">
        <v>354</v>
      </c>
      <c r="J97" s="116">
        <v>70</v>
      </c>
      <c r="K97" s="113">
        <v>2</v>
      </c>
      <c r="L97" s="115"/>
      <c r="M97" s="113">
        <v>6</v>
      </c>
      <c r="N97" s="117"/>
    </row>
    <row r="98" spans="1:14" hidden="1">
      <c r="A98" s="113">
        <v>96</v>
      </c>
      <c r="B98" s="114">
        <v>46224</v>
      </c>
      <c r="C98" s="113">
        <v>2</v>
      </c>
      <c r="D98" s="115"/>
      <c r="E98" s="113" t="s">
        <v>263</v>
      </c>
      <c r="F98" s="113" t="s">
        <v>65</v>
      </c>
      <c r="G98" s="115" t="s">
        <v>265</v>
      </c>
      <c r="H98" s="115" t="s">
        <v>265</v>
      </c>
      <c r="I98" s="113" t="s">
        <v>355</v>
      </c>
      <c r="J98" s="116">
        <v>35</v>
      </c>
      <c r="K98" s="113">
        <v>1</v>
      </c>
      <c r="L98" s="115"/>
      <c r="M98" s="113">
        <v>6</v>
      </c>
      <c r="N98" s="117"/>
    </row>
    <row r="99" spans="1:14">
      <c r="A99" s="113">
        <v>97</v>
      </c>
      <c r="B99" s="114">
        <v>46224</v>
      </c>
      <c r="C99" s="113">
        <v>2</v>
      </c>
      <c r="D99" s="115"/>
      <c r="E99" s="113" t="s">
        <v>320</v>
      </c>
      <c r="F99" s="113" t="s">
        <v>65</v>
      </c>
      <c r="G99" s="115" t="s">
        <v>272</v>
      </c>
      <c r="H99" s="115" t="s">
        <v>272</v>
      </c>
      <c r="I99" s="113" t="s">
        <v>355</v>
      </c>
      <c r="J99" s="116">
        <v>70</v>
      </c>
      <c r="K99" s="113">
        <v>2</v>
      </c>
      <c r="L99" s="115"/>
      <c r="M99" s="113">
        <v>6</v>
      </c>
      <c r="N99" s="117"/>
    </row>
    <row r="100" spans="1:14">
      <c r="A100" s="113">
        <v>98</v>
      </c>
      <c r="B100" s="114">
        <v>46225</v>
      </c>
      <c r="C100" s="113">
        <v>2</v>
      </c>
      <c r="D100" s="115"/>
      <c r="E100" s="113" t="s">
        <v>320</v>
      </c>
      <c r="F100" s="113" t="s">
        <v>65</v>
      </c>
      <c r="G100" s="115" t="s">
        <v>272</v>
      </c>
      <c r="H100" s="115" t="s">
        <v>272</v>
      </c>
      <c r="I100" s="113" t="s">
        <v>356</v>
      </c>
      <c r="J100" s="116">
        <v>35</v>
      </c>
      <c r="K100" s="113">
        <v>1</v>
      </c>
      <c r="L100" s="115"/>
      <c r="M100" s="113">
        <v>6</v>
      </c>
      <c r="N100" s="117"/>
    </row>
    <row r="101" spans="1:14" hidden="1">
      <c r="A101" s="113">
        <v>99</v>
      </c>
      <c r="B101" s="114">
        <v>46225</v>
      </c>
      <c r="C101" s="113">
        <v>2</v>
      </c>
      <c r="D101" s="115"/>
      <c r="E101" s="113" t="s">
        <v>323</v>
      </c>
      <c r="F101" s="113" t="s">
        <v>65</v>
      </c>
      <c r="G101" s="115" t="s">
        <v>268</v>
      </c>
      <c r="H101" s="115" t="s">
        <v>268</v>
      </c>
      <c r="I101" s="113" t="s">
        <v>356</v>
      </c>
      <c r="J101" s="116">
        <v>70</v>
      </c>
      <c r="K101" s="113">
        <v>2</v>
      </c>
      <c r="L101" s="115"/>
      <c r="M101" s="113">
        <v>6</v>
      </c>
      <c r="N101" s="117"/>
    </row>
    <row r="102" spans="1:14">
      <c r="A102" s="113">
        <v>100</v>
      </c>
      <c r="B102" s="114">
        <v>46226</v>
      </c>
      <c r="C102" s="113">
        <v>2</v>
      </c>
      <c r="D102" s="115"/>
      <c r="E102" s="113" t="s">
        <v>320</v>
      </c>
      <c r="F102" s="113" t="s">
        <v>65</v>
      </c>
      <c r="G102" s="115" t="s">
        <v>272</v>
      </c>
      <c r="H102" s="115" t="s">
        <v>272</v>
      </c>
      <c r="I102" s="113" t="s">
        <v>357</v>
      </c>
      <c r="J102" s="116">
        <v>280</v>
      </c>
      <c r="K102" s="113">
        <v>8</v>
      </c>
      <c r="L102" s="115"/>
      <c r="M102" s="113">
        <v>7</v>
      </c>
      <c r="N102" s="117"/>
    </row>
    <row r="103" spans="1:14" hidden="1">
      <c r="A103" s="113">
        <v>101</v>
      </c>
      <c r="B103" s="114">
        <v>46226</v>
      </c>
      <c r="C103" s="113">
        <v>2</v>
      </c>
      <c r="D103" s="115"/>
      <c r="E103" s="113" t="s">
        <v>323</v>
      </c>
      <c r="F103" s="113" t="s">
        <v>65</v>
      </c>
      <c r="G103" s="115" t="s">
        <v>268</v>
      </c>
      <c r="H103" s="115" t="s">
        <v>268</v>
      </c>
      <c r="I103" s="113" t="s">
        <v>357</v>
      </c>
      <c r="J103" s="116">
        <v>630</v>
      </c>
      <c r="K103" s="113">
        <v>18</v>
      </c>
      <c r="L103" s="115"/>
      <c r="M103" s="113">
        <v>7</v>
      </c>
      <c r="N103" s="117"/>
    </row>
    <row r="104" spans="1:14" hidden="1">
      <c r="A104" s="113">
        <v>102</v>
      </c>
      <c r="B104" s="114">
        <v>46226</v>
      </c>
      <c r="C104" s="113">
        <v>2</v>
      </c>
      <c r="D104" s="115"/>
      <c r="E104" s="113" t="s">
        <v>358</v>
      </c>
      <c r="F104" s="113" t="s">
        <v>65</v>
      </c>
      <c r="G104" s="115" t="s">
        <v>272</v>
      </c>
      <c r="H104" s="115" t="s">
        <v>272</v>
      </c>
      <c r="I104" s="113" t="s">
        <v>357</v>
      </c>
      <c r="J104" s="116">
        <v>1015</v>
      </c>
      <c r="K104" s="113">
        <v>29</v>
      </c>
      <c r="L104" s="115"/>
      <c r="M104" s="113">
        <v>7</v>
      </c>
      <c r="N104" s="117"/>
    </row>
    <row r="105" spans="1:14" hidden="1">
      <c r="A105" s="113">
        <v>103</v>
      </c>
      <c r="B105" s="114">
        <v>46226</v>
      </c>
      <c r="C105" s="113">
        <v>2</v>
      </c>
      <c r="D105" s="115"/>
      <c r="E105" s="113" t="s">
        <v>359</v>
      </c>
      <c r="F105" s="113" t="s">
        <v>65</v>
      </c>
      <c r="G105" s="115" t="s">
        <v>268</v>
      </c>
      <c r="H105" s="115" t="s">
        <v>268</v>
      </c>
      <c r="I105" s="113" t="s">
        <v>357</v>
      </c>
      <c r="J105" s="116">
        <v>630</v>
      </c>
      <c r="K105" s="113">
        <v>18</v>
      </c>
      <c r="L105" s="115"/>
      <c r="M105" s="113">
        <v>7</v>
      </c>
      <c r="N105" s="117"/>
    </row>
    <row r="106" spans="1:14" hidden="1">
      <c r="A106" s="113">
        <v>104</v>
      </c>
      <c r="B106" s="114">
        <v>46227</v>
      </c>
      <c r="C106" s="113">
        <v>2</v>
      </c>
      <c r="D106" s="115"/>
      <c r="E106" s="113" t="s">
        <v>358</v>
      </c>
      <c r="F106" s="113" t="s">
        <v>65</v>
      </c>
      <c r="G106" s="115" t="s">
        <v>272</v>
      </c>
      <c r="H106" s="115" t="s">
        <v>272</v>
      </c>
      <c r="I106" s="113" t="s">
        <v>360</v>
      </c>
      <c r="J106" s="116">
        <v>105</v>
      </c>
      <c r="K106" s="113">
        <v>3</v>
      </c>
      <c r="L106" s="115"/>
      <c r="M106" s="113">
        <v>7</v>
      </c>
      <c r="N106" s="117"/>
    </row>
    <row r="107" spans="1:14" hidden="1">
      <c r="A107" s="113">
        <v>105</v>
      </c>
      <c r="B107" s="114">
        <v>46227</v>
      </c>
      <c r="C107" s="113">
        <v>2</v>
      </c>
      <c r="D107" s="115"/>
      <c r="E107" s="113" t="s">
        <v>359</v>
      </c>
      <c r="F107" s="113" t="s">
        <v>65</v>
      </c>
      <c r="G107" s="115" t="s">
        <v>268</v>
      </c>
      <c r="H107" s="115" t="s">
        <v>268</v>
      </c>
      <c r="I107" s="113" t="s">
        <v>360</v>
      </c>
      <c r="J107" s="116">
        <v>280</v>
      </c>
      <c r="K107" s="113">
        <v>8</v>
      </c>
      <c r="L107" s="115"/>
      <c r="M107" s="113">
        <v>7</v>
      </c>
      <c r="N107" s="117"/>
    </row>
    <row r="108" spans="1:14" hidden="1">
      <c r="A108" s="113">
        <v>106</v>
      </c>
      <c r="B108" s="114">
        <v>46235</v>
      </c>
      <c r="C108" s="113">
        <v>3</v>
      </c>
      <c r="D108" s="115"/>
      <c r="E108" s="113" t="s">
        <v>358</v>
      </c>
      <c r="F108" s="113" t="s">
        <v>65</v>
      </c>
      <c r="G108" s="115" t="s">
        <v>272</v>
      </c>
      <c r="H108" s="115" t="s">
        <v>272</v>
      </c>
      <c r="I108" s="113" t="s">
        <v>361</v>
      </c>
      <c r="J108" s="116">
        <v>140</v>
      </c>
      <c r="K108" s="113">
        <v>4</v>
      </c>
      <c r="L108" s="115"/>
      <c r="M108" s="113">
        <v>8</v>
      </c>
      <c r="N108" s="117" t="s">
        <v>362</v>
      </c>
    </row>
    <row r="109" spans="1:14" hidden="1">
      <c r="A109" s="113">
        <v>107</v>
      </c>
      <c r="B109" s="114">
        <v>46235</v>
      </c>
      <c r="C109" s="113">
        <v>3</v>
      </c>
      <c r="D109" s="115"/>
      <c r="E109" s="113" t="s">
        <v>359</v>
      </c>
      <c r="F109" s="113" t="s">
        <v>65</v>
      </c>
      <c r="G109" s="115" t="s">
        <v>268</v>
      </c>
      <c r="H109" s="115" t="s">
        <v>268</v>
      </c>
      <c r="I109" s="113" t="s">
        <v>361</v>
      </c>
      <c r="J109" s="116">
        <v>70</v>
      </c>
      <c r="K109" s="113">
        <v>2</v>
      </c>
      <c r="L109" s="115"/>
      <c r="M109" s="113">
        <v>8</v>
      </c>
      <c r="N109" s="117" t="s">
        <v>362</v>
      </c>
    </row>
    <row r="110" spans="1:14" hidden="1">
      <c r="A110" s="113">
        <v>108</v>
      </c>
      <c r="B110" s="114">
        <v>46235</v>
      </c>
      <c r="C110" s="113">
        <v>3</v>
      </c>
      <c r="D110" s="115"/>
      <c r="E110" s="113" t="s">
        <v>363</v>
      </c>
      <c r="F110" s="113" t="s">
        <v>65</v>
      </c>
      <c r="G110" s="115" t="s">
        <v>272</v>
      </c>
      <c r="H110" s="115" t="s">
        <v>272</v>
      </c>
      <c r="I110" s="113" t="s">
        <v>361</v>
      </c>
      <c r="J110" s="116">
        <v>70</v>
      </c>
      <c r="K110" s="113">
        <v>2</v>
      </c>
      <c r="L110" s="115"/>
      <c r="M110" s="113">
        <v>8</v>
      </c>
      <c r="N110" s="117" t="s">
        <v>362</v>
      </c>
    </row>
    <row r="111" spans="1:14" hidden="1">
      <c r="A111" s="113">
        <v>109</v>
      </c>
      <c r="B111" s="114">
        <v>46269</v>
      </c>
      <c r="C111" s="113">
        <v>3</v>
      </c>
      <c r="D111" s="115"/>
      <c r="E111" s="113" t="s">
        <v>359</v>
      </c>
      <c r="F111" s="113" t="s">
        <v>65</v>
      </c>
      <c r="G111" s="115" t="s">
        <v>268</v>
      </c>
      <c r="H111" s="115" t="s">
        <v>268</v>
      </c>
      <c r="I111" s="113" t="s">
        <v>364</v>
      </c>
      <c r="J111" s="116">
        <v>70</v>
      </c>
      <c r="K111" s="113">
        <v>2</v>
      </c>
      <c r="L111" s="115"/>
      <c r="M111" s="113">
        <v>10</v>
      </c>
      <c r="N111" s="117"/>
    </row>
    <row r="112" spans="1:14" hidden="1">
      <c r="A112" s="113">
        <v>110</v>
      </c>
      <c r="B112" s="114">
        <v>46269</v>
      </c>
      <c r="C112" s="113">
        <v>3</v>
      </c>
      <c r="D112" s="115"/>
      <c r="E112" s="113" t="s">
        <v>363</v>
      </c>
      <c r="F112" s="113" t="s">
        <v>65</v>
      </c>
      <c r="G112" s="115" t="s">
        <v>272</v>
      </c>
      <c r="H112" s="115" t="s">
        <v>272</v>
      </c>
      <c r="I112" s="113" t="s">
        <v>364</v>
      </c>
      <c r="J112" s="116">
        <v>525</v>
      </c>
      <c r="K112" s="113">
        <v>15</v>
      </c>
      <c r="L112" s="115"/>
      <c r="M112" s="113">
        <v>10</v>
      </c>
      <c r="N112" s="117"/>
    </row>
    <row r="113" spans="1:14" hidden="1">
      <c r="A113" s="113">
        <v>111</v>
      </c>
      <c r="B113" s="114">
        <v>46270</v>
      </c>
      <c r="C113" s="113">
        <v>3</v>
      </c>
      <c r="D113" s="115"/>
      <c r="E113" s="113" t="s">
        <v>263</v>
      </c>
      <c r="F113" s="113" t="s">
        <v>65</v>
      </c>
      <c r="G113" s="115" t="s">
        <v>265</v>
      </c>
      <c r="H113" s="115" t="s">
        <v>265</v>
      </c>
      <c r="I113" s="113" t="s">
        <v>365</v>
      </c>
      <c r="J113" s="116">
        <v>35</v>
      </c>
      <c r="K113" s="113">
        <v>1</v>
      </c>
      <c r="L113" s="115"/>
      <c r="M113" s="113">
        <v>10</v>
      </c>
      <c r="N113" s="117"/>
    </row>
    <row r="114" spans="1:14" hidden="1">
      <c r="A114" s="113">
        <v>112</v>
      </c>
      <c r="B114" s="114">
        <v>46270</v>
      </c>
      <c r="C114" s="113">
        <v>3</v>
      </c>
      <c r="D114" s="115"/>
      <c r="E114" s="113" t="s">
        <v>363</v>
      </c>
      <c r="F114" s="113" t="s">
        <v>65</v>
      </c>
      <c r="G114" s="115" t="s">
        <v>272</v>
      </c>
      <c r="H114" s="115" t="s">
        <v>272</v>
      </c>
      <c r="I114" s="113" t="s">
        <v>365</v>
      </c>
      <c r="J114" s="116">
        <v>175</v>
      </c>
      <c r="K114" s="113">
        <v>5</v>
      </c>
      <c r="L114" s="115"/>
      <c r="M114" s="113">
        <v>10</v>
      </c>
      <c r="N114" s="117"/>
    </row>
    <row r="115" spans="1:14" hidden="1">
      <c r="A115" s="113">
        <v>113</v>
      </c>
      <c r="B115" s="114">
        <v>46272</v>
      </c>
      <c r="C115" s="113">
        <v>3</v>
      </c>
      <c r="D115" s="115"/>
      <c r="E115" s="113" t="s">
        <v>363</v>
      </c>
      <c r="F115" s="113" t="s">
        <v>65</v>
      </c>
      <c r="G115" s="115" t="s">
        <v>272</v>
      </c>
      <c r="H115" s="115" t="s">
        <v>272</v>
      </c>
      <c r="I115" s="113" t="s">
        <v>366</v>
      </c>
      <c r="J115" s="116">
        <v>35</v>
      </c>
      <c r="K115" s="113">
        <v>1</v>
      </c>
      <c r="L115" s="115"/>
      <c r="M115" s="113">
        <v>10</v>
      </c>
      <c r="N115" s="117"/>
    </row>
    <row r="116" spans="1:14" hidden="1">
      <c r="A116" s="113">
        <v>114</v>
      </c>
      <c r="B116" s="114">
        <v>46273</v>
      </c>
      <c r="C116" s="113">
        <v>3</v>
      </c>
      <c r="D116" s="115"/>
      <c r="E116" s="113" t="s">
        <v>263</v>
      </c>
      <c r="F116" s="113" t="s">
        <v>65</v>
      </c>
      <c r="G116" s="115" t="s">
        <v>265</v>
      </c>
      <c r="H116" s="115" t="s">
        <v>265</v>
      </c>
      <c r="I116" s="113" t="s">
        <v>367</v>
      </c>
      <c r="J116" s="116">
        <v>35</v>
      </c>
      <c r="K116" s="113">
        <v>1</v>
      </c>
      <c r="L116" s="115"/>
      <c r="M116" s="113">
        <v>10</v>
      </c>
      <c r="N116" s="117"/>
    </row>
    <row r="117" spans="1:14" hidden="1">
      <c r="A117" s="113">
        <v>115</v>
      </c>
      <c r="B117" s="114">
        <v>46273</v>
      </c>
      <c r="C117" s="113">
        <v>3</v>
      </c>
      <c r="D117" s="115"/>
      <c r="E117" s="113" t="s">
        <v>359</v>
      </c>
      <c r="F117" s="113" t="s">
        <v>65</v>
      </c>
      <c r="G117" s="115" t="s">
        <v>268</v>
      </c>
      <c r="H117" s="115" t="s">
        <v>268</v>
      </c>
      <c r="I117" s="113" t="s">
        <v>367</v>
      </c>
      <c r="J117" s="116">
        <v>210</v>
      </c>
      <c r="K117" s="113">
        <v>6</v>
      </c>
      <c r="L117" s="115"/>
      <c r="M117" s="113">
        <v>10</v>
      </c>
      <c r="N117" s="117"/>
    </row>
    <row r="118" spans="1:14" hidden="1">
      <c r="A118" s="113">
        <v>116</v>
      </c>
      <c r="B118" s="114">
        <v>46273</v>
      </c>
      <c r="C118" s="113">
        <v>3</v>
      </c>
      <c r="D118" s="115"/>
      <c r="E118" s="113" t="s">
        <v>363</v>
      </c>
      <c r="F118" s="113" t="s">
        <v>65</v>
      </c>
      <c r="G118" s="115" t="s">
        <v>272</v>
      </c>
      <c r="H118" s="115" t="s">
        <v>272</v>
      </c>
      <c r="I118" s="113" t="s">
        <v>367</v>
      </c>
      <c r="J118" s="116">
        <v>455</v>
      </c>
      <c r="K118" s="113">
        <v>13</v>
      </c>
      <c r="L118" s="115"/>
      <c r="M118" s="113">
        <v>10</v>
      </c>
      <c r="N118" s="117"/>
    </row>
    <row r="119" spans="1:14" hidden="1">
      <c r="A119" s="113">
        <v>117</v>
      </c>
      <c r="B119" s="114">
        <v>46273</v>
      </c>
      <c r="C119" s="113">
        <v>3</v>
      </c>
      <c r="D119" s="115"/>
      <c r="E119" s="113" t="s">
        <v>368</v>
      </c>
      <c r="F119" s="113" t="s">
        <v>65</v>
      </c>
      <c r="G119" s="115" t="s">
        <v>272</v>
      </c>
      <c r="H119" s="115" t="s">
        <v>272</v>
      </c>
      <c r="I119" s="113" t="s">
        <v>367</v>
      </c>
      <c r="J119" s="116">
        <v>280</v>
      </c>
      <c r="K119" s="113">
        <v>8</v>
      </c>
      <c r="L119" s="115"/>
      <c r="M119" s="113">
        <v>10</v>
      </c>
      <c r="N119" s="117"/>
    </row>
    <row r="120" spans="1:14" hidden="1">
      <c r="A120" s="113">
        <v>118</v>
      </c>
      <c r="B120" s="114">
        <v>46273</v>
      </c>
      <c r="C120" s="113">
        <v>3</v>
      </c>
      <c r="D120" s="115"/>
      <c r="E120" s="113" t="s">
        <v>369</v>
      </c>
      <c r="F120" s="113" t="s">
        <v>65</v>
      </c>
      <c r="G120" s="115" t="s">
        <v>268</v>
      </c>
      <c r="H120" s="115" t="s">
        <v>268</v>
      </c>
      <c r="I120" s="113" t="s">
        <v>367</v>
      </c>
      <c r="J120" s="116">
        <v>105</v>
      </c>
      <c r="K120" s="113">
        <v>3</v>
      </c>
      <c r="L120" s="115"/>
      <c r="M120" s="113">
        <v>10</v>
      </c>
      <c r="N120" s="117"/>
    </row>
    <row r="121" spans="1:14" hidden="1">
      <c r="A121" s="113">
        <v>119</v>
      </c>
      <c r="B121" s="114">
        <v>46274</v>
      </c>
      <c r="C121" s="113">
        <v>9</v>
      </c>
      <c r="D121" s="115"/>
      <c r="E121" s="113" t="s">
        <v>368</v>
      </c>
      <c r="F121" s="113" t="s">
        <v>65</v>
      </c>
      <c r="G121" s="115" t="s">
        <v>272</v>
      </c>
      <c r="H121" s="115" t="s">
        <v>272</v>
      </c>
      <c r="I121" s="113" t="s">
        <v>370</v>
      </c>
      <c r="J121" s="116">
        <v>140</v>
      </c>
      <c r="K121" s="113">
        <v>4</v>
      </c>
      <c r="L121" s="115"/>
      <c r="M121" s="113">
        <v>10</v>
      </c>
      <c r="N121" s="117" t="s">
        <v>371</v>
      </c>
    </row>
    <row r="122" spans="1:14" hidden="1">
      <c r="A122" s="113">
        <v>120</v>
      </c>
      <c r="B122" s="114">
        <v>46274</v>
      </c>
      <c r="C122" s="113">
        <v>9</v>
      </c>
      <c r="D122" s="115"/>
      <c r="E122" s="113" t="s">
        <v>369</v>
      </c>
      <c r="F122" s="113" t="s">
        <v>65</v>
      </c>
      <c r="G122" s="115" t="s">
        <v>268</v>
      </c>
      <c r="H122" s="115" t="s">
        <v>268</v>
      </c>
      <c r="I122" s="113" t="s">
        <v>370</v>
      </c>
      <c r="J122" s="116">
        <v>140</v>
      </c>
      <c r="K122" s="113">
        <v>4</v>
      </c>
      <c r="L122" s="115"/>
      <c r="M122" s="113">
        <v>10</v>
      </c>
      <c r="N122" s="117" t="s">
        <v>371</v>
      </c>
    </row>
    <row r="123" spans="1:14" hidden="1">
      <c r="A123" s="113">
        <v>121</v>
      </c>
      <c r="B123" s="114">
        <v>46275</v>
      </c>
      <c r="C123" s="113">
        <v>10</v>
      </c>
      <c r="D123" s="115"/>
      <c r="E123" s="113" t="s">
        <v>263</v>
      </c>
      <c r="F123" s="113" t="s">
        <v>65</v>
      </c>
      <c r="G123" s="115" t="s">
        <v>265</v>
      </c>
      <c r="H123" s="115" t="s">
        <v>265</v>
      </c>
      <c r="I123" s="113" t="s">
        <v>372</v>
      </c>
      <c r="J123" s="116">
        <v>70</v>
      </c>
      <c r="K123" s="113">
        <v>2</v>
      </c>
      <c r="L123" s="115"/>
      <c r="M123" s="113">
        <v>10</v>
      </c>
      <c r="N123" s="117"/>
    </row>
    <row r="124" spans="1:14" hidden="1">
      <c r="A124" s="113">
        <v>122</v>
      </c>
      <c r="B124" s="114">
        <v>46275</v>
      </c>
      <c r="C124" s="113">
        <v>10</v>
      </c>
      <c r="D124" s="115"/>
      <c r="E124" s="113" t="s">
        <v>368</v>
      </c>
      <c r="F124" s="113" t="s">
        <v>65</v>
      </c>
      <c r="G124" s="115" t="s">
        <v>272</v>
      </c>
      <c r="H124" s="115" t="s">
        <v>272</v>
      </c>
      <c r="I124" s="113" t="s">
        <v>372</v>
      </c>
      <c r="J124" s="116">
        <v>315</v>
      </c>
      <c r="K124" s="113">
        <v>9</v>
      </c>
      <c r="L124" s="115"/>
      <c r="M124" s="113">
        <v>10</v>
      </c>
      <c r="N124" s="117"/>
    </row>
    <row r="125" spans="1:14" hidden="1">
      <c r="A125" s="113">
        <v>123</v>
      </c>
      <c r="B125" s="114">
        <v>46275</v>
      </c>
      <c r="C125" s="113">
        <v>10</v>
      </c>
      <c r="D125" s="115"/>
      <c r="E125" s="113" t="s">
        <v>369</v>
      </c>
      <c r="F125" s="113" t="s">
        <v>65</v>
      </c>
      <c r="G125" s="115" t="s">
        <v>268</v>
      </c>
      <c r="H125" s="115" t="s">
        <v>268</v>
      </c>
      <c r="I125" s="113" t="s">
        <v>372</v>
      </c>
      <c r="J125" s="116">
        <v>210</v>
      </c>
      <c r="K125" s="113">
        <v>6</v>
      </c>
      <c r="L125" s="115"/>
      <c r="M125" s="113">
        <v>10</v>
      </c>
      <c r="N125" s="117"/>
    </row>
    <row r="126" spans="1:14" hidden="1">
      <c r="A126" s="113">
        <v>124</v>
      </c>
      <c r="B126" s="114">
        <v>46275</v>
      </c>
      <c r="C126" s="113">
        <v>10</v>
      </c>
      <c r="D126" s="115"/>
      <c r="E126" s="113" t="s">
        <v>373</v>
      </c>
      <c r="F126" s="113" t="s">
        <v>65</v>
      </c>
      <c r="G126" s="115" t="s">
        <v>374</v>
      </c>
      <c r="H126" s="115" t="s">
        <v>289</v>
      </c>
      <c r="I126" s="113" t="s">
        <v>372</v>
      </c>
      <c r="J126" s="116">
        <v>35</v>
      </c>
      <c r="K126" s="113">
        <v>1</v>
      </c>
      <c r="L126" s="115"/>
      <c r="M126" s="113">
        <v>10</v>
      </c>
      <c r="N126" s="117" t="s">
        <v>375</v>
      </c>
    </row>
    <row r="127" spans="1:14" hidden="1">
      <c r="A127" s="113">
        <v>125</v>
      </c>
      <c r="B127" s="114">
        <v>46276</v>
      </c>
      <c r="C127" s="113">
        <v>10</v>
      </c>
      <c r="D127" s="115"/>
      <c r="E127" s="113" t="s">
        <v>368</v>
      </c>
      <c r="F127" s="113" t="s">
        <v>65</v>
      </c>
      <c r="G127" s="115" t="s">
        <v>272</v>
      </c>
      <c r="H127" s="115" t="s">
        <v>272</v>
      </c>
      <c r="I127" s="113" t="s">
        <v>376</v>
      </c>
      <c r="J127" s="116">
        <v>315</v>
      </c>
      <c r="K127" s="113">
        <v>9</v>
      </c>
      <c r="L127" s="115"/>
      <c r="M127" s="113">
        <v>10</v>
      </c>
      <c r="N127" s="117" t="s">
        <v>377</v>
      </c>
    </row>
    <row r="128" spans="1:14" hidden="1">
      <c r="A128" s="113">
        <v>126</v>
      </c>
      <c r="B128" s="114">
        <v>46276</v>
      </c>
      <c r="C128" s="113">
        <v>10</v>
      </c>
      <c r="D128" s="115"/>
      <c r="E128" s="113" t="s">
        <v>369</v>
      </c>
      <c r="F128" s="113" t="s">
        <v>65</v>
      </c>
      <c r="G128" s="115" t="s">
        <v>268</v>
      </c>
      <c r="H128" s="115" t="s">
        <v>268</v>
      </c>
      <c r="I128" s="113" t="s">
        <v>376</v>
      </c>
      <c r="J128" s="116">
        <v>175</v>
      </c>
      <c r="K128" s="113">
        <v>5</v>
      </c>
      <c r="L128" s="115"/>
      <c r="M128" s="113">
        <v>10</v>
      </c>
      <c r="N128" s="117" t="s">
        <v>377</v>
      </c>
    </row>
    <row r="129" spans="1:14" hidden="1">
      <c r="A129" s="113">
        <v>127</v>
      </c>
      <c r="B129" s="114">
        <v>46276</v>
      </c>
      <c r="C129" s="113">
        <v>10</v>
      </c>
      <c r="D129" s="115"/>
      <c r="E129" s="113" t="s">
        <v>263</v>
      </c>
      <c r="F129" s="113" t="s">
        <v>65</v>
      </c>
      <c r="G129" s="115" t="s">
        <v>265</v>
      </c>
      <c r="H129" s="115" t="s">
        <v>265</v>
      </c>
      <c r="I129" s="113" t="s">
        <v>376</v>
      </c>
      <c r="J129" s="116">
        <v>105</v>
      </c>
      <c r="K129" s="113">
        <v>3</v>
      </c>
      <c r="L129" s="115"/>
      <c r="M129" s="113">
        <v>10</v>
      </c>
      <c r="N129" s="117" t="s">
        <v>377</v>
      </c>
    </row>
    <row r="130" spans="1:14" hidden="1">
      <c r="A130" s="113">
        <v>128</v>
      </c>
      <c r="B130" s="114">
        <v>46277</v>
      </c>
      <c r="C130" s="113">
        <v>10</v>
      </c>
      <c r="D130" s="115"/>
      <c r="E130" s="113" t="s">
        <v>368</v>
      </c>
      <c r="F130" s="113" t="s">
        <v>65</v>
      </c>
      <c r="G130" s="115" t="s">
        <v>272</v>
      </c>
      <c r="H130" s="115" t="s">
        <v>272</v>
      </c>
      <c r="I130" s="113" t="s">
        <v>378</v>
      </c>
      <c r="J130" s="116">
        <v>35</v>
      </c>
      <c r="K130" s="113">
        <v>1</v>
      </c>
      <c r="L130" s="115"/>
      <c r="M130" s="113">
        <v>10</v>
      </c>
      <c r="N130" s="117" t="s">
        <v>377</v>
      </c>
    </row>
    <row r="131" spans="1:14" hidden="1">
      <c r="A131" s="113">
        <v>129</v>
      </c>
      <c r="B131" s="114">
        <v>46277</v>
      </c>
      <c r="C131" s="113">
        <v>10</v>
      </c>
      <c r="D131" s="115"/>
      <c r="E131" s="113" t="s">
        <v>369</v>
      </c>
      <c r="F131" s="113" t="s">
        <v>65</v>
      </c>
      <c r="G131" s="115" t="s">
        <v>268</v>
      </c>
      <c r="H131" s="115" t="s">
        <v>268</v>
      </c>
      <c r="I131" s="113" t="s">
        <v>378</v>
      </c>
      <c r="J131" s="116">
        <v>35</v>
      </c>
      <c r="K131" s="113">
        <v>1</v>
      </c>
      <c r="L131" s="115"/>
      <c r="M131" s="113">
        <v>10</v>
      </c>
      <c r="N131" s="117" t="s">
        <v>377</v>
      </c>
    </row>
    <row r="132" spans="1:14" hidden="1">
      <c r="A132" s="113">
        <v>130</v>
      </c>
      <c r="B132" s="114">
        <v>46279</v>
      </c>
      <c r="C132" s="113">
        <v>9</v>
      </c>
      <c r="D132" s="115"/>
      <c r="E132" s="113" t="s">
        <v>368</v>
      </c>
      <c r="F132" s="113" t="s">
        <v>65</v>
      </c>
      <c r="G132" s="115" t="s">
        <v>272</v>
      </c>
      <c r="H132" s="115" t="s">
        <v>272</v>
      </c>
      <c r="I132" s="113" t="s">
        <v>379</v>
      </c>
      <c r="J132" s="116">
        <v>175</v>
      </c>
      <c r="K132" s="113">
        <v>5</v>
      </c>
      <c r="L132" s="115"/>
      <c r="M132" s="113">
        <v>11</v>
      </c>
      <c r="N132" s="117"/>
    </row>
    <row r="133" spans="1:14" hidden="1">
      <c r="A133" s="113">
        <v>131</v>
      </c>
      <c r="B133" s="114">
        <v>46279</v>
      </c>
      <c r="C133" s="113">
        <v>9</v>
      </c>
      <c r="D133" s="115"/>
      <c r="E133" s="113" t="s">
        <v>380</v>
      </c>
      <c r="F133" s="113" t="s">
        <v>65</v>
      </c>
      <c r="G133" s="115" t="s">
        <v>272</v>
      </c>
      <c r="H133" s="115" t="s">
        <v>272</v>
      </c>
      <c r="I133" s="113" t="s">
        <v>379</v>
      </c>
      <c r="J133" s="116">
        <v>245</v>
      </c>
      <c r="K133" s="113">
        <v>7</v>
      </c>
      <c r="L133" s="115"/>
      <c r="M133" s="113">
        <v>11</v>
      </c>
      <c r="N133" s="117"/>
    </row>
    <row r="134" spans="1:14" hidden="1">
      <c r="A134" s="113">
        <v>132</v>
      </c>
      <c r="B134" s="114">
        <v>46279</v>
      </c>
      <c r="C134" s="113">
        <v>9</v>
      </c>
      <c r="D134" s="115"/>
      <c r="E134" s="113" t="s">
        <v>263</v>
      </c>
      <c r="F134" s="113" t="s">
        <v>65</v>
      </c>
      <c r="G134" s="115" t="s">
        <v>265</v>
      </c>
      <c r="H134" s="115" t="s">
        <v>265</v>
      </c>
      <c r="I134" s="113" t="s">
        <v>379</v>
      </c>
      <c r="J134" s="116">
        <v>105</v>
      </c>
      <c r="K134" s="113">
        <v>3</v>
      </c>
      <c r="L134" s="115"/>
      <c r="M134" s="113">
        <v>11</v>
      </c>
      <c r="N134" s="117"/>
    </row>
    <row r="135" spans="1:14" hidden="1">
      <c r="A135" s="113">
        <v>133</v>
      </c>
      <c r="B135" s="114">
        <v>46279</v>
      </c>
      <c r="C135" s="113">
        <v>11</v>
      </c>
      <c r="D135" s="115"/>
      <c r="E135" s="113" t="s">
        <v>380</v>
      </c>
      <c r="F135" s="113" t="s">
        <v>65</v>
      </c>
      <c r="G135" s="115" t="s">
        <v>272</v>
      </c>
      <c r="H135" s="115" t="s">
        <v>272</v>
      </c>
      <c r="I135" s="113" t="s">
        <v>379</v>
      </c>
      <c r="J135" s="116">
        <v>35</v>
      </c>
      <c r="K135" s="113">
        <v>1</v>
      </c>
      <c r="L135" s="115"/>
      <c r="M135" s="113">
        <v>11</v>
      </c>
      <c r="N135" s="117"/>
    </row>
    <row r="136" spans="1:14" hidden="1">
      <c r="A136" s="113">
        <v>134</v>
      </c>
      <c r="B136" s="114">
        <v>46279</v>
      </c>
      <c r="C136" s="113">
        <v>11</v>
      </c>
      <c r="D136" s="115"/>
      <c r="E136" s="113" t="s">
        <v>373</v>
      </c>
      <c r="F136" s="113" t="s">
        <v>65</v>
      </c>
      <c r="G136" s="115" t="s">
        <v>381</v>
      </c>
      <c r="H136" s="115" t="s">
        <v>279</v>
      </c>
      <c r="I136" s="113" t="s">
        <v>382</v>
      </c>
      <c r="J136" s="116">
        <v>525</v>
      </c>
      <c r="K136" s="113">
        <v>15</v>
      </c>
      <c r="L136" s="115"/>
      <c r="M136" s="113">
        <v>11</v>
      </c>
      <c r="N136" s="117"/>
    </row>
    <row r="137" spans="1:14" hidden="1">
      <c r="A137" s="113">
        <v>135</v>
      </c>
      <c r="B137" s="114">
        <v>46280</v>
      </c>
      <c r="C137" s="113">
        <v>11</v>
      </c>
      <c r="D137" s="115"/>
      <c r="E137" s="113" t="s">
        <v>380</v>
      </c>
      <c r="F137" s="113" t="s">
        <v>65</v>
      </c>
      <c r="G137" s="115" t="s">
        <v>272</v>
      </c>
      <c r="H137" s="115" t="s">
        <v>272</v>
      </c>
      <c r="I137" s="113" t="s">
        <v>383</v>
      </c>
      <c r="J137" s="116">
        <v>140</v>
      </c>
      <c r="K137" s="113">
        <v>4</v>
      </c>
      <c r="L137" s="115"/>
      <c r="M137" s="113">
        <v>11</v>
      </c>
      <c r="N137" s="117"/>
    </row>
    <row r="138" spans="1:14" hidden="1">
      <c r="A138" s="113">
        <v>136</v>
      </c>
      <c r="B138" s="114">
        <v>46281</v>
      </c>
      <c r="C138" s="113">
        <v>11</v>
      </c>
      <c r="D138" s="115"/>
      <c r="E138" s="113" t="s">
        <v>369</v>
      </c>
      <c r="F138" s="113" t="s">
        <v>65</v>
      </c>
      <c r="G138" s="115" t="s">
        <v>268</v>
      </c>
      <c r="H138" s="115" t="s">
        <v>268</v>
      </c>
      <c r="I138" s="113" t="s">
        <v>384</v>
      </c>
      <c r="J138" s="116">
        <v>35</v>
      </c>
      <c r="K138" s="113">
        <v>1</v>
      </c>
      <c r="L138" s="115"/>
      <c r="M138" s="113">
        <v>11</v>
      </c>
      <c r="N138" s="117"/>
    </row>
    <row r="139" spans="1:14" hidden="1">
      <c r="A139" s="113">
        <v>137</v>
      </c>
      <c r="B139" s="114">
        <v>46281</v>
      </c>
      <c r="C139" s="113">
        <v>11</v>
      </c>
      <c r="D139" s="115"/>
      <c r="E139" s="113" t="s">
        <v>380</v>
      </c>
      <c r="F139" s="113" t="s">
        <v>65</v>
      </c>
      <c r="G139" s="115" t="s">
        <v>272</v>
      </c>
      <c r="H139" s="115" t="s">
        <v>272</v>
      </c>
      <c r="I139" s="113" t="s">
        <v>384</v>
      </c>
      <c r="J139" s="116">
        <v>210</v>
      </c>
      <c r="K139" s="113">
        <v>6</v>
      </c>
      <c r="L139" s="115"/>
      <c r="M139" s="113">
        <v>11</v>
      </c>
      <c r="N139" s="117"/>
    </row>
    <row r="140" spans="1:14" hidden="1">
      <c r="A140" s="113">
        <v>138</v>
      </c>
      <c r="B140" s="114">
        <v>46282</v>
      </c>
      <c r="C140" s="113">
        <v>11</v>
      </c>
      <c r="D140" s="115"/>
      <c r="E140" s="113" t="s">
        <v>369</v>
      </c>
      <c r="F140" s="113" t="s">
        <v>65</v>
      </c>
      <c r="G140" s="115" t="s">
        <v>268</v>
      </c>
      <c r="H140" s="115" t="s">
        <v>268</v>
      </c>
      <c r="I140" s="113" t="s">
        <v>385</v>
      </c>
      <c r="J140" s="116">
        <v>35</v>
      </c>
      <c r="K140" s="113">
        <v>1</v>
      </c>
      <c r="L140" s="115"/>
      <c r="M140" s="113">
        <v>11</v>
      </c>
      <c r="N140" s="117"/>
    </row>
    <row r="141" spans="1:14" hidden="1">
      <c r="A141" s="113">
        <v>139</v>
      </c>
      <c r="B141" s="114">
        <v>46282</v>
      </c>
      <c r="C141" s="113">
        <v>11</v>
      </c>
      <c r="D141" s="115"/>
      <c r="E141" s="113" t="s">
        <v>380</v>
      </c>
      <c r="F141" s="113" t="s">
        <v>65</v>
      </c>
      <c r="G141" s="115" t="s">
        <v>272</v>
      </c>
      <c r="H141" s="115" t="s">
        <v>272</v>
      </c>
      <c r="I141" s="113" t="s">
        <v>385</v>
      </c>
      <c r="J141" s="116">
        <v>455</v>
      </c>
      <c r="K141" s="113">
        <v>13</v>
      </c>
      <c r="L141" s="115"/>
      <c r="M141" s="113">
        <v>11</v>
      </c>
      <c r="N141" s="117"/>
    </row>
    <row r="142" spans="1:14" hidden="1">
      <c r="A142" s="113">
        <v>140</v>
      </c>
      <c r="B142" s="114">
        <v>46282</v>
      </c>
      <c r="C142" s="113">
        <v>11</v>
      </c>
      <c r="D142" s="115"/>
      <c r="E142" s="113" t="s">
        <v>263</v>
      </c>
      <c r="F142" s="113" t="s">
        <v>65</v>
      </c>
      <c r="G142" s="115" t="s">
        <v>265</v>
      </c>
      <c r="H142" s="115" t="s">
        <v>265</v>
      </c>
      <c r="I142" s="113" t="s">
        <v>385</v>
      </c>
      <c r="J142" s="116">
        <v>70</v>
      </c>
      <c r="K142" s="113">
        <v>2</v>
      </c>
      <c r="L142" s="115"/>
      <c r="M142" s="113">
        <v>11</v>
      </c>
      <c r="N142" s="117"/>
    </row>
    <row r="143" spans="1:14" hidden="1">
      <c r="A143" s="113">
        <v>141</v>
      </c>
      <c r="B143" s="114">
        <v>46283</v>
      </c>
      <c r="C143" s="113">
        <v>11</v>
      </c>
      <c r="D143" s="115"/>
      <c r="E143" s="113" t="s">
        <v>369</v>
      </c>
      <c r="F143" s="113" t="s">
        <v>65</v>
      </c>
      <c r="G143" s="115" t="s">
        <v>268</v>
      </c>
      <c r="H143" s="115" t="s">
        <v>268</v>
      </c>
      <c r="I143" s="113" t="s">
        <v>386</v>
      </c>
      <c r="J143" s="116">
        <v>525</v>
      </c>
      <c r="K143" s="113">
        <v>15</v>
      </c>
      <c r="L143" s="115"/>
      <c r="M143" s="113">
        <v>11</v>
      </c>
      <c r="N143" s="117"/>
    </row>
    <row r="144" spans="1:14" hidden="1">
      <c r="A144" s="113">
        <v>142</v>
      </c>
      <c r="B144" s="114">
        <v>46283</v>
      </c>
      <c r="C144" s="113">
        <v>11</v>
      </c>
      <c r="D144" s="115"/>
      <c r="E144" s="113" t="s">
        <v>380</v>
      </c>
      <c r="F144" s="113" t="s">
        <v>65</v>
      </c>
      <c r="G144" s="115" t="s">
        <v>272</v>
      </c>
      <c r="H144" s="115" t="s">
        <v>272</v>
      </c>
      <c r="I144" s="113" t="s">
        <v>386</v>
      </c>
      <c r="J144" s="116">
        <v>175</v>
      </c>
      <c r="K144" s="113">
        <v>5</v>
      </c>
      <c r="L144" s="115"/>
      <c r="M144" s="113">
        <v>11</v>
      </c>
      <c r="N144" s="117"/>
    </row>
    <row r="145" spans="1:14" hidden="1">
      <c r="A145" s="113">
        <v>143</v>
      </c>
      <c r="B145" s="114">
        <v>46283</v>
      </c>
      <c r="C145" s="113">
        <v>11</v>
      </c>
      <c r="D145" s="115"/>
      <c r="E145" s="113" t="s">
        <v>387</v>
      </c>
      <c r="F145" s="113" t="s">
        <v>65</v>
      </c>
      <c r="G145" s="115" t="s">
        <v>268</v>
      </c>
      <c r="H145" s="115" t="s">
        <v>268</v>
      </c>
      <c r="I145" s="113" t="s">
        <v>386</v>
      </c>
      <c r="J145" s="116">
        <v>1260</v>
      </c>
      <c r="K145" s="113">
        <v>36</v>
      </c>
      <c r="L145" s="115"/>
      <c r="M145" s="113">
        <v>11</v>
      </c>
      <c r="N145" s="117"/>
    </row>
    <row r="146" spans="1:14" hidden="1">
      <c r="A146" s="113">
        <v>144</v>
      </c>
      <c r="B146" s="114">
        <v>46283</v>
      </c>
      <c r="C146" s="113">
        <v>11</v>
      </c>
      <c r="D146" s="115"/>
      <c r="E146" s="113" t="s">
        <v>388</v>
      </c>
      <c r="F146" s="113" t="s">
        <v>65</v>
      </c>
      <c r="G146" s="115" t="s">
        <v>272</v>
      </c>
      <c r="H146" s="115" t="s">
        <v>272</v>
      </c>
      <c r="I146" s="113" t="s">
        <v>386</v>
      </c>
      <c r="J146" s="116">
        <v>385</v>
      </c>
      <c r="K146" s="113">
        <v>11</v>
      </c>
      <c r="L146" s="115"/>
      <c r="M146" s="113">
        <v>11</v>
      </c>
      <c r="N146" s="117"/>
    </row>
    <row r="147" spans="1:14" hidden="1">
      <c r="A147" s="113">
        <v>145</v>
      </c>
      <c r="B147" s="114">
        <v>46283</v>
      </c>
      <c r="C147" s="113">
        <v>11</v>
      </c>
      <c r="D147" s="115"/>
      <c r="E147" s="113" t="s">
        <v>389</v>
      </c>
      <c r="F147" s="113" t="s">
        <v>65</v>
      </c>
      <c r="G147" s="115" t="s">
        <v>268</v>
      </c>
      <c r="H147" s="115" t="s">
        <v>268</v>
      </c>
      <c r="I147" s="113" t="s">
        <v>386</v>
      </c>
      <c r="J147" s="116">
        <v>1015</v>
      </c>
      <c r="K147" s="113">
        <v>29</v>
      </c>
      <c r="L147" s="115"/>
      <c r="M147" s="113">
        <v>11</v>
      </c>
      <c r="N147" s="117" t="s">
        <v>390</v>
      </c>
    </row>
    <row r="148" spans="1:14" hidden="1">
      <c r="A148" s="113">
        <v>146</v>
      </c>
      <c r="B148" s="114">
        <v>46284</v>
      </c>
      <c r="C148" s="113">
        <v>11</v>
      </c>
      <c r="D148" s="115"/>
      <c r="E148" s="113" t="s">
        <v>389</v>
      </c>
      <c r="F148" s="113" t="s">
        <v>65</v>
      </c>
      <c r="G148" s="115" t="s">
        <v>268</v>
      </c>
      <c r="H148" s="115" t="s">
        <v>268</v>
      </c>
      <c r="I148" s="113" t="s">
        <v>391</v>
      </c>
      <c r="J148" s="116">
        <v>210</v>
      </c>
      <c r="K148" s="113">
        <v>6</v>
      </c>
      <c r="L148" s="115"/>
      <c r="M148" s="113">
        <v>11</v>
      </c>
      <c r="N148" s="117" t="s">
        <v>392</v>
      </c>
    </row>
    <row r="149" spans="1:14" hidden="1">
      <c r="A149" s="113">
        <v>147</v>
      </c>
      <c r="B149" s="114">
        <v>46286</v>
      </c>
      <c r="C149" s="113">
        <v>11</v>
      </c>
      <c r="D149" s="115"/>
      <c r="E149" s="113" t="s">
        <v>389</v>
      </c>
      <c r="F149" s="113" t="s">
        <v>65</v>
      </c>
      <c r="G149" s="115" t="s">
        <v>268</v>
      </c>
      <c r="H149" s="115" t="s">
        <v>268</v>
      </c>
      <c r="I149" s="113" t="s">
        <v>393</v>
      </c>
      <c r="J149" s="116">
        <v>35</v>
      </c>
      <c r="K149" s="113">
        <v>1</v>
      </c>
      <c r="L149" s="115"/>
      <c r="M149" s="113">
        <v>9</v>
      </c>
      <c r="N149" s="117"/>
    </row>
    <row r="150" spans="1:14" hidden="1">
      <c r="A150" s="113">
        <v>148</v>
      </c>
      <c r="B150" s="114">
        <v>46286</v>
      </c>
      <c r="C150" s="113">
        <v>11</v>
      </c>
      <c r="D150" s="115"/>
      <c r="E150" s="113" t="s">
        <v>394</v>
      </c>
      <c r="F150" s="113" t="s">
        <v>65</v>
      </c>
      <c r="G150" s="115" t="s">
        <v>268</v>
      </c>
      <c r="H150" s="115" t="s">
        <v>268</v>
      </c>
      <c r="I150" s="113" t="s">
        <v>393</v>
      </c>
      <c r="J150" s="116">
        <v>1260</v>
      </c>
      <c r="K150" s="113">
        <v>36</v>
      </c>
      <c r="L150" s="115"/>
      <c r="M150" s="113">
        <v>9</v>
      </c>
      <c r="N150" s="117"/>
    </row>
    <row r="151" spans="1:14" hidden="1">
      <c r="A151" s="113">
        <v>149</v>
      </c>
      <c r="B151" s="114">
        <v>46286</v>
      </c>
      <c r="C151" s="113">
        <v>11</v>
      </c>
      <c r="D151" s="115"/>
      <c r="E151" s="113" t="s">
        <v>395</v>
      </c>
      <c r="F151" s="113" t="s">
        <v>65</v>
      </c>
      <c r="G151" s="115" t="s">
        <v>268</v>
      </c>
      <c r="H151" s="115" t="s">
        <v>268</v>
      </c>
      <c r="I151" s="113" t="s">
        <v>393</v>
      </c>
      <c r="J151" s="116">
        <v>420</v>
      </c>
      <c r="K151" s="113">
        <v>12</v>
      </c>
      <c r="L151" s="115"/>
      <c r="M151" s="113">
        <v>9</v>
      </c>
      <c r="N151" s="117"/>
    </row>
    <row r="152" spans="1:14" hidden="1">
      <c r="A152" s="113">
        <v>150</v>
      </c>
      <c r="B152" s="114">
        <v>46287</v>
      </c>
      <c r="C152" s="113">
        <v>11</v>
      </c>
      <c r="D152" s="115"/>
      <c r="E152" s="113" t="s">
        <v>388</v>
      </c>
      <c r="F152" s="113" t="s">
        <v>65</v>
      </c>
      <c r="G152" s="115" t="s">
        <v>272</v>
      </c>
      <c r="H152" s="115" t="s">
        <v>272</v>
      </c>
      <c r="I152" s="113" t="s">
        <v>396</v>
      </c>
      <c r="J152" s="116">
        <v>70</v>
      </c>
      <c r="K152" s="113">
        <v>2</v>
      </c>
      <c r="L152" s="115"/>
      <c r="M152" s="113">
        <v>9</v>
      </c>
      <c r="N152" s="117"/>
    </row>
    <row r="153" spans="1:14" hidden="1">
      <c r="A153" s="113">
        <v>151</v>
      </c>
      <c r="B153" s="114">
        <v>46287</v>
      </c>
      <c r="C153" s="113">
        <v>11</v>
      </c>
      <c r="D153" s="115"/>
      <c r="E153" s="113" t="s">
        <v>395</v>
      </c>
      <c r="F153" s="113" t="s">
        <v>65</v>
      </c>
      <c r="G153" s="115" t="s">
        <v>268</v>
      </c>
      <c r="H153" s="115" t="s">
        <v>268</v>
      </c>
      <c r="I153" s="113" t="s">
        <v>396</v>
      </c>
      <c r="J153" s="116">
        <v>840</v>
      </c>
      <c r="K153" s="113">
        <v>24</v>
      </c>
      <c r="L153" s="115"/>
      <c r="M153" s="113">
        <v>9</v>
      </c>
      <c r="N153" s="117"/>
    </row>
    <row r="154" spans="1:14" hidden="1">
      <c r="A154" s="113">
        <v>152</v>
      </c>
      <c r="B154" s="114">
        <v>46287</v>
      </c>
      <c r="C154" s="113">
        <v>11</v>
      </c>
      <c r="D154" s="115"/>
      <c r="E154" s="113" t="s">
        <v>397</v>
      </c>
      <c r="F154" s="113" t="s">
        <v>65</v>
      </c>
      <c r="G154" s="115" t="s">
        <v>268</v>
      </c>
      <c r="H154" s="115" t="s">
        <v>268</v>
      </c>
      <c r="I154" s="113" t="s">
        <v>396</v>
      </c>
      <c r="J154" s="116">
        <v>665</v>
      </c>
      <c r="K154" s="113">
        <v>19</v>
      </c>
      <c r="L154" s="115"/>
      <c r="M154" s="113">
        <v>9</v>
      </c>
      <c r="N154" s="117"/>
    </row>
    <row r="155" spans="1:14" hidden="1">
      <c r="A155" s="113">
        <v>153</v>
      </c>
      <c r="B155" s="114">
        <v>46287</v>
      </c>
      <c r="C155" s="113">
        <v>12</v>
      </c>
      <c r="D155" s="115"/>
      <c r="E155" s="113" t="s">
        <v>397</v>
      </c>
      <c r="F155" s="113" t="s">
        <v>65</v>
      </c>
      <c r="G155" s="115" t="s">
        <v>268</v>
      </c>
      <c r="H155" s="115" t="s">
        <v>268</v>
      </c>
      <c r="I155" s="113" t="s">
        <v>398</v>
      </c>
      <c r="J155" s="116">
        <v>595</v>
      </c>
      <c r="K155" s="113">
        <v>17</v>
      </c>
      <c r="L155" s="115"/>
      <c r="M155" s="113">
        <v>9</v>
      </c>
      <c r="N155" s="117"/>
    </row>
    <row r="156" spans="1:14" hidden="1">
      <c r="A156" s="113">
        <v>154</v>
      </c>
      <c r="B156" s="114">
        <v>46287</v>
      </c>
      <c r="C156" s="113">
        <v>12</v>
      </c>
      <c r="D156" s="115"/>
      <c r="E156" s="113" t="s">
        <v>399</v>
      </c>
      <c r="F156" s="113" t="s">
        <v>65</v>
      </c>
      <c r="G156" s="115" t="s">
        <v>268</v>
      </c>
      <c r="H156" s="115" t="s">
        <v>268</v>
      </c>
      <c r="I156" s="113" t="s">
        <v>398</v>
      </c>
      <c r="J156" s="116">
        <v>1260</v>
      </c>
      <c r="K156" s="113">
        <v>36</v>
      </c>
      <c r="L156" s="115"/>
      <c r="M156" s="113">
        <v>9</v>
      </c>
      <c r="N156" s="117"/>
    </row>
    <row r="157" spans="1:14" hidden="1">
      <c r="A157" s="113">
        <v>155</v>
      </c>
      <c r="B157" s="114">
        <v>46287</v>
      </c>
      <c r="C157" s="113">
        <v>12</v>
      </c>
      <c r="D157" s="115"/>
      <c r="E157" s="113" t="s">
        <v>400</v>
      </c>
      <c r="F157" s="113" t="s">
        <v>65</v>
      </c>
      <c r="G157" s="115" t="s">
        <v>268</v>
      </c>
      <c r="H157" s="115" t="s">
        <v>268</v>
      </c>
      <c r="I157" s="113" t="s">
        <v>398</v>
      </c>
      <c r="J157" s="116">
        <v>280</v>
      </c>
      <c r="K157" s="113">
        <v>8</v>
      </c>
      <c r="L157" s="115"/>
      <c r="M157" s="113">
        <v>9</v>
      </c>
      <c r="N157" s="117"/>
    </row>
    <row r="158" spans="1:14" hidden="1">
      <c r="A158" s="113">
        <v>156</v>
      </c>
      <c r="B158" s="114">
        <v>46288</v>
      </c>
      <c r="C158" s="113">
        <v>12</v>
      </c>
      <c r="D158" s="115"/>
      <c r="E158" s="113"/>
      <c r="F158" s="113" t="s">
        <v>65</v>
      </c>
      <c r="G158" s="115" t="s">
        <v>401</v>
      </c>
      <c r="H158" s="115" t="s">
        <v>289</v>
      </c>
      <c r="I158" s="113" t="s">
        <v>402</v>
      </c>
      <c r="J158" s="116"/>
      <c r="K158" s="113"/>
      <c r="L158" s="115" t="s">
        <v>403</v>
      </c>
      <c r="M158" s="113">
        <v>9</v>
      </c>
      <c r="N158" s="117"/>
    </row>
    <row r="159" spans="1:14" hidden="1">
      <c r="A159" s="113">
        <v>157</v>
      </c>
      <c r="B159" s="114">
        <v>46289</v>
      </c>
      <c r="C159" s="113">
        <v>12</v>
      </c>
      <c r="D159" s="115"/>
      <c r="E159" s="113" t="s">
        <v>400</v>
      </c>
      <c r="F159" s="113" t="s">
        <v>65</v>
      </c>
      <c r="G159" s="115" t="s">
        <v>268</v>
      </c>
      <c r="H159" s="115" t="s">
        <v>268</v>
      </c>
      <c r="I159" s="113" t="s">
        <v>404</v>
      </c>
      <c r="J159" s="116">
        <v>1008</v>
      </c>
      <c r="K159" s="113">
        <v>28</v>
      </c>
      <c r="L159" s="115"/>
      <c r="M159" s="113">
        <v>9</v>
      </c>
      <c r="N159" s="117"/>
    </row>
    <row r="160" spans="1:14" hidden="1">
      <c r="A160" s="113">
        <v>158</v>
      </c>
      <c r="B160" s="114">
        <v>46289</v>
      </c>
      <c r="C160" s="113">
        <v>12</v>
      </c>
      <c r="D160" s="115"/>
      <c r="E160" s="113" t="s">
        <v>405</v>
      </c>
      <c r="F160" s="113" t="s">
        <v>65</v>
      </c>
      <c r="G160" s="115" t="s">
        <v>268</v>
      </c>
      <c r="H160" s="115" t="s">
        <v>268</v>
      </c>
      <c r="I160" s="113" t="s">
        <v>404</v>
      </c>
      <c r="J160" s="116">
        <v>175</v>
      </c>
      <c r="K160" s="113">
        <v>5</v>
      </c>
      <c r="L160" s="115"/>
      <c r="M160" s="113">
        <v>9</v>
      </c>
      <c r="N160" s="117"/>
    </row>
    <row r="161" spans="1:14" hidden="1">
      <c r="A161" s="113">
        <v>159</v>
      </c>
      <c r="B161" s="114">
        <v>46289</v>
      </c>
      <c r="C161" s="113">
        <v>12</v>
      </c>
      <c r="D161" s="115"/>
      <c r="E161" s="113" t="s">
        <v>263</v>
      </c>
      <c r="F161" s="113" t="s">
        <v>65</v>
      </c>
      <c r="G161" s="115" t="s">
        <v>265</v>
      </c>
      <c r="H161" s="115" t="s">
        <v>265</v>
      </c>
      <c r="I161" s="113" t="s">
        <v>404</v>
      </c>
      <c r="J161" s="116">
        <v>35</v>
      </c>
      <c r="K161" s="113">
        <v>1</v>
      </c>
      <c r="L161" s="115"/>
      <c r="M161" s="113">
        <v>9</v>
      </c>
      <c r="N161" s="117"/>
    </row>
    <row r="162" spans="1:14" hidden="1">
      <c r="A162" s="113">
        <v>160</v>
      </c>
      <c r="B162" s="114">
        <v>46289</v>
      </c>
      <c r="C162" s="113">
        <v>12</v>
      </c>
      <c r="D162" s="115"/>
      <c r="E162" s="113" t="s">
        <v>388</v>
      </c>
      <c r="F162" s="113" t="s">
        <v>65</v>
      </c>
      <c r="G162" s="115" t="s">
        <v>272</v>
      </c>
      <c r="H162" s="115" t="s">
        <v>272</v>
      </c>
      <c r="I162" s="113" t="s">
        <v>404</v>
      </c>
      <c r="J162" s="116">
        <v>35</v>
      </c>
      <c r="K162" s="113">
        <v>1</v>
      </c>
      <c r="L162" s="115"/>
      <c r="M162" s="113">
        <v>9</v>
      </c>
      <c r="N162" s="117"/>
    </row>
    <row r="163" spans="1:14" hidden="1">
      <c r="A163" s="113">
        <v>161</v>
      </c>
      <c r="B163" s="114">
        <v>46289</v>
      </c>
      <c r="C163" s="113">
        <v>12</v>
      </c>
      <c r="D163" s="115"/>
      <c r="E163" s="113"/>
      <c r="F163" s="113" t="s">
        <v>65</v>
      </c>
      <c r="G163" s="115" t="s">
        <v>406</v>
      </c>
      <c r="H163" s="115" t="s">
        <v>289</v>
      </c>
      <c r="I163" s="113" t="s">
        <v>407</v>
      </c>
      <c r="J163" s="116"/>
      <c r="K163" s="113"/>
      <c r="L163" s="115" t="s">
        <v>403</v>
      </c>
      <c r="M163" s="113">
        <v>9</v>
      </c>
      <c r="N163" s="117"/>
    </row>
    <row r="164" spans="1:14" hidden="1">
      <c r="A164" s="113">
        <v>162</v>
      </c>
      <c r="B164" s="114">
        <v>46290</v>
      </c>
      <c r="C164" s="113">
        <v>12</v>
      </c>
      <c r="D164" s="115"/>
      <c r="E164" s="113" t="s">
        <v>388</v>
      </c>
      <c r="F164" s="113" t="s">
        <v>65</v>
      </c>
      <c r="G164" s="115" t="s">
        <v>272</v>
      </c>
      <c r="H164" s="115" t="s">
        <v>272</v>
      </c>
      <c r="I164" s="113" t="s">
        <v>408</v>
      </c>
      <c r="J164" s="116">
        <v>105</v>
      </c>
      <c r="K164" s="113">
        <v>3</v>
      </c>
      <c r="L164" s="115"/>
      <c r="M164" s="113">
        <v>9</v>
      </c>
      <c r="N164" s="117"/>
    </row>
    <row r="165" spans="1:14" hidden="1">
      <c r="A165" s="113">
        <v>163</v>
      </c>
      <c r="B165" s="114">
        <v>46290</v>
      </c>
      <c r="C165" s="113">
        <v>12</v>
      </c>
      <c r="D165" s="115"/>
      <c r="E165" s="113" t="s">
        <v>405</v>
      </c>
      <c r="F165" s="113" t="s">
        <v>65</v>
      </c>
      <c r="G165" s="115" t="s">
        <v>268</v>
      </c>
      <c r="H165" s="115" t="s">
        <v>268</v>
      </c>
      <c r="I165" s="113" t="s">
        <v>408</v>
      </c>
      <c r="J165" s="116">
        <v>735</v>
      </c>
      <c r="K165" s="113">
        <v>21</v>
      </c>
      <c r="L165" s="115"/>
      <c r="M165" s="113">
        <v>9</v>
      </c>
      <c r="N165" s="117"/>
    </row>
    <row r="166" spans="1:14" hidden="1">
      <c r="A166" s="113">
        <v>164</v>
      </c>
      <c r="B166" s="114">
        <v>46291</v>
      </c>
      <c r="C166" s="113">
        <v>12</v>
      </c>
      <c r="D166" s="115"/>
      <c r="E166" s="113" t="s">
        <v>405</v>
      </c>
      <c r="F166" s="113" t="s">
        <v>65</v>
      </c>
      <c r="G166" s="115" t="s">
        <v>268</v>
      </c>
      <c r="H166" s="115" t="s">
        <v>268</v>
      </c>
      <c r="I166" s="113" t="s">
        <v>409</v>
      </c>
      <c r="J166" s="116">
        <v>420</v>
      </c>
      <c r="K166" s="113">
        <v>12</v>
      </c>
      <c r="L166" s="115"/>
      <c r="M166" s="113">
        <v>9</v>
      </c>
      <c r="N166" s="117"/>
    </row>
    <row r="167" spans="1:14" hidden="1">
      <c r="A167" s="113">
        <v>165</v>
      </c>
      <c r="B167" s="114">
        <v>46291</v>
      </c>
      <c r="C167" s="113">
        <v>12</v>
      </c>
      <c r="D167" s="115"/>
      <c r="E167" s="113" t="s">
        <v>410</v>
      </c>
      <c r="F167" s="113" t="s">
        <v>65</v>
      </c>
      <c r="G167" s="115" t="s">
        <v>268</v>
      </c>
      <c r="H167" s="115" t="s">
        <v>268</v>
      </c>
      <c r="I167" s="113" t="s">
        <v>409</v>
      </c>
      <c r="J167" s="116">
        <v>525</v>
      </c>
      <c r="K167" s="113">
        <v>15</v>
      </c>
      <c r="L167" s="115"/>
      <c r="M167" s="113">
        <v>9</v>
      </c>
      <c r="N167" s="117"/>
    </row>
    <row r="168" spans="1:14" hidden="1">
      <c r="A168" s="113">
        <v>166</v>
      </c>
      <c r="B168" s="114">
        <v>46291</v>
      </c>
      <c r="C168" s="113">
        <v>12</v>
      </c>
      <c r="D168" s="115"/>
      <c r="E168" s="113" t="s">
        <v>263</v>
      </c>
      <c r="F168" s="113" t="s">
        <v>65</v>
      </c>
      <c r="G168" s="115" t="s">
        <v>265</v>
      </c>
      <c r="H168" s="115" t="s">
        <v>265</v>
      </c>
      <c r="I168" s="113" t="s">
        <v>409</v>
      </c>
      <c r="J168" s="116">
        <v>35</v>
      </c>
      <c r="K168" s="113">
        <v>1</v>
      </c>
      <c r="L168" s="115"/>
      <c r="M168" s="113">
        <v>9</v>
      </c>
      <c r="N168" s="117"/>
    </row>
    <row r="169" spans="1:14" hidden="1">
      <c r="A169" s="113">
        <v>167</v>
      </c>
      <c r="B169" s="114">
        <v>46291</v>
      </c>
      <c r="C169" s="113">
        <v>12</v>
      </c>
      <c r="D169" s="115"/>
      <c r="E169" s="113" t="s">
        <v>388</v>
      </c>
      <c r="F169" s="113" t="s">
        <v>65</v>
      </c>
      <c r="G169" s="115" t="s">
        <v>272</v>
      </c>
      <c r="H169" s="115" t="s">
        <v>272</v>
      </c>
      <c r="I169" s="113" t="s">
        <v>409</v>
      </c>
      <c r="J169" s="116">
        <v>210</v>
      </c>
      <c r="K169" s="113">
        <v>6</v>
      </c>
      <c r="L169" s="115"/>
      <c r="M169" s="113">
        <v>9</v>
      </c>
      <c r="N169" s="117" t="s">
        <v>411</v>
      </c>
    </row>
    <row r="170" spans="1:14" hidden="1">
      <c r="A170" s="113">
        <v>168</v>
      </c>
      <c r="B170" s="114">
        <v>46293</v>
      </c>
      <c r="C170" s="113">
        <v>12</v>
      </c>
      <c r="D170" s="115"/>
      <c r="E170" s="113" t="s">
        <v>388</v>
      </c>
      <c r="F170" s="113" t="s">
        <v>65</v>
      </c>
      <c r="G170" s="115" t="s">
        <v>272</v>
      </c>
      <c r="H170" s="115" t="s">
        <v>272</v>
      </c>
      <c r="I170" s="113" t="s">
        <v>412</v>
      </c>
      <c r="J170" s="116">
        <v>105</v>
      </c>
      <c r="K170" s="113">
        <v>3</v>
      </c>
      <c r="L170" s="115"/>
      <c r="M170" s="113">
        <v>12</v>
      </c>
      <c r="N170" s="117"/>
    </row>
    <row r="171" spans="1:14" hidden="1">
      <c r="A171" s="113">
        <v>169</v>
      </c>
      <c r="B171" s="114">
        <v>46293</v>
      </c>
      <c r="C171" s="113">
        <v>12</v>
      </c>
      <c r="D171" s="115"/>
      <c r="E171" s="113" t="s">
        <v>410</v>
      </c>
      <c r="F171" s="113" t="s">
        <v>65</v>
      </c>
      <c r="G171" s="115" t="s">
        <v>268</v>
      </c>
      <c r="H171" s="115" t="s">
        <v>268</v>
      </c>
      <c r="I171" s="113" t="s">
        <v>412</v>
      </c>
      <c r="J171" s="116">
        <v>280</v>
      </c>
      <c r="K171" s="113">
        <v>8</v>
      </c>
      <c r="L171" s="115"/>
      <c r="M171" s="113">
        <v>12</v>
      </c>
      <c r="N171" s="117"/>
    </row>
    <row r="172" spans="1:14" hidden="1">
      <c r="A172" s="113">
        <v>170</v>
      </c>
      <c r="B172" s="114">
        <v>46293</v>
      </c>
      <c r="C172" s="113">
        <v>13</v>
      </c>
      <c r="D172" s="115"/>
      <c r="E172" s="113" t="s">
        <v>388</v>
      </c>
      <c r="F172" s="113" t="s">
        <v>65</v>
      </c>
      <c r="G172" s="115" t="s">
        <v>272</v>
      </c>
      <c r="H172" s="115" t="s">
        <v>272</v>
      </c>
      <c r="I172" s="113" t="s">
        <v>412</v>
      </c>
      <c r="J172" s="116">
        <v>105</v>
      </c>
      <c r="K172" s="113">
        <v>3</v>
      </c>
      <c r="L172" s="115"/>
      <c r="M172" s="113">
        <v>12</v>
      </c>
      <c r="N172" s="117"/>
    </row>
    <row r="173" spans="1:14" hidden="1">
      <c r="A173" s="113">
        <v>171</v>
      </c>
      <c r="B173" s="114">
        <v>46293</v>
      </c>
      <c r="C173" s="113">
        <v>13</v>
      </c>
      <c r="D173" s="115"/>
      <c r="E173" s="113" t="s">
        <v>410</v>
      </c>
      <c r="F173" s="113" t="s">
        <v>65</v>
      </c>
      <c r="G173" s="115" t="s">
        <v>268</v>
      </c>
      <c r="H173" s="115" t="s">
        <v>268</v>
      </c>
      <c r="I173" s="113" t="s">
        <v>412</v>
      </c>
      <c r="J173" s="116">
        <v>35</v>
      </c>
      <c r="K173" s="113">
        <v>1</v>
      </c>
      <c r="L173" s="115"/>
      <c r="M173" s="113">
        <v>12</v>
      </c>
      <c r="N173" s="117"/>
    </row>
    <row r="174" spans="1:14" hidden="1">
      <c r="A174" s="113">
        <v>172</v>
      </c>
      <c r="B174" s="114">
        <v>46294</v>
      </c>
      <c r="C174" s="113">
        <v>13</v>
      </c>
      <c r="D174" s="115"/>
      <c r="E174" s="113" t="s">
        <v>388</v>
      </c>
      <c r="F174" s="113" t="s">
        <v>65</v>
      </c>
      <c r="G174" s="115" t="s">
        <v>272</v>
      </c>
      <c r="H174" s="115" t="s">
        <v>272</v>
      </c>
      <c r="I174" s="113" t="s">
        <v>413</v>
      </c>
      <c r="J174" s="116">
        <v>245</v>
      </c>
      <c r="K174" s="113">
        <v>7</v>
      </c>
      <c r="L174" s="115"/>
      <c r="M174" s="113">
        <v>12</v>
      </c>
      <c r="N174" s="117"/>
    </row>
    <row r="175" spans="1:14" hidden="1">
      <c r="A175" s="113">
        <v>173</v>
      </c>
      <c r="B175" s="114">
        <v>46294</v>
      </c>
      <c r="C175" s="113">
        <v>13</v>
      </c>
      <c r="D175" s="115"/>
      <c r="E175" s="113" t="s">
        <v>410</v>
      </c>
      <c r="F175" s="113" t="s">
        <v>65</v>
      </c>
      <c r="G175" s="115" t="s">
        <v>268</v>
      </c>
      <c r="H175" s="115" t="s">
        <v>268</v>
      </c>
      <c r="I175" s="113" t="s">
        <v>413</v>
      </c>
      <c r="J175" s="116">
        <v>175</v>
      </c>
      <c r="K175" s="113">
        <v>5</v>
      </c>
      <c r="L175" s="115"/>
      <c r="M175" s="113">
        <v>12</v>
      </c>
      <c r="N175" s="117"/>
    </row>
    <row r="176" spans="1:14" hidden="1">
      <c r="A176" s="113">
        <v>174</v>
      </c>
      <c r="B176" s="114">
        <v>46294</v>
      </c>
      <c r="C176" s="113">
        <v>13</v>
      </c>
      <c r="D176" s="115"/>
      <c r="E176" s="113" t="s">
        <v>414</v>
      </c>
      <c r="F176" s="113" t="s">
        <v>65</v>
      </c>
      <c r="G176" s="115" t="s">
        <v>272</v>
      </c>
      <c r="H176" s="115" t="s">
        <v>272</v>
      </c>
      <c r="I176" s="113" t="s">
        <v>413</v>
      </c>
      <c r="J176" s="116">
        <v>105</v>
      </c>
      <c r="K176" s="113">
        <v>3</v>
      </c>
      <c r="L176" s="115"/>
      <c r="M176" s="113">
        <v>12</v>
      </c>
      <c r="N176" s="117"/>
    </row>
    <row r="177" spans="7:11" hidden="1">
      <c r="G177" s="119" t="s">
        <v>415</v>
      </c>
      <c r="J177" s="120">
        <f>SUM(J3:J176)</f>
        <v>44865</v>
      </c>
      <c r="K177" s="119">
        <f>SUM(K3:K176)</f>
        <v>1262</v>
      </c>
    </row>
    <row r="178" spans="7:11" hidden="1">
      <c r="K178">
        <f>K177/36</f>
        <v>35.055555555555557</v>
      </c>
    </row>
  </sheetData>
  <autoFilter ref="A2:N178" xr:uid="{6713F803-3742-4FF8-9F49-38A576749236}">
    <filterColumn colId="4">
      <filters>
        <filter val="017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CA21-0C43-4552-9F0D-D29FEC2FF2A5}">
  <dimension ref="A1:W231"/>
  <sheetViews>
    <sheetView zoomScale="90" zoomScaleNormal="90" workbookViewId="0">
      <pane ySplit="11" topLeftCell="A12" activePane="bottomLeft" state="frozen"/>
      <selection activeCell="H82" sqref="H82"/>
      <selection pane="bottomLeft" activeCell="E14" sqref="E14"/>
    </sheetView>
  </sheetViews>
  <sheetFormatPr defaultRowHeight="14.5"/>
  <cols>
    <col min="1" max="1" width="1.81640625" customWidth="1"/>
    <col min="2" max="2" width="9.26953125" customWidth="1"/>
    <col min="3" max="3" width="15" customWidth="1"/>
    <col min="4" max="4" width="17.453125" bestFit="1" customWidth="1"/>
    <col min="5" max="5" width="15.26953125" style="50" customWidth="1"/>
    <col min="6" max="11" width="12.1796875" style="50" customWidth="1"/>
    <col min="12" max="12" width="14" style="26" bestFit="1" customWidth="1"/>
    <col min="13" max="13" width="6.26953125" style="26" bestFit="1" customWidth="1"/>
    <col min="14" max="14" width="8.453125" style="26" bestFit="1" customWidth="1"/>
    <col min="15" max="15" width="7.453125" bestFit="1" customWidth="1"/>
    <col min="16" max="16" width="7.26953125" bestFit="1" customWidth="1"/>
    <col min="17" max="17" width="7.1796875" bestFit="1" customWidth="1"/>
    <col min="18" max="18" width="5.54296875" bestFit="1" customWidth="1"/>
    <col min="19" max="20" width="5.453125" bestFit="1" customWidth="1"/>
    <col min="21" max="21" width="4.453125" bestFit="1" customWidth="1"/>
    <col min="22" max="22" width="15.81640625" style="26" bestFit="1" customWidth="1"/>
    <col min="23" max="23" width="10.54296875" customWidth="1"/>
  </cols>
  <sheetData>
    <row r="1" spans="1:23" ht="18.5">
      <c r="B1" s="121" t="s">
        <v>416</v>
      </c>
      <c r="O1" s="4" t="s">
        <v>54</v>
      </c>
      <c r="P1" s="4" t="s">
        <v>417</v>
      </c>
      <c r="Q1" s="4" t="s">
        <v>418</v>
      </c>
      <c r="R1" s="4" t="s">
        <v>61</v>
      </c>
      <c r="S1" s="4" t="s">
        <v>62</v>
      </c>
      <c r="T1" s="4" t="s">
        <v>63</v>
      </c>
      <c r="U1" s="4" t="s">
        <v>419</v>
      </c>
      <c r="V1" s="4" t="s">
        <v>420</v>
      </c>
    </row>
    <row r="2" spans="1:23">
      <c r="A2" s="122"/>
      <c r="M2" s="123" t="s">
        <v>421</v>
      </c>
      <c r="N2" s="21" t="s">
        <v>422</v>
      </c>
      <c r="O2" s="124">
        <v>0</v>
      </c>
      <c r="P2" s="125">
        <v>0</v>
      </c>
      <c r="Q2" s="125">
        <v>0</v>
      </c>
      <c r="R2" s="126">
        <v>30</v>
      </c>
      <c r="S2" s="126">
        <v>0</v>
      </c>
      <c r="T2" s="126">
        <v>50</v>
      </c>
      <c r="U2" s="125">
        <v>0</v>
      </c>
      <c r="V2" s="126">
        <v>70</v>
      </c>
    </row>
    <row r="3" spans="1:23">
      <c r="A3" s="122"/>
      <c r="N3" s="21" t="s">
        <v>423</v>
      </c>
      <c r="O3" s="124">
        <v>0.16</v>
      </c>
      <c r="P3" s="125">
        <v>0.8</v>
      </c>
      <c r="Q3" s="125">
        <v>0.8</v>
      </c>
      <c r="R3" s="126">
        <v>100</v>
      </c>
      <c r="S3" s="126">
        <v>100</v>
      </c>
      <c r="T3" s="126">
        <v>100</v>
      </c>
      <c r="U3" s="125">
        <v>1</v>
      </c>
      <c r="V3" s="126">
        <v>83</v>
      </c>
    </row>
    <row r="4" spans="1:23">
      <c r="A4" s="122"/>
      <c r="D4" s="110" t="s">
        <v>265</v>
      </c>
      <c r="N4" s="21" t="s">
        <v>424</v>
      </c>
      <c r="O4" s="124">
        <v>0.13</v>
      </c>
      <c r="P4" s="125">
        <v>0.45</v>
      </c>
      <c r="Q4" s="125">
        <v>0.4</v>
      </c>
      <c r="R4" s="126">
        <v>30</v>
      </c>
      <c r="S4" s="126"/>
      <c r="T4" s="126">
        <v>60</v>
      </c>
      <c r="U4" s="125">
        <v>0.25</v>
      </c>
      <c r="V4" s="126" t="s">
        <v>425</v>
      </c>
    </row>
    <row r="5" spans="1:23">
      <c r="A5" s="122"/>
      <c r="D5" s="110" t="s">
        <v>426</v>
      </c>
      <c r="M5" s="123" t="s">
        <v>427</v>
      </c>
      <c r="N5" s="21" t="s">
        <v>422</v>
      </c>
      <c r="O5" s="124">
        <v>0</v>
      </c>
      <c r="P5" s="125">
        <v>0</v>
      </c>
      <c r="Q5" s="125">
        <v>0</v>
      </c>
      <c r="R5" s="126">
        <v>30</v>
      </c>
      <c r="S5" s="126">
        <v>0</v>
      </c>
      <c r="T5" s="126">
        <v>50</v>
      </c>
      <c r="U5" s="125">
        <v>0</v>
      </c>
      <c r="V5" s="126"/>
    </row>
    <row r="6" spans="1:23">
      <c r="A6" s="122"/>
      <c r="D6" s="110" t="s">
        <v>272</v>
      </c>
      <c r="N6" s="21" t="s">
        <v>423</v>
      </c>
      <c r="O6" s="124">
        <v>0.16</v>
      </c>
      <c r="P6" s="125">
        <v>0.8</v>
      </c>
      <c r="Q6" s="125">
        <v>0.8</v>
      </c>
      <c r="R6" s="126">
        <v>100</v>
      </c>
      <c r="S6" s="126">
        <v>100</v>
      </c>
      <c r="T6" s="126">
        <v>100</v>
      </c>
      <c r="U6" s="125">
        <v>1</v>
      </c>
      <c r="V6" s="126"/>
    </row>
    <row r="7" spans="1:23">
      <c r="A7" s="122"/>
      <c r="D7" s="110" t="s">
        <v>268</v>
      </c>
      <c r="N7" s="21" t="s">
        <v>424</v>
      </c>
      <c r="O7" s="124">
        <f>O6*80%</f>
        <v>0.128</v>
      </c>
      <c r="P7" s="50">
        <f>P6*60%</f>
        <v>0.48</v>
      </c>
      <c r="Q7" s="50">
        <f>Q6*70%</f>
        <v>0.55999999999999994</v>
      </c>
      <c r="R7" s="127" t="s">
        <v>428</v>
      </c>
      <c r="S7" s="126"/>
      <c r="T7" s="126">
        <v>65</v>
      </c>
      <c r="U7" s="125">
        <v>0.25</v>
      </c>
      <c r="V7" s="127" t="s">
        <v>429</v>
      </c>
    </row>
    <row r="8" spans="1:23">
      <c r="A8" s="122"/>
      <c r="D8" s="110" t="s">
        <v>430</v>
      </c>
    </row>
    <row r="9" spans="1:23" s="50" customFormat="1">
      <c r="B9" s="514" t="s">
        <v>0</v>
      </c>
      <c r="C9" s="515" t="s">
        <v>431</v>
      </c>
      <c r="D9" s="516"/>
      <c r="E9" s="516"/>
      <c r="F9" s="516"/>
      <c r="G9" s="516"/>
      <c r="H9" s="516"/>
      <c r="I9" s="516"/>
      <c r="J9" s="516"/>
      <c r="K9" s="517"/>
      <c r="L9" s="514" t="s">
        <v>246</v>
      </c>
      <c r="M9" s="514"/>
      <c r="N9" s="514"/>
      <c r="O9" s="514"/>
      <c r="P9" s="514"/>
      <c r="Q9" s="514"/>
      <c r="R9" s="514"/>
      <c r="S9" s="514"/>
      <c r="T9" s="514"/>
      <c r="U9" s="514"/>
      <c r="V9" s="514"/>
      <c r="W9" s="514"/>
    </row>
    <row r="10" spans="1:23" s="50" customFormat="1" ht="14.5" customHeight="1">
      <c r="B10" s="514"/>
      <c r="C10" s="515" t="s">
        <v>432</v>
      </c>
      <c r="D10" s="517"/>
      <c r="E10" s="513" t="s">
        <v>433</v>
      </c>
      <c r="F10" s="518" t="s">
        <v>434</v>
      </c>
      <c r="G10" s="518" t="s">
        <v>259</v>
      </c>
      <c r="H10" s="518" t="s">
        <v>260</v>
      </c>
      <c r="I10" s="513" t="s">
        <v>435</v>
      </c>
      <c r="J10" s="513" t="s">
        <v>436</v>
      </c>
      <c r="K10" s="513" t="s">
        <v>248</v>
      </c>
      <c r="L10" s="514" t="s">
        <v>437</v>
      </c>
      <c r="M10" s="514"/>
      <c r="N10" s="514"/>
      <c r="O10" s="514"/>
      <c r="P10" s="514"/>
      <c r="Q10" s="514"/>
      <c r="R10" s="514"/>
      <c r="S10" s="514"/>
      <c r="T10" s="514"/>
      <c r="U10" s="514"/>
      <c r="V10" s="514"/>
      <c r="W10" s="514"/>
    </row>
    <row r="11" spans="1:23" s="50" customFormat="1" ht="14.5" customHeight="1">
      <c r="B11" s="514"/>
      <c r="C11" s="18" t="s">
        <v>438</v>
      </c>
      <c r="D11" s="18" t="s">
        <v>439</v>
      </c>
      <c r="E11" s="513"/>
      <c r="F11" s="519"/>
      <c r="G11" s="519"/>
      <c r="H11" s="519"/>
      <c r="I11" s="513"/>
      <c r="J11" s="513"/>
      <c r="K11" s="513"/>
      <c r="L11" s="18" t="s">
        <v>440</v>
      </c>
      <c r="M11" s="18" t="s">
        <v>441</v>
      </c>
      <c r="N11" s="18" t="s">
        <v>442</v>
      </c>
      <c r="O11" s="128" t="s">
        <v>54</v>
      </c>
      <c r="P11" s="128" t="s">
        <v>417</v>
      </c>
      <c r="Q11" s="128" t="s">
        <v>418</v>
      </c>
      <c r="R11" s="128" t="s">
        <v>61</v>
      </c>
      <c r="S11" s="128" t="s">
        <v>62</v>
      </c>
      <c r="T11" s="128" t="s">
        <v>63</v>
      </c>
      <c r="U11" s="32" t="s">
        <v>419</v>
      </c>
      <c r="V11" s="128" t="s">
        <v>420</v>
      </c>
      <c r="W11" s="131" t="s">
        <v>248</v>
      </c>
    </row>
    <row r="12" spans="1:23" ht="15.5">
      <c r="B12" s="23">
        <v>28</v>
      </c>
      <c r="C12" s="114">
        <v>46161</v>
      </c>
      <c r="D12" s="132"/>
      <c r="E12" s="31" t="s">
        <v>443</v>
      </c>
      <c r="F12" s="133">
        <v>1</v>
      </c>
      <c r="G12" s="134">
        <v>1365</v>
      </c>
      <c r="H12" s="135">
        <f>G12/35</f>
        <v>39</v>
      </c>
      <c r="I12" s="136"/>
      <c r="J12" s="136"/>
      <c r="K12" s="136"/>
      <c r="L12" s="137"/>
      <c r="M12" s="133"/>
      <c r="N12" s="133">
        <f>F12</f>
        <v>1</v>
      </c>
      <c r="O12" s="138"/>
      <c r="P12" s="8"/>
      <c r="Q12" s="8"/>
      <c r="R12" s="139"/>
      <c r="S12" s="139"/>
      <c r="T12" s="139"/>
      <c r="U12" s="8"/>
      <c r="V12" s="140"/>
      <c r="W12" s="141"/>
    </row>
    <row r="13" spans="1:23" ht="15.5">
      <c r="B13" s="23" t="s">
        <v>444</v>
      </c>
      <c r="C13" s="142">
        <v>46150</v>
      </c>
      <c r="D13" s="143">
        <v>46164</v>
      </c>
      <c r="E13" s="38" t="s">
        <v>445</v>
      </c>
      <c r="F13" s="133">
        <v>2</v>
      </c>
      <c r="G13" s="144">
        <v>980</v>
      </c>
      <c r="H13" s="145">
        <v>28</v>
      </c>
      <c r="I13" s="146"/>
      <c r="J13" s="146"/>
      <c r="K13" s="146"/>
      <c r="L13" s="137"/>
      <c r="M13" s="133"/>
      <c r="N13" s="133">
        <f t="shared" ref="N13:N48" si="0">F13</f>
        <v>2</v>
      </c>
      <c r="O13" s="138"/>
      <c r="P13" s="8"/>
      <c r="Q13" s="8"/>
      <c r="R13" s="139"/>
      <c r="S13" s="139"/>
      <c r="T13" s="139"/>
      <c r="U13" s="8"/>
      <c r="V13" s="140"/>
      <c r="W13" s="141"/>
    </row>
    <row r="14" spans="1:23" ht="15.5">
      <c r="B14" s="23" t="s">
        <v>446</v>
      </c>
      <c r="C14" s="142">
        <v>46150</v>
      </c>
      <c r="D14" s="143">
        <v>46176</v>
      </c>
      <c r="E14" s="38" t="s">
        <v>447</v>
      </c>
      <c r="F14" s="133">
        <v>3</v>
      </c>
      <c r="G14" s="144">
        <v>1015</v>
      </c>
      <c r="H14" s="145">
        <v>28</v>
      </c>
      <c r="I14" s="146"/>
      <c r="J14" s="146"/>
      <c r="K14" s="146"/>
      <c r="L14" s="137"/>
      <c r="M14" s="133"/>
      <c r="N14" s="133">
        <f t="shared" si="0"/>
        <v>3</v>
      </c>
      <c r="O14" s="138"/>
      <c r="P14" s="8"/>
      <c r="Q14" s="8"/>
      <c r="R14" s="139"/>
      <c r="S14" s="139"/>
      <c r="T14" s="139"/>
      <c r="U14" s="8"/>
      <c r="V14" s="140"/>
      <c r="W14" s="141"/>
    </row>
    <row r="15" spans="1:23" ht="43.5">
      <c r="B15" s="147" t="s">
        <v>448</v>
      </c>
      <c r="C15" s="142">
        <v>46149</v>
      </c>
      <c r="D15" s="143">
        <v>46291</v>
      </c>
      <c r="E15" s="38" t="s">
        <v>265</v>
      </c>
      <c r="F15" s="148">
        <v>4</v>
      </c>
      <c r="G15" s="149">
        <v>1015</v>
      </c>
      <c r="H15" s="150">
        <v>29</v>
      </c>
      <c r="I15" s="146"/>
      <c r="J15" s="146"/>
      <c r="K15" s="146"/>
      <c r="L15" s="151"/>
      <c r="M15" s="148"/>
      <c r="N15" s="148">
        <f t="shared" si="0"/>
        <v>4</v>
      </c>
      <c r="O15" s="138"/>
      <c r="P15" s="8"/>
      <c r="Q15" s="8"/>
      <c r="R15" s="139"/>
      <c r="S15" s="139"/>
      <c r="T15" s="139"/>
      <c r="U15" s="8"/>
      <c r="V15" s="140"/>
      <c r="W15" s="141"/>
    </row>
    <row r="16" spans="1:23" ht="15.5">
      <c r="B16" s="38">
        <v>4</v>
      </c>
      <c r="C16" s="152">
        <v>46167</v>
      </c>
      <c r="D16" s="153">
        <v>46176</v>
      </c>
      <c r="E16" s="38" t="s">
        <v>445</v>
      </c>
      <c r="F16" s="133">
        <v>5</v>
      </c>
      <c r="G16" s="144">
        <v>1050</v>
      </c>
      <c r="H16" s="145">
        <v>30</v>
      </c>
      <c r="I16" s="146"/>
      <c r="J16" s="146"/>
      <c r="K16" s="146"/>
      <c r="L16" s="137"/>
      <c r="M16" s="133"/>
      <c r="N16" s="133">
        <f t="shared" si="0"/>
        <v>5</v>
      </c>
      <c r="O16" s="138"/>
      <c r="P16" s="8"/>
      <c r="Q16" s="8"/>
      <c r="R16" s="139"/>
      <c r="S16" s="139"/>
      <c r="T16" s="139"/>
      <c r="U16" s="8"/>
      <c r="V16" s="140"/>
      <c r="W16" s="141"/>
    </row>
    <row r="17" spans="2:23" ht="15.5">
      <c r="B17" s="5" t="s">
        <v>449</v>
      </c>
      <c r="C17" s="152">
        <v>46176</v>
      </c>
      <c r="D17" s="153">
        <v>46182</v>
      </c>
      <c r="E17" s="38" t="s">
        <v>445</v>
      </c>
      <c r="F17" s="133">
        <v>6</v>
      </c>
      <c r="G17" s="144">
        <v>1540</v>
      </c>
      <c r="H17" s="154">
        <f>G17/35</f>
        <v>44</v>
      </c>
      <c r="I17" s="146"/>
      <c r="J17" s="146"/>
      <c r="K17" s="146"/>
      <c r="L17" s="137"/>
      <c r="M17" s="133"/>
      <c r="N17" s="133">
        <f t="shared" si="0"/>
        <v>6</v>
      </c>
      <c r="O17" s="138"/>
      <c r="P17" s="8"/>
      <c r="Q17" s="8"/>
      <c r="R17" s="139"/>
      <c r="S17" s="139"/>
      <c r="T17" s="139"/>
      <c r="U17" s="8"/>
      <c r="V17" s="140"/>
      <c r="W17" s="141"/>
    </row>
    <row r="18" spans="2:23" ht="15.5">
      <c r="B18" s="5" t="s">
        <v>450</v>
      </c>
      <c r="C18" s="152">
        <v>46176</v>
      </c>
      <c r="D18" s="153">
        <v>46182</v>
      </c>
      <c r="E18" s="38" t="s">
        <v>447</v>
      </c>
      <c r="F18" s="133">
        <v>7</v>
      </c>
      <c r="G18" s="144">
        <v>1435</v>
      </c>
      <c r="H18" s="154">
        <f t="shared" ref="H18:H48" si="1">G18/35</f>
        <v>41</v>
      </c>
      <c r="I18" s="146"/>
      <c r="J18" s="146"/>
      <c r="K18" s="146"/>
      <c r="L18" s="137"/>
      <c r="M18" s="133"/>
      <c r="N18" s="133">
        <f t="shared" si="0"/>
        <v>7</v>
      </c>
      <c r="O18" s="138"/>
      <c r="P18" s="8"/>
      <c r="Q18" s="8"/>
      <c r="R18" s="139"/>
      <c r="S18" s="139"/>
      <c r="T18" s="139"/>
      <c r="U18" s="8"/>
      <c r="V18" s="140"/>
      <c r="W18" s="141"/>
    </row>
    <row r="19" spans="2:23" ht="15.5">
      <c r="B19" s="5">
        <v>5</v>
      </c>
      <c r="C19" s="152">
        <v>46176</v>
      </c>
      <c r="D19" s="153">
        <v>46179</v>
      </c>
      <c r="E19" s="38" t="s">
        <v>303</v>
      </c>
      <c r="F19" s="133">
        <v>8</v>
      </c>
      <c r="G19" s="144">
        <v>2100</v>
      </c>
      <c r="H19" s="154">
        <f t="shared" si="1"/>
        <v>60</v>
      </c>
      <c r="I19" s="146"/>
      <c r="J19" s="146"/>
      <c r="K19" s="146"/>
      <c r="L19" s="137"/>
      <c r="M19" s="133"/>
      <c r="N19" s="133">
        <f t="shared" si="0"/>
        <v>8</v>
      </c>
      <c r="O19" s="138"/>
      <c r="P19" s="8"/>
      <c r="Q19" s="8"/>
      <c r="R19" s="139"/>
      <c r="S19" s="139"/>
      <c r="T19" s="139"/>
      <c r="U19" s="8"/>
      <c r="V19" s="140"/>
      <c r="W19" s="141"/>
    </row>
    <row r="20" spans="2:23" ht="15.5">
      <c r="B20" s="5">
        <v>5</v>
      </c>
      <c r="C20" s="152">
        <v>46177</v>
      </c>
      <c r="D20" s="153">
        <v>46178</v>
      </c>
      <c r="E20" s="38" t="s">
        <v>303</v>
      </c>
      <c r="F20" s="133">
        <v>9</v>
      </c>
      <c r="G20" s="144">
        <v>1295</v>
      </c>
      <c r="H20" s="154">
        <f t="shared" si="1"/>
        <v>37</v>
      </c>
      <c r="I20" s="146"/>
      <c r="J20" s="146"/>
      <c r="K20" s="146"/>
      <c r="L20" s="137"/>
      <c r="M20" s="133"/>
      <c r="N20" s="133">
        <f t="shared" si="0"/>
        <v>9</v>
      </c>
      <c r="O20" s="138"/>
      <c r="P20" s="8"/>
      <c r="Q20" s="8"/>
      <c r="R20" s="139"/>
      <c r="S20" s="139"/>
      <c r="T20" s="139"/>
      <c r="U20" s="8"/>
      <c r="V20" s="140"/>
      <c r="W20" s="141"/>
    </row>
    <row r="21" spans="2:23" ht="15.5">
      <c r="B21" s="5">
        <v>5</v>
      </c>
      <c r="C21" s="152">
        <v>46178</v>
      </c>
      <c r="D21" s="153"/>
      <c r="E21" s="38" t="s">
        <v>303</v>
      </c>
      <c r="F21" s="133">
        <v>10</v>
      </c>
      <c r="G21" s="144">
        <v>1260</v>
      </c>
      <c r="H21" s="154">
        <f t="shared" si="1"/>
        <v>36</v>
      </c>
      <c r="I21" s="146"/>
      <c r="J21" s="146"/>
      <c r="K21" s="146"/>
      <c r="L21" s="137"/>
      <c r="M21" s="133"/>
      <c r="N21" s="133">
        <f t="shared" si="0"/>
        <v>10</v>
      </c>
      <c r="O21" s="138"/>
      <c r="P21" s="8"/>
      <c r="Q21" s="8"/>
      <c r="R21" s="139"/>
      <c r="S21" s="139"/>
      <c r="T21" s="139"/>
      <c r="U21" s="8"/>
      <c r="V21" s="140"/>
      <c r="W21" s="141"/>
    </row>
    <row r="22" spans="2:23" ht="15.5">
      <c r="B22" s="5">
        <v>5</v>
      </c>
      <c r="C22" s="152">
        <v>46178</v>
      </c>
      <c r="D22" s="153"/>
      <c r="E22" s="38" t="s">
        <v>303</v>
      </c>
      <c r="F22" s="133">
        <v>11</v>
      </c>
      <c r="G22" s="144">
        <v>455</v>
      </c>
      <c r="H22" s="154">
        <f t="shared" si="1"/>
        <v>13</v>
      </c>
      <c r="I22" s="146"/>
      <c r="J22" s="146"/>
      <c r="K22" s="146"/>
      <c r="L22" s="137"/>
      <c r="M22" s="133"/>
      <c r="N22" s="133">
        <f t="shared" si="0"/>
        <v>11</v>
      </c>
      <c r="O22" s="138"/>
      <c r="P22" s="8"/>
      <c r="Q22" s="8"/>
      <c r="R22" s="139"/>
      <c r="S22" s="139"/>
      <c r="T22" s="139"/>
      <c r="U22" s="8"/>
      <c r="V22" s="140"/>
      <c r="W22" s="141"/>
    </row>
    <row r="23" spans="2:23" ht="15.5">
      <c r="B23" s="5">
        <v>5</v>
      </c>
      <c r="C23" s="152">
        <v>46179</v>
      </c>
      <c r="D23" s="153"/>
      <c r="E23" s="38" t="s">
        <v>303</v>
      </c>
      <c r="F23" s="133">
        <v>12</v>
      </c>
      <c r="G23" s="144">
        <v>1260</v>
      </c>
      <c r="H23" s="154">
        <f t="shared" si="1"/>
        <v>36</v>
      </c>
      <c r="I23" s="146"/>
      <c r="J23" s="146"/>
      <c r="K23" s="146"/>
      <c r="L23" s="137"/>
      <c r="M23" s="133"/>
      <c r="N23" s="133">
        <f t="shared" si="0"/>
        <v>12</v>
      </c>
      <c r="O23" s="138"/>
      <c r="P23" s="8"/>
      <c r="Q23" s="8"/>
      <c r="R23" s="139"/>
      <c r="S23" s="139"/>
      <c r="T23" s="139"/>
      <c r="U23" s="8"/>
      <c r="V23" s="140"/>
      <c r="W23" s="141"/>
    </row>
    <row r="24" spans="2:23" ht="15.5">
      <c r="B24" s="5">
        <v>5</v>
      </c>
      <c r="C24" s="152">
        <v>46179</v>
      </c>
      <c r="D24" s="153">
        <v>46181</v>
      </c>
      <c r="E24" s="38" t="s">
        <v>303</v>
      </c>
      <c r="F24" s="133">
        <v>13</v>
      </c>
      <c r="G24" s="144">
        <v>1260</v>
      </c>
      <c r="H24" s="154">
        <f t="shared" si="1"/>
        <v>36</v>
      </c>
      <c r="I24" s="146"/>
      <c r="J24" s="146"/>
      <c r="K24" s="146"/>
      <c r="L24" s="137"/>
      <c r="M24" s="133"/>
      <c r="N24" s="133">
        <f t="shared" si="0"/>
        <v>13</v>
      </c>
      <c r="O24" s="138"/>
      <c r="P24" s="8"/>
      <c r="Q24" s="8"/>
      <c r="R24" s="139"/>
      <c r="S24" s="139"/>
      <c r="T24" s="139"/>
      <c r="U24" s="8"/>
      <c r="V24" s="140"/>
      <c r="W24" s="141"/>
    </row>
    <row r="25" spans="2:23" ht="15.5">
      <c r="B25" s="5" t="s">
        <v>449</v>
      </c>
      <c r="C25" s="152">
        <v>46181</v>
      </c>
      <c r="D25" s="153">
        <v>46182</v>
      </c>
      <c r="E25" s="38" t="s">
        <v>303</v>
      </c>
      <c r="F25" s="133">
        <v>14</v>
      </c>
      <c r="G25" s="144">
        <v>1295</v>
      </c>
      <c r="H25" s="154">
        <f t="shared" si="1"/>
        <v>37</v>
      </c>
      <c r="I25" s="146"/>
      <c r="J25" s="146"/>
      <c r="K25" s="146"/>
      <c r="L25" s="137"/>
      <c r="M25" s="133"/>
      <c r="N25" s="133">
        <f t="shared" si="0"/>
        <v>14</v>
      </c>
      <c r="O25" s="138"/>
      <c r="P25" s="8"/>
      <c r="Q25" s="8"/>
      <c r="R25" s="139"/>
      <c r="S25" s="139"/>
      <c r="T25" s="139"/>
      <c r="U25" s="8"/>
      <c r="V25" s="140"/>
      <c r="W25" s="141"/>
    </row>
    <row r="26" spans="2:23" ht="15.5">
      <c r="B26" s="5">
        <v>6</v>
      </c>
      <c r="C26" s="152">
        <v>46182</v>
      </c>
      <c r="D26" s="153">
        <v>46185</v>
      </c>
      <c r="E26" s="38" t="s">
        <v>303</v>
      </c>
      <c r="F26" s="133">
        <v>15</v>
      </c>
      <c r="G26" s="144">
        <v>1155</v>
      </c>
      <c r="H26" s="154">
        <f t="shared" si="1"/>
        <v>33</v>
      </c>
      <c r="I26" s="146"/>
      <c r="J26" s="146"/>
      <c r="K26" s="146"/>
      <c r="L26" s="137"/>
      <c r="M26" s="133"/>
      <c r="N26" s="133">
        <f t="shared" si="0"/>
        <v>15</v>
      </c>
      <c r="O26" s="138"/>
      <c r="P26" s="8"/>
      <c r="Q26" s="8"/>
      <c r="R26" s="139"/>
      <c r="S26" s="139"/>
      <c r="T26" s="139"/>
      <c r="U26" s="8"/>
      <c r="V26" s="140"/>
      <c r="W26" s="141"/>
    </row>
    <row r="27" spans="2:23" ht="15.5">
      <c r="B27" s="5">
        <v>6</v>
      </c>
      <c r="C27" s="152">
        <v>46182</v>
      </c>
      <c r="D27" s="153">
        <v>46183</v>
      </c>
      <c r="E27" s="38" t="s">
        <v>445</v>
      </c>
      <c r="F27" s="133">
        <v>16</v>
      </c>
      <c r="G27" s="144">
        <v>1225</v>
      </c>
      <c r="H27" s="154">
        <f t="shared" si="1"/>
        <v>35</v>
      </c>
      <c r="I27" s="146"/>
      <c r="J27" s="146"/>
      <c r="K27" s="146"/>
      <c r="L27" s="137"/>
      <c r="M27" s="133"/>
      <c r="N27" s="133">
        <f t="shared" si="0"/>
        <v>16</v>
      </c>
      <c r="O27" s="138"/>
      <c r="P27" s="8"/>
      <c r="Q27" s="8"/>
      <c r="R27" s="139"/>
      <c r="S27" s="139"/>
      <c r="T27" s="139"/>
      <c r="U27" s="8"/>
      <c r="V27" s="140"/>
      <c r="W27" s="141"/>
    </row>
    <row r="28" spans="2:23" ht="15.5">
      <c r="B28" s="5" t="s">
        <v>451</v>
      </c>
      <c r="C28" s="152">
        <v>46182</v>
      </c>
      <c r="D28" s="153">
        <v>46226</v>
      </c>
      <c r="E28" s="38" t="s">
        <v>447</v>
      </c>
      <c r="F28" s="133">
        <v>17</v>
      </c>
      <c r="G28" s="144">
        <v>2205</v>
      </c>
      <c r="H28" s="154">
        <f t="shared" si="1"/>
        <v>63</v>
      </c>
      <c r="I28" s="146"/>
      <c r="J28" s="146"/>
      <c r="K28" s="146"/>
      <c r="L28" s="137"/>
      <c r="M28" s="133"/>
      <c r="N28" s="133">
        <f t="shared" si="0"/>
        <v>17</v>
      </c>
      <c r="O28" s="138"/>
      <c r="P28" s="8"/>
      <c r="Q28" s="8"/>
      <c r="R28" s="139"/>
      <c r="S28" s="139"/>
      <c r="T28" s="139"/>
      <c r="U28" s="8"/>
      <c r="V28" s="140"/>
      <c r="W28" s="141"/>
    </row>
    <row r="29" spans="2:23" ht="15.5">
      <c r="B29" s="5" t="s">
        <v>452</v>
      </c>
      <c r="C29" s="152">
        <v>46183</v>
      </c>
      <c r="D29" s="153">
        <v>46226</v>
      </c>
      <c r="E29" s="38" t="s">
        <v>445</v>
      </c>
      <c r="F29" s="133">
        <v>18</v>
      </c>
      <c r="G29" s="144">
        <v>1785</v>
      </c>
      <c r="H29" s="154">
        <f t="shared" si="1"/>
        <v>51</v>
      </c>
      <c r="I29" s="146"/>
      <c r="J29" s="146"/>
      <c r="K29" s="146"/>
      <c r="L29" s="137"/>
      <c r="M29" s="133"/>
      <c r="N29" s="133">
        <f t="shared" si="0"/>
        <v>18</v>
      </c>
      <c r="O29" s="138"/>
      <c r="P29" s="8"/>
      <c r="Q29" s="8"/>
      <c r="R29" s="139"/>
      <c r="S29" s="139"/>
      <c r="T29" s="139"/>
      <c r="U29" s="8"/>
      <c r="V29" s="140"/>
      <c r="W29" s="141"/>
    </row>
    <row r="30" spans="2:23" ht="15.5">
      <c r="B30" s="5" t="s">
        <v>102</v>
      </c>
      <c r="C30" s="152">
        <v>46275</v>
      </c>
      <c r="D30" s="153">
        <v>46279</v>
      </c>
      <c r="E30" s="38" t="s">
        <v>443</v>
      </c>
      <c r="F30" s="133">
        <v>19</v>
      </c>
      <c r="G30" s="144">
        <v>560</v>
      </c>
      <c r="H30" s="154">
        <f t="shared" si="1"/>
        <v>16</v>
      </c>
      <c r="I30" s="146"/>
      <c r="J30" s="146"/>
      <c r="K30" s="146"/>
      <c r="L30" s="137"/>
      <c r="M30" s="133"/>
      <c r="N30" s="133">
        <f t="shared" si="0"/>
        <v>19</v>
      </c>
      <c r="O30" s="138"/>
      <c r="P30" s="8"/>
      <c r="Q30" s="8"/>
      <c r="R30" s="139"/>
      <c r="S30" s="139"/>
      <c r="T30" s="139"/>
      <c r="U30" s="8"/>
      <c r="V30" s="140"/>
      <c r="W30" s="141"/>
    </row>
    <row r="31" spans="2:23" ht="15.5">
      <c r="B31" s="5" t="s">
        <v>73</v>
      </c>
      <c r="C31" s="152">
        <v>46226</v>
      </c>
      <c r="D31" s="153">
        <v>46235</v>
      </c>
      <c r="E31" s="38" t="s">
        <v>447</v>
      </c>
      <c r="F31" s="133">
        <v>20</v>
      </c>
      <c r="G31" s="144">
        <v>1260</v>
      </c>
      <c r="H31" s="154">
        <f t="shared" si="1"/>
        <v>36</v>
      </c>
      <c r="I31" s="146"/>
      <c r="J31" s="146"/>
      <c r="K31" s="146"/>
      <c r="L31" s="137"/>
      <c r="M31" s="133"/>
      <c r="N31" s="133">
        <f t="shared" si="0"/>
        <v>20</v>
      </c>
      <c r="O31" s="138"/>
      <c r="P31" s="8"/>
      <c r="Q31" s="8"/>
      <c r="R31" s="139"/>
      <c r="S31" s="139"/>
      <c r="T31" s="139"/>
      <c r="U31" s="8"/>
      <c r="V31" s="140"/>
      <c r="W31" s="141"/>
    </row>
    <row r="32" spans="2:23" ht="15.5">
      <c r="B32" s="5" t="s">
        <v>73</v>
      </c>
      <c r="C32" s="152">
        <v>46226</v>
      </c>
      <c r="D32" s="153">
        <v>46273</v>
      </c>
      <c r="E32" s="38" t="s">
        <v>445</v>
      </c>
      <c r="F32" s="133">
        <v>21</v>
      </c>
      <c r="G32" s="144">
        <v>1260</v>
      </c>
      <c r="H32" s="154">
        <f t="shared" si="1"/>
        <v>36</v>
      </c>
      <c r="I32" s="146"/>
      <c r="J32" s="146"/>
      <c r="K32" s="146"/>
      <c r="L32" s="137"/>
      <c r="M32" s="133"/>
      <c r="N32" s="133">
        <f t="shared" si="0"/>
        <v>21</v>
      </c>
      <c r="O32" s="138"/>
      <c r="P32" s="8"/>
      <c r="Q32" s="8"/>
      <c r="R32" s="139"/>
      <c r="S32" s="139"/>
      <c r="T32" s="139"/>
      <c r="U32" s="8"/>
      <c r="V32" s="140"/>
      <c r="W32" s="141"/>
    </row>
    <row r="33" spans="2:23" ht="15.5">
      <c r="B33" s="5">
        <v>3</v>
      </c>
      <c r="C33" s="152">
        <v>46235</v>
      </c>
      <c r="D33" s="153">
        <v>46273</v>
      </c>
      <c r="E33" s="38" t="s">
        <v>447</v>
      </c>
      <c r="F33" s="133">
        <v>22</v>
      </c>
      <c r="G33" s="144">
        <v>1260</v>
      </c>
      <c r="H33" s="154">
        <f t="shared" si="1"/>
        <v>36</v>
      </c>
      <c r="I33" s="146"/>
      <c r="J33" s="146"/>
      <c r="K33" s="146"/>
      <c r="L33" s="137"/>
      <c r="M33" s="133"/>
      <c r="N33" s="133">
        <f t="shared" si="0"/>
        <v>22</v>
      </c>
      <c r="O33" s="138"/>
      <c r="P33" s="8"/>
      <c r="Q33" s="8"/>
      <c r="R33" s="139"/>
      <c r="S33" s="139"/>
      <c r="T33" s="139"/>
      <c r="U33" s="8"/>
      <c r="V33" s="140"/>
      <c r="W33" s="141"/>
    </row>
    <row r="34" spans="2:23" ht="15.5">
      <c r="B34" s="5" t="s">
        <v>453</v>
      </c>
      <c r="C34" s="152">
        <v>46273</v>
      </c>
      <c r="D34" s="153">
        <v>46279</v>
      </c>
      <c r="E34" s="38" t="s">
        <v>447</v>
      </c>
      <c r="F34" s="133">
        <v>23</v>
      </c>
      <c r="G34" s="144">
        <v>1260</v>
      </c>
      <c r="H34" s="154">
        <f t="shared" si="1"/>
        <v>36</v>
      </c>
      <c r="I34" s="146"/>
      <c r="J34" s="146"/>
      <c r="K34" s="146"/>
      <c r="L34" s="137"/>
      <c r="M34" s="133"/>
      <c r="N34" s="133">
        <f t="shared" si="0"/>
        <v>23</v>
      </c>
      <c r="O34" s="138"/>
      <c r="P34" s="8"/>
      <c r="Q34" s="8"/>
      <c r="R34" s="139"/>
      <c r="S34" s="139"/>
      <c r="T34" s="139"/>
      <c r="U34" s="8"/>
      <c r="V34" s="140"/>
      <c r="W34" s="141"/>
    </row>
    <row r="35" spans="2:23" ht="15.5">
      <c r="B35" s="5" t="s">
        <v>454</v>
      </c>
      <c r="C35" s="152">
        <v>46273</v>
      </c>
      <c r="D35" s="153">
        <v>46283</v>
      </c>
      <c r="E35" s="38" t="s">
        <v>445</v>
      </c>
      <c r="F35" s="133">
        <v>24</v>
      </c>
      <c r="G35" s="144">
        <v>1260</v>
      </c>
      <c r="H35" s="154">
        <f t="shared" si="1"/>
        <v>36</v>
      </c>
      <c r="I35" s="146"/>
      <c r="J35" s="146"/>
      <c r="K35" s="146"/>
      <c r="L35" s="137"/>
      <c r="M35" s="133"/>
      <c r="N35" s="133">
        <f t="shared" si="0"/>
        <v>24</v>
      </c>
      <c r="O35" s="138"/>
      <c r="P35" s="8"/>
      <c r="Q35" s="8"/>
      <c r="R35" s="139"/>
      <c r="S35" s="139"/>
      <c r="T35" s="139"/>
      <c r="U35" s="8"/>
      <c r="V35" s="140"/>
      <c r="W35" s="141"/>
    </row>
    <row r="36" spans="2:23" ht="15.5">
      <c r="B36" s="5" t="s">
        <v>455</v>
      </c>
      <c r="C36" s="152">
        <v>46279</v>
      </c>
      <c r="D36" s="153">
        <v>46283</v>
      </c>
      <c r="E36" s="38" t="s">
        <v>447</v>
      </c>
      <c r="F36" s="133">
        <v>25</v>
      </c>
      <c r="G36" s="144">
        <v>1260</v>
      </c>
      <c r="H36" s="154">
        <f t="shared" si="1"/>
        <v>36</v>
      </c>
      <c r="I36" s="146"/>
      <c r="J36" s="146"/>
      <c r="K36" s="146"/>
      <c r="L36" s="137"/>
      <c r="M36" s="133"/>
      <c r="N36" s="133">
        <f t="shared" si="0"/>
        <v>25</v>
      </c>
      <c r="O36" s="138"/>
      <c r="P36" s="8"/>
      <c r="Q36" s="8"/>
      <c r="R36" s="139"/>
      <c r="S36" s="139"/>
      <c r="T36" s="139"/>
      <c r="U36" s="8"/>
      <c r="V36" s="140"/>
      <c r="W36" s="141"/>
    </row>
    <row r="37" spans="2:23" ht="15.5">
      <c r="B37" s="5" t="s">
        <v>456</v>
      </c>
      <c r="C37" s="152">
        <v>46283</v>
      </c>
      <c r="D37" s="153">
        <v>46294</v>
      </c>
      <c r="E37" s="38" t="s">
        <v>447</v>
      </c>
      <c r="F37" s="133">
        <v>26</v>
      </c>
      <c r="G37" s="144">
        <v>1260</v>
      </c>
      <c r="H37" s="154">
        <f t="shared" si="1"/>
        <v>36</v>
      </c>
      <c r="I37" s="146"/>
      <c r="J37" s="146"/>
      <c r="K37" s="146"/>
      <c r="L37" s="137"/>
      <c r="M37" s="133"/>
      <c r="N37" s="133">
        <f t="shared" si="0"/>
        <v>26</v>
      </c>
      <c r="O37" s="138"/>
      <c r="P37" s="8"/>
      <c r="Q37" s="8"/>
      <c r="R37" s="139"/>
      <c r="S37" s="139"/>
      <c r="T37" s="139"/>
      <c r="U37" s="8"/>
      <c r="V37" s="140"/>
      <c r="W37" s="141"/>
    </row>
    <row r="38" spans="2:23" ht="15.5">
      <c r="B38" s="5">
        <v>11</v>
      </c>
      <c r="C38" s="152">
        <v>46283</v>
      </c>
      <c r="D38" s="153"/>
      <c r="E38" s="38" t="s">
        <v>445</v>
      </c>
      <c r="F38" s="133">
        <v>27</v>
      </c>
      <c r="G38" s="144">
        <v>1260</v>
      </c>
      <c r="H38" s="154">
        <f t="shared" si="1"/>
        <v>36</v>
      </c>
      <c r="I38" s="146"/>
      <c r="J38" s="146"/>
      <c r="K38" s="146"/>
      <c r="L38" s="137"/>
      <c r="M38" s="133"/>
      <c r="N38" s="133">
        <f t="shared" si="0"/>
        <v>27</v>
      </c>
      <c r="O38" s="138"/>
      <c r="P38" s="8"/>
      <c r="Q38" s="8"/>
      <c r="R38" s="139"/>
      <c r="S38" s="139"/>
      <c r="T38" s="139"/>
      <c r="U38" s="8"/>
      <c r="V38" s="140"/>
      <c r="W38" s="141"/>
    </row>
    <row r="39" spans="2:23" ht="15.5">
      <c r="B39" s="5">
        <v>11</v>
      </c>
      <c r="C39" s="152">
        <v>46283</v>
      </c>
      <c r="D39" s="153">
        <v>46286</v>
      </c>
      <c r="E39" s="38" t="s">
        <v>445</v>
      </c>
      <c r="F39" s="133">
        <v>28</v>
      </c>
      <c r="G39" s="144">
        <v>1260</v>
      </c>
      <c r="H39" s="154">
        <f t="shared" si="1"/>
        <v>36</v>
      </c>
      <c r="I39" s="146"/>
      <c r="J39" s="146"/>
      <c r="K39" s="146"/>
      <c r="L39" s="137"/>
      <c r="M39" s="133"/>
      <c r="N39" s="133">
        <f t="shared" si="0"/>
        <v>28</v>
      </c>
      <c r="O39" s="138"/>
      <c r="P39" s="8"/>
      <c r="Q39" s="8"/>
      <c r="R39" s="139"/>
      <c r="S39" s="139"/>
      <c r="T39" s="139"/>
      <c r="U39" s="8"/>
      <c r="V39" s="140"/>
      <c r="W39" s="141"/>
    </row>
    <row r="40" spans="2:23" ht="15.5">
      <c r="B40" s="5">
        <v>11</v>
      </c>
      <c r="C40" s="152">
        <v>46286</v>
      </c>
      <c r="D40" s="153"/>
      <c r="E40" s="38" t="s">
        <v>445</v>
      </c>
      <c r="F40" s="133">
        <v>29</v>
      </c>
      <c r="G40" s="144">
        <v>1260</v>
      </c>
      <c r="H40" s="154">
        <f t="shared" si="1"/>
        <v>36</v>
      </c>
      <c r="I40" s="146"/>
      <c r="J40" s="146"/>
      <c r="K40" s="146"/>
      <c r="L40" s="137"/>
      <c r="M40" s="133"/>
      <c r="N40" s="133">
        <f t="shared" si="0"/>
        <v>29</v>
      </c>
      <c r="O40" s="138"/>
      <c r="P40" s="8"/>
      <c r="Q40" s="8"/>
      <c r="R40" s="139"/>
      <c r="S40" s="139"/>
      <c r="T40" s="139"/>
      <c r="U40" s="8"/>
      <c r="V40" s="140"/>
      <c r="W40" s="141"/>
    </row>
    <row r="41" spans="2:23" ht="15.5">
      <c r="B41" s="5">
        <v>11</v>
      </c>
      <c r="C41" s="152">
        <v>46286</v>
      </c>
      <c r="D41" s="153">
        <v>46287</v>
      </c>
      <c r="E41" s="38" t="s">
        <v>445</v>
      </c>
      <c r="F41" s="133">
        <v>30</v>
      </c>
      <c r="G41" s="144">
        <v>1260</v>
      </c>
      <c r="H41" s="154">
        <f t="shared" si="1"/>
        <v>36</v>
      </c>
      <c r="I41" s="146"/>
      <c r="J41" s="146"/>
      <c r="K41" s="146"/>
      <c r="L41" s="137"/>
      <c r="M41" s="133"/>
      <c r="N41" s="133">
        <f t="shared" si="0"/>
        <v>30</v>
      </c>
      <c r="O41" s="138"/>
      <c r="P41" s="8"/>
      <c r="Q41" s="8"/>
      <c r="R41" s="139"/>
      <c r="S41" s="139"/>
      <c r="T41" s="139"/>
      <c r="U41" s="8"/>
      <c r="V41" s="140"/>
      <c r="W41" s="141"/>
    </row>
    <row r="42" spans="2:23" ht="15.5">
      <c r="B42" s="5" t="s">
        <v>457</v>
      </c>
      <c r="C42" s="152">
        <v>46287</v>
      </c>
      <c r="D42" s="153"/>
      <c r="E42" s="38" t="s">
        <v>445</v>
      </c>
      <c r="F42" s="133">
        <v>31</v>
      </c>
      <c r="G42" s="144">
        <v>1260</v>
      </c>
      <c r="H42" s="154">
        <f t="shared" si="1"/>
        <v>36</v>
      </c>
      <c r="I42" s="146"/>
      <c r="J42" s="146"/>
      <c r="K42" s="146"/>
      <c r="L42" s="137"/>
      <c r="M42" s="133"/>
      <c r="N42" s="133">
        <f t="shared" si="0"/>
        <v>31</v>
      </c>
      <c r="O42" s="138"/>
      <c r="P42" s="8"/>
      <c r="Q42" s="8"/>
      <c r="R42" s="139"/>
      <c r="S42" s="139"/>
      <c r="T42" s="139"/>
      <c r="U42" s="8"/>
      <c r="V42" s="140"/>
      <c r="W42" s="141"/>
    </row>
    <row r="43" spans="2:23" ht="15.5">
      <c r="B43" s="5">
        <v>12</v>
      </c>
      <c r="C43" s="152">
        <v>46287</v>
      </c>
      <c r="D43" s="153"/>
      <c r="E43" s="38" t="s">
        <v>445</v>
      </c>
      <c r="F43" s="133">
        <v>32</v>
      </c>
      <c r="G43" s="144">
        <v>1260</v>
      </c>
      <c r="H43" s="154">
        <f t="shared" si="1"/>
        <v>36</v>
      </c>
      <c r="I43" s="146"/>
      <c r="J43" s="146"/>
      <c r="K43" s="146"/>
      <c r="L43" s="137"/>
      <c r="M43" s="133"/>
      <c r="N43" s="133">
        <f t="shared" si="0"/>
        <v>32</v>
      </c>
      <c r="O43" s="138"/>
      <c r="P43" s="8"/>
      <c r="Q43" s="8"/>
      <c r="R43" s="139"/>
      <c r="S43" s="139"/>
      <c r="T43" s="139"/>
      <c r="U43" s="8"/>
      <c r="V43" s="140"/>
      <c r="W43" s="141"/>
    </row>
    <row r="44" spans="2:23" ht="15.5">
      <c r="B44" s="5">
        <v>12</v>
      </c>
      <c r="C44" s="152">
        <v>46287</v>
      </c>
      <c r="D44" s="153">
        <v>46289</v>
      </c>
      <c r="E44" s="38" t="s">
        <v>445</v>
      </c>
      <c r="F44" s="133">
        <v>33</v>
      </c>
      <c r="G44" s="144">
        <v>1288</v>
      </c>
      <c r="H44" s="154">
        <f t="shared" si="1"/>
        <v>36.799999999999997</v>
      </c>
      <c r="I44" s="146"/>
      <c r="J44" s="146"/>
      <c r="K44" s="146"/>
      <c r="L44" s="137"/>
      <c r="M44" s="133"/>
      <c r="N44" s="133">
        <f t="shared" si="0"/>
        <v>33</v>
      </c>
      <c r="O44" s="138"/>
      <c r="P44" s="8"/>
      <c r="Q44" s="8"/>
      <c r="R44" s="139"/>
      <c r="S44" s="139"/>
      <c r="T44" s="139"/>
      <c r="U44" s="8"/>
      <c r="V44" s="140"/>
      <c r="W44" s="141"/>
    </row>
    <row r="45" spans="2:23" ht="15.5">
      <c r="B45" s="5">
        <v>12</v>
      </c>
      <c r="C45" s="152">
        <v>46289</v>
      </c>
      <c r="D45" s="153">
        <v>46291</v>
      </c>
      <c r="E45" s="38" t="s">
        <v>445</v>
      </c>
      <c r="F45" s="133">
        <v>34</v>
      </c>
      <c r="G45" s="144">
        <v>1330</v>
      </c>
      <c r="H45" s="154">
        <f t="shared" si="1"/>
        <v>38</v>
      </c>
      <c r="I45" s="146"/>
      <c r="J45" s="146"/>
      <c r="K45" s="146"/>
      <c r="L45" s="137"/>
      <c r="M45" s="133"/>
      <c r="N45" s="133">
        <f t="shared" si="0"/>
        <v>34</v>
      </c>
      <c r="O45" s="138"/>
      <c r="P45" s="8"/>
      <c r="Q45" s="8"/>
      <c r="R45" s="139"/>
      <c r="S45" s="139"/>
      <c r="T45" s="139"/>
      <c r="U45" s="8"/>
      <c r="V45" s="140"/>
      <c r="W45" s="141"/>
    </row>
    <row r="46" spans="2:23" ht="15.5">
      <c r="B46" s="5" t="s">
        <v>103</v>
      </c>
      <c r="C46" s="152">
        <v>46291</v>
      </c>
      <c r="D46" s="153">
        <v>46294</v>
      </c>
      <c r="E46" s="38" t="s">
        <v>445</v>
      </c>
      <c r="F46" s="133">
        <v>35</v>
      </c>
      <c r="G46" s="144">
        <v>1015</v>
      </c>
      <c r="H46" s="154">
        <f t="shared" si="1"/>
        <v>29</v>
      </c>
      <c r="I46" s="146"/>
      <c r="J46" s="146"/>
      <c r="K46" s="146"/>
      <c r="L46" s="137"/>
      <c r="M46" s="133"/>
      <c r="N46" s="133">
        <f t="shared" si="0"/>
        <v>35</v>
      </c>
      <c r="O46" s="138"/>
      <c r="P46" s="8"/>
      <c r="Q46" s="8"/>
      <c r="R46" s="139"/>
      <c r="S46" s="139"/>
      <c r="T46" s="139"/>
      <c r="U46" s="8"/>
      <c r="V46" s="140"/>
      <c r="W46" s="141"/>
    </row>
    <row r="47" spans="2:23" ht="15.5">
      <c r="B47" s="5">
        <v>13</v>
      </c>
      <c r="C47" s="152">
        <v>46294</v>
      </c>
      <c r="D47" s="153"/>
      <c r="E47" s="38" t="s">
        <v>447</v>
      </c>
      <c r="F47" s="133">
        <v>36</v>
      </c>
      <c r="G47" s="144">
        <v>105</v>
      </c>
      <c r="H47" s="154">
        <f t="shared" si="1"/>
        <v>3</v>
      </c>
      <c r="I47" s="146"/>
      <c r="J47" s="146"/>
      <c r="K47" s="146"/>
      <c r="L47" s="137"/>
      <c r="M47" s="133"/>
      <c r="N47" s="133">
        <f t="shared" si="0"/>
        <v>36</v>
      </c>
      <c r="O47" s="138"/>
      <c r="P47" s="8"/>
      <c r="Q47" s="8"/>
      <c r="R47" s="139"/>
      <c r="S47" s="139"/>
      <c r="T47" s="139"/>
      <c r="U47" s="8"/>
      <c r="V47" s="140"/>
      <c r="W47" s="141"/>
    </row>
    <row r="48" spans="2:23" ht="15.5">
      <c r="B48" s="5"/>
      <c r="C48" s="152"/>
      <c r="D48" s="153"/>
      <c r="E48" s="38"/>
      <c r="F48" s="133">
        <v>37</v>
      </c>
      <c r="G48" s="144"/>
      <c r="H48" s="154">
        <f t="shared" si="1"/>
        <v>0</v>
      </c>
      <c r="I48" s="146"/>
      <c r="J48" s="146"/>
      <c r="K48" s="146"/>
      <c r="L48" s="137"/>
      <c r="M48" s="133"/>
      <c r="N48" s="133">
        <f t="shared" si="0"/>
        <v>37</v>
      </c>
      <c r="O48" s="138"/>
      <c r="P48" s="8"/>
      <c r="Q48" s="8"/>
      <c r="R48" s="139"/>
      <c r="S48" s="139"/>
      <c r="T48" s="139"/>
      <c r="U48" s="8"/>
      <c r="V48" s="140"/>
      <c r="W48" s="141"/>
    </row>
    <row r="49" spans="2:23" ht="15.5">
      <c r="B49" s="5"/>
      <c r="C49" s="38"/>
      <c r="D49" s="39"/>
      <c r="E49" s="38"/>
      <c r="F49" s="146"/>
      <c r="G49" s="146"/>
      <c r="H49" s="146"/>
      <c r="I49" s="146"/>
      <c r="J49" s="146"/>
      <c r="K49" s="146"/>
      <c r="L49" s="137"/>
      <c r="M49" s="133"/>
      <c r="N49" s="155"/>
      <c r="O49" s="138"/>
      <c r="P49" s="8"/>
      <c r="Q49" s="8"/>
      <c r="R49" s="139"/>
      <c r="S49" s="139"/>
      <c r="T49" s="139"/>
      <c r="U49" s="8"/>
      <c r="V49" s="140"/>
      <c r="W49" s="141"/>
    </row>
    <row r="50" spans="2:23" ht="15.5">
      <c r="B50" s="5"/>
      <c r="C50" s="38"/>
      <c r="D50" s="39"/>
      <c r="E50" s="38"/>
      <c r="F50" s="146"/>
      <c r="G50" s="146"/>
      <c r="H50" s="146"/>
      <c r="I50" s="146"/>
      <c r="J50" s="146"/>
      <c r="K50" s="146"/>
      <c r="L50" s="137"/>
      <c r="M50" s="133"/>
      <c r="N50" s="155"/>
      <c r="O50" s="138"/>
      <c r="P50" s="8"/>
      <c r="Q50" s="8"/>
      <c r="R50" s="139"/>
      <c r="S50" s="139"/>
      <c r="T50" s="139"/>
      <c r="U50" s="8"/>
      <c r="V50" s="140"/>
      <c r="W50" s="141"/>
    </row>
    <row r="51" spans="2:23" ht="15.5">
      <c r="B51" s="5"/>
      <c r="C51" s="38"/>
      <c r="D51" s="39"/>
      <c r="E51" s="38"/>
      <c r="F51" s="146"/>
      <c r="G51" s="146"/>
      <c r="H51" s="146"/>
      <c r="I51" s="146"/>
      <c r="J51" s="146"/>
      <c r="K51" s="146"/>
      <c r="L51" s="137"/>
      <c r="M51" s="133"/>
      <c r="N51" s="155"/>
      <c r="O51" s="138"/>
      <c r="P51" s="8"/>
      <c r="Q51" s="8"/>
      <c r="R51" s="139"/>
      <c r="S51" s="139"/>
      <c r="T51" s="139"/>
      <c r="U51" s="8"/>
      <c r="V51" s="140"/>
      <c r="W51" s="141"/>
    </row>
    <row r="52" spans="2:23" ht="15.5">
      <c r="B52" s="5"/>
      <c r="C52" s="38"/>
      <c r="D52" s="39"/>
      <c r="E52" s="38"/>
      <c r="F52" s="146"/>
      <c r="G52" s="146"/>
      <c r="H52" s="146"/>
      <c r="I52" s="146"/>
      <c r="J52" s="146"/>
      <c r="K52" s="146"/>
      <c r="L52" s="137"/>
      <c r="M52" s="133"/>
      <c r="N52" s="155"/>
      <c r="O52" s="138"/>
      <c r="P52" s="8"/>
      <c r="Q52" s="8"/>
      <c r="R52" s="139"/>
      <c r="S52" s="139"/>
      <c r="T52" s="139"/>
      <c r="U52" s="8"/>
      <c r="V52" s="140"/>
      <c r="W52" s="141"/>
    </row>
    <row r="53" spans="2:23" ht="15.5">
      <c r="B53" s="5"/>
      <c r="C53" s="38"/>
      <c r="D53" s="39"/>
      <c r="E53" s="38"/>
      <c r="F53" s="146"/>
      <c r="G53" s="146"/>
      <c r="H53" s="146"/>
      <c r="I53" s="146"/>
      <c r="J53" s="146"/>
      <c r="K53" s="146"/>
      <c r="L53" s="137"/>
      <c r="M53" s="133"/>
      <c r="N53" s="155"/>
      <c r="O53" s="138"/>
      <c r="P53" s="8"/>
      <c r="Q53" s="8"/>
      <c r="R53" s="139"/>
      <c r="S53" s="139"/>
      <c r="T53" s="139"/>
      <c r="U53" s="8"/>
      <c r="V53" s="140"/>
      <c r="W53" s="141"/>
    </row>
    <row r="54" spans="2:23" ht="15.5">
      <c r="B54" s="5"/>
      <c r="C54" s="38"/>
      <c r="D54" s="39"/>
      <c r="E54" s="38"/>
      <c r="F54" s="146"/>
      <c r="G54" s="146"/>
      <c r="H54" s="146"/>
      <c r="I54" s="146"/>
      <c r="J54" s="146"/>
      <c r="K54" s="146"/>
      <c r="L54" s="137"/>
      <c r="M54" s="133"/>
      <c r="N54" s="155"/>
      <c r="O54" s="138"/>
      <c r="P54" s="8"/>
      <c r="Q54" s="8"/>
      <c r="R54" s="139"/>
      <c r="S54" s="139"/>
      <c r="T54" s="139"/>
      <c r="U54" s="8"/>
      <c r="V54" s="140"/>
      <c r="W54" s="141"/>
    </row>
    <row r="55" spans="2:23" ht="15.5">
      <c r="B55" s="5"/>
      <c r="C55" s="38"/>
      <c r="D55" s="39"/>
      <c r="E55" s="38"/>
      <c r="F55" s="146"/>
      <c r="G55" s="146"/>
      <c r="H55" s="146"/>
      <c r="I55" s="146"/>
      <c r="J55" s="146"/>
      <c r="K55" s="146"/>
      <c r="L55" s="137"/>
      <c r="M55" s="133"/>
      <c r="N55" s="155"/>
      <c r="O55" s="138"/>
      <c r="P55" s="8"/>
      <c r="Q55" s="8"/>
      <c r="R55" s="139"/>
      <c r="S55" s="139"/>
      <c r="T55" s="139"/>
      <c r="U55" s="8"/>
      <c r="V55" s="140"/>
      <c r="W55" s="141"/>
    </row>
    <row r="56" spans="2:23" ht="15.5">
      <c r="B56" s="5"/>
      <c r="C56" s="38"/>
      <c r="D56" s="39"/>
      <c r="E56" s="38"/>
      <c r="F56" s="146"/>
      <c r="G56" s="146"/>
      <c r="H56" s="146"/>
      <c r="I56" s="146"/>
      <c r="J56" s="146"/>
      <c r="K56" s="146"/>
      <c r="L56" s="137"/>
      <c r="M56" s="133"/>
      <c r="N56" s="155"/>
      <c r="O56" s="138"/>
      <c r="P56" s="8"/>
      <c r="Q56" s="8"/>
      <c r="R56" s="139"/>
      <c r="S56" s="139"/>
      <c r="T56" s="139"/>
      <c r="U56" s="8"/>
      <c r="V56" s="140"/>
      <c r="W56" s="141"/>
    </row>
    <row r="57" spans="2:23" ht="15.5">
      <c r="B57" s="5"/>
      <c r="C57" s="38"/>
      <c r="D57" s="39"/>
      <c r="E57" s="38"/>
      <c r="F57" s="146"/>
      <c r="G57" s="146"/>
      <c r="H57" s="146"/>
      <c r="I57" s="146"/>
      <c r="J57" s="146"/>
      <c r="K57" s="146"/>
      <c r="L57" s="137"/>
      <c r="M57" s="133"/>
      <c r="N57" s="155"/>
      <c r="O57" s="138"/>
      <c r="P57" s="8"/>
      <c r="Q57" s="8"/>
      <c r="R57" s="139"/>
      <c r="S57" s="139"/>
      <c r="T57" s="139"/>
      <c r="U57" s="8"/>
      <c r="V57" s="140"/>
      <c r="W57" s="141"/>
    </row>
    <row r="58" spans="2:23" ht="15.5">
      <c r="B58" s="5"/>
      <c r="C58" s="38"/>
      <c r="D58" s="39"/>
      <c r="E58" s="38"/>
      <c r="F58" s="146"/>
      <c r="G58" s="146"/>
      <c r="H58" s="146"/>
      <c r="I58" s="146"/>
      <c r="J58" s="146"/>
      <c r="K58" s="146"/>
      <c r="L58" s="137"/>
      <c r="M58" s="133"/>
      <c r="N58" s="155"/>
      <c r="O58" s="138"/>
      <c r="P58" s="8"/>
      <c r="Q58" s="8"/>
      <c r="R58" s="139"/>
      <c r="S58" s="139"/>
      <c r="T58" s="139"/>
      <c r="U58" s="8"/>
      <c r="V58" s="140"/>
      <c r="W58" s="141"/>
    </row>
    <row r="59" spans="2:23" ht="15.5">
      <c r="B59" s="5"/>
      <c r="C59" s="38"/>
      <c r="D59" s="39"/>
      <c r="E59" s="38"/>
      <c r="F59" s="146"/>
      <c r="G59" s="146"/>
      <c r="H59" s="146"/>
      <c r="I59" s="146"/>
      <c r="J59" s="146"/>
      <c r="K59" s="146"/>
      <c r="L59" s="137"/>
      <c r="M59" s="133"/>
      <c r="N59" s="155"/>
      <c r="O59" s="138"/>
      <c r="P59" s="8"/>
      <c r="Q59" s="8"/>
      <c r="R59" s="139"/>
      <c r="S59" s="139"/>
      <c r="T59" s="139"/>
      <c r="U59" s="8"/>
      <c r="V59" s="140"/>
      <c r="W59" s="141"/>
    </row>
    <row r="60" spans="2:23" ht="15.5">
      <c r="B60" s="5"/>
      <c r="C60" s="38"/>
      <c r="D60" s="39"/>
      <c r="E60" s="38"/>
      <c r="F60" s="146"/>
      <c r="G60" s="146"/>
      <c r="H60" s="146"/>
      <c r="I60" s="146"/>
      <c r="J60" s="146"/>
      <c r="K60" s="146"/>
      <c r="L60" s="137"/>
      <c r="M60" s="133"/>
      <c r="N60" s="155"/>
      <c r="O60" s="138"/>
      <c r="P60" s="8"/>
      <c r="Q60" s="8"/>
      <c r="R60" s="139"/>
      <c r="S60" s="139"/>
      <c r="T60" s="139"/>
      <c r="U60" s="8"/>
      <c r="V60" s="140"/>
      <c r="W60" s="141"/>
    </row>
    <row r="61" spans="2:23" ht="15.5">
      <c r="B61" s="5"/>
      <c r="C61" s="38"/>
      <c r="D61" s="39"/>
      <c r="E61" s="38"/>
      <c r="F61" s="146"/>
      <c r="G61" s="146"/>
      <c r="H61" s="146"/>
      <c r="I61" s="146"/>
      <c r="J61" s="146"/>
      <c r="K61" s="146"/>
      <c r="L61" s="137"/>
      <c r="M61" s="133"/>
      <c r="N61" s="155"/>
      <c r="O61" s="138"/>
      <c r="P61" s="8"/>
      <c r="Q61" s="8"/>
      <c r="R61" s="139"/>
      <c r="S61" s="139"/>
      <c r="T61" s="139"/>
      <c r="U61" s="8"/>
      <c r="V61" s="140"/>
      <c r="W61" s="141"/>
    </row>
    <row r="62" spans="2:23" ht="15.5">
      <c r="B62" s="5"/>
      <c r="C62" s="38"/>
      <c r="D62" s="39"/>
      <c r="E62" s="38"/>
      <c r="F62" s="146"/>
      <c r="G62" s="146"/>
      <c r="H62" s="146"/>
      <c r="I62" s="146"/>
      <c r="J62" s="146"/>
      <c r="K62" s="146"/>
      <c r="L62" s="137"/>
      <c r="M62" s="133"/>
      <c r="N62" s="155"/>
      <c r="O62" s="138"/>
      <c r="P62" s="8"/>
      <c r="Q62" s="8"/>
      <c r="R62" s="139"/>
      <c r="S62" s="139"/>
      <c r="T62" s="139"/>
      <c r="U62" s="8"/>
      <c r="V62" s="140"/>
      <c r="W62" s="141"/>
    </row>
    <row r="63" spans="2:23" ht="15.5">
      <c r="B63" s="5"/>
      <c r="C63" s="38"/>
      <c r="D63" s="39"/>
      <c r="E63" s="38"/>
      <c r="F63" s="146"/>
      <c r="G63" s="146"/>
      <c r="H63" s="146"/>
      <c r="I63" s="146"/>
      <c r="J63" s="146"/>
      <c r="K63" s="146"/>
      <c r="L63" s="137"/>
      <c r="M63" s="133"/>
      <c r="N63" s="155"/>
      <c r="O63" s="138"/>
      <c r="P63" s="8"/>
      <c r="Q63" s="8"/>
      <c r="R63" s="139"/>
      <c r="S63" s="139"/>
      <c r="T63" s="139"/>
      <c r="U63" s="8"/>
      <c r="V63" s="140"/>
      <c r="W63" s="141"/>
    </row>
    <row r="64" spans="2:23" ht="15.5">
      <c r="B64" s="5"/>
      <c r="C64" s="38"/>
      <c r="D64" s="39"/>
      <c r="E64" s="38"/>
      <c r="F64" s="146"/>
      <c r="G64" s="146"/>
      <c r="H64" s="146"/>
      <c r="I64" s="146"/>
      <c r="J64" s="146"/>
      <c r="K64" s="146"/>
      <c r="L64" s="137"/>
      <c r="M64" s="133"/>
      <c r="N64" s="155"/>
      <c r="O64" s="138"/>
      <c r="P64" s="8"/>
      <c r="Q64" s="8"/>
      <c r="R64" s="139"/>
      <c r="S64" s="139"/>
      <c r="T64" s="139"/>
      <c r="U64" s="8"/>
      <c r="V64" s="140"/>
      <c r="W64" s="141"/>
    </row>
    <row r="65" spans="2:23" ht="15.5">
      <c r="B65" s="5"/>
      <c r="C65" s="38"/>
      <c r="D65" s="39"/>
      <c r="E65" s="38"/>
      <c r="F65" s="146"/>
      <c r="G65" s="146"/>
      <c r="H65" s="146"/>
      <c r="I65" s="146"/>
      <c r="J65" s="146"/>
      <c r="K65" s="146"/>
      <c r="L65" s="137"/>
      <c r="M65" s="133"/>
      <c r="N65" s="155"/>
      <c r="O65" s="138"/>
      <c r="P65" s="8"/>
      <c r="Q65" s="8"/>
      <c r="R65" s="139"/>
      <c r="S65" s="139"/>
      <c r="T65" s="139"/>
      <c r="U65" s="8"/>
      <c r="V65" s="140"/>
      <c r="W65" s="141"/>
    </row>
    <row r="66" spans="2:23" ht="15.5">
      <c r="B66" s="5"/>
      <c r="C66" s="38"/>
      <c r="D66" s="39"/>
      <c r="E66" s="38"/>
      <c r="F66" s="146"/>
      <c r="G66" s="146"/>
      <c r="H66" s="146"/>
      <c r="I66" s="146"/>
      <c r="J66" s="146"/>
      <c r="K66" s="146"/>
      <c r="L66" s="137"/>
      <c r="M66" s="133"/>
      <c r="N66" s="155"/>
      <c r="O66" s="138"/>
      <c r="P66" s="8"/>
      <c r="Q66" s="8"/>
      <c r="R66" s="139"/>
      <c r="S66" s="139"/>
      <c r="T66" s="139"/>
      <c r="U66" s="8"/>
      <c r="V66" s="140"/>
      <c r="W66" s="141"/>
    </row>
    <row r="67" spans="2:23" ht="15.5">
      <c r="B67" s="5"/>
      <c r="C67" s="38"/>
      <c r="D67" s="39"/>
      <c r="E67" s="38"/>
      <c r="F67" s="146"/>
      <c r="G67" s="146"/>
      <c r="H67" s="146"/>
      <c r="I67" s="146"/>
      <c r="J67" s="146"/>
      <c r="K67" s="146"/>
      <c r="L67" s="137"/>
      <c r="M67" s="133"/>
      <c r="N67" s="155"/>
      <c r="O67" s="138"/>
      <c r="P67" s="8"/>
      <c r="Q67" s="8"/>
      <c r="R67" s="139"/>
      <c r="S67" s="139"/>
      <c r="T67" s="139"/>
      <c r="U67" s="8"/>
      <c r="V67" s="140"/>
      <c r="W67" s="141"/>
    </row>
    <row r="68" spans="2:23" ht="15.5">
      <c r="B68" s="5"/>
      <c r="C68" s="38"/>
      <c r="D68" s="39"/>
      <c r="E68" s="38"/>
      <c r="F68" s="146"/>
      <c r="G68" s="146"/>
      <c r="H68" s="146"/>
      <c r="I68" s="146"/>
      <c r="J68" s="146"/>
      <c r="K68" s="146"/>
      <c r="L68" s="137"/>
      <c r="M68" s="133"/>
      <c r="N68" s="155"/>
      <c r="O68" s="138"/>
      <c r="P68" s="8"/>
      <c r="Q68" s="8"/>
      <c r="R68" s="139"/>
      <c r="S68" s="139"/>
      <c r="T68" s="139"/>
      <c r="U68" s="8"/>
      <c r="V68" s="140"/>
      <c r="W68" s="141"/>
    </row>
    <row r="69" spans="2:23" ht="15.5">
      <c r="B69" s="5"/>
      <c r="C69" s="38"/>
      <c r="D69" s="39"/>
      <c r="E69" s="38"/>
      <c r="F69" s="146"/>
      <c r="G69" s="146"/>
      <c r="H69" s="146"/>
      <c r="I69" s="146"/>
      <c r="J69" s="146"/>
      <c r="K69" s="146"/>
      <c r="L69" s="137"/>
      <c r="M69" s="133"/>
      <c r="N69" s="155"/>
      <c r="O69" s="138"/>
      <c r="P69" s="8"/>
      <c r="Q69" s="8"/>
      <c r="R69" s="139"/>
      <c r="S69" s="139"/>
      <c r="T69" s="139"/>
      <c r="U69" s="8"/>
      <c r="V69" s="140"/>
      <c r="W69" s="141"/>
    </row>
    <row r="70" spans="2:23" ht="15.5">
      <c r="B70" s="5"/>
      <c r="C70" s="38"/>
      <c r="D70" s="39"/>
      <c r="E70" s="38"/>
      <c r="F70" s="146"/>
      <c r="G70" s="146"/>
      <c r="H70" s="146"/>
      <c r="I70" s="146"/>
      <c r="J70" s="146"/>
      <c r="K70" s="146"/>
      <c r="L70" s="137"/>
      <c r="M70" s="133"/>
      <c r="N70" s="155"/>
      <c r="O70" s="138"/>
      <c r="P70" s="8"/>
      <c r="Q70" s="8"/>
      <c r="R70" s="139"/>
      <c r="S70" s="139"/>
      <c r="T70" s="139"/>
      <c r="U70" s="8"/>
      <c r="V70" s="140"/>
      <c r="W70" s="141"/>
    </row>
    <row r="71" spans="2:23" ht="15.5">
      <c r="B71" s="5"/>
      <c r="C71" s="38"/>
      <c r="D71" s="39"/>
      <c r="E71" s="38"/>
      <c r="F71" s="146"/>
      <c r="G71" s="146"/>
      <c r="H71" s="146"/>
      <c r="I71" s="146"/>
      <c r="J71" s="146"/>
      <c r="K71" s="146"/>
      <c r="L71" s="137"/>
      <c r="M71" s="133"/>
      <c r="N71" s="155"/>
      <c r="O71" s="138"/>
      <c r="P71" s="8"/>
      <c r="Q71" s="8"/>
      <c r="R71" s="139"/>
      <c r="S71" s="139"/>
      <c r="T71" s="139"/>
      <c r="U71" s="8"/>
      <c r="V71" s="140"/>
      <c r="W71" s="141"/>
    </row>
    <row r="72" spans="2:23" ht="15.5">
      <c r="B72" s="5"/>
      <c r="C72" s="38"/>
      <c r="D72" s="39"/>
      <c r="E72" s="38"/>
      <c r="F72" s="146"/>
      <c r="G72" s="146"/>
      <c r="H72" s="146"/>
      <c r="I72" s="146"/>
      <c r="J72" s="146"/>
      <c r="K72" s="146"/>
      <c r="L72" s="137"/>
      <c r="M72" s="133"/>
      <c r="N72" s="155"/>
      <c r="O72" s="138"/>
      <c r="P72" s="8"/>
      <c r="Q72" s="8"/>
      <c r="R72" s="139"/>
      <c r="S72" s="139"/>
      <c r="T72" s="139"/>
      <c r="U72" s="8"/>
      <c r="V72" s="140"/>
      <c r="W72" s="141"/>
    </row>
    <row r="73" spans="2:23" ht="15.5">
      <c r="B73" s="5"/>
      <c r="C73" s="38"/>
      <c r="D73" s="39"/>
      <c r="E73" s="38"/>
      <c r="F73" s="146"/>
      <c r="G73" s="146"/>
      <c r="H73" s="146"/>
      <c r="I73" s="146"/>
      <c r="J73" s="146"/>
      <c r="K73" s="146"/>
      <c r="L73" s="137"/>
      <c r="M73" s="133"/>
      <c r="N73" s="155"/>
      <c r="O73" s="138"/>
      <c r="P73" s="8"/>
      <c r="Q73" s="8"/>
      <c r="R73" s="139"/>
      <c r="S73" s="139"/>
      <c r="T73" s="139"/>
      <c r="U73" s="8"/>
      <c r="V73" s="140"/>
      <c r="W73" s="141"/>
    </row>
    <row r="74" spans="2:23" ht="15.5">
      <c r="B74" s="5"/>
      <c r="C74" s="38"/>
      <c r="D74" s="39"/>
      <c r="E74" s="38"/>
      <c r="F74" s="146"/>
      <c r="G74" s="146"/>
      <c r="H74" s="146"/>
      <c r="I74" s="146"/>
      <c r="J74" s="146"/>
      <c r="K74" s="146"/>
      <c r="L74" s="137"/>
      <c r="M74" s="133"/>
      <c r="N74" s="155"/>
      <c r="O74" s="138"/>
      <c r="P74" s="8"/>
      <c r="Q74" s="8"/>
      <c r="R74" s="139"/>
      <c r="S74" s="139"/>
      <c r="T74" s="139"/>
      <c r="U74" s="8"/>
      <c r="V74" s="140"/>
      <c r="W74" s="141"/>
    </row>
    <row r="75" spans="2:23" ht="15.5">
      <c r="B75" s="5"/>
      <c r="C75" s="38"/>
      <c r="D75" s="39"/>
      <c r="E75" s="38"/>
      <c r="F75" s="146"/>
      <c r="G75" s="146"/>
      <c r="H75" s="146"/>
      <c r="I75" s="146"/>
      <c r="J75" s="146"/>
      <c r="K75" s="146"/>
      <c r="L75" s="137"/>
      <c r="M75" s="133"/>
      <c r="N75" s="155"/>
      <c r="O75" s="138"/>
      <c r="P75" s="8"/>
      <c r="Q75" s="8"/>
      <c r="R75" s="139"/>
      <c r="S75" s="139"/>
      <c r="T75" s="139"/>
      <c r="U75" s="8"/>
      <c r="V75" s="140"/>
      <c r="W75" s="141"/>
    </row>
    <row r="76" spans="2:23" ht="15.5">
      <c r="B76" s="5"/>
      <c r="C76" s="38"/>
      <c r="D76" s="39"/>
      <c r="E76" s="38"/>
      <c r="F76" s="146"/>
      <c r="G76" s="146"/>
      <c r="H76" s="146"/>
      <c r="I76" s="146"/>
      <c r="J76" s="146"/>
      <c r="K76" s="146"/>
      <c r="L76" s="137"/>
      <c r="M76" s="133"/>
      <c r="N76" s="155"/>
      <c r="O76" s="138"/>
      <c r="P76" s="8"/>
      <c r="Q76" s="8"/>
      <c r="R76" s="139"/>
      <c r="S76" s="139"/>
      <c r="T76" s="139"/>
      <c r="U76" s="8"/>
      <c r="V76" s="140"/>
      <c r="W76" s="141"/>
    </row>
    <row r="77" spans="2:23" ht="15.5">
      <c r="B77" s="5"/>
      <c r="C77" s="38"/>
      <c r="D77" s="39"/>
      <c r="E77" s="38"/>
      <c r="F77" s="146"/>
      <c r="G77" s="146"/>
      <c r="H77" s="146"/>
      <c r="I77" s="146"/>
      <c r="J77" s="146"/>
      <c r="K77" s="146"/>
      <c r="L77" s="137"/>
      <c r="M77" s="133"/>
      <c r="N77" s="155"/>
      <c r="O77" s="138"/>
      <c r="P77" s="8"/>
      <c r="Q77" s="8"/>
      <c r="R77" s="139"/>
      <c r="S77" s="139"/>
      <c r="T77" s="139"/>
      <c r="U77" s="8"/>
      <c r="V77" s="140"/>
      <c r="W77" s="141"/>
    </row>
    <row r="78" spans="2:23" ht="15.5">
      <c r="B78" s="5"/>
      <c r="C78" s="38"/>
      <c r="D78" s="39"/>
      <c r="E78" s="38"/>
      <c r="F78" s="146"/>
      <c r="G78" s="146"/>
      <c r="H78" s="146"/>
      <c r="I78" s="146"/>
      <c r="J78" s="146"/>
      <c r="K78" s="146"/>
      <c r="L78" s="137"/>
      <c r="M78" s="133"/>
      <c r="N78" s="155"/>
      <c r="O78" s="138"/>
      <c r="P78" s="8"/>
      <c r="Q78" s="8"/>
      <c r="R78" s="139"/>
      <c r="S78" s="139"/>
      <c r="T78" s="139"/>
      <c r="U78" s="8"/>
      <c r="V78" s="140"/>
      <c r="W78" s="141"/>
    </row>
    <row r="79" spans="2:23" ht="15.5">
      <c r="B79" s="5"/>
      <c r="C79" s="38"/>
      <c r="D79" s="39"/>
      <c r="E79" s="38"/>
      <c r="F79" s="146"/>
      <c r="G79" s="146"/>
      <c r="H79" s="146"/>
      <c r="I79" s="146"/>
      <c r="J79" s="146"/>
      <c r="K79" s="146"/>
      <c r="L79" s="137"/>
      <c r="M79" s="133"/>
      <c r="N79" s="155"/>
      <c r="O79" s="138"/>
      <c r="P79" s="8"/>
      <c r="Q79" s="8"/>
      <c r="R79" s="139"/>
      <c r="S79" s="139"/>
      <c r="T79" s="139"/>
      <c r="U79" s="8"/>
      <c r="V79" s="140"/>
      <c r="W79" s="141"/>
    </row>
    <row r="80" spans="2:23" ht="15.5">
      <c r="B80" s="5"/>
      <c r="C80" s="38"/>
      <c r="D80" s="39"/>
      <c r="E80" s="38"/>
      <c r="F80" s="146"/>
      <c r="G80" s="146"/>
      <c r="H80" s="146"/>
      <c r="I80" s="146"/>
      <c r="J80" s="146"/>
      <c r="K80" s="146"/>
      <c r="L80" s="137"/>
      <c r="M80" s="133"/>
      <c r="N80" s="155"/>
      <c r="O80" s="138"/>
      <c r="P80" s="8"/>
      <c r="Q80" s="8"/>
      <c r="R80" s="139"/>
      <c r="S80" s="139"/>
      <c r="T80" s="139"/>
      <c r="U80" s="8"/>
      <c r="V80" s="140"/>
      <c r="W80" s="141"/>
    </row>
    <row r="81" spans="2:23" ht="15.5">
      <c r="B81" s="5"/>
      <c r="C81" s="38"/>
      <c r="D81" s="39"/>
      <c r="E81" s="38"/>
      <c r="F81" s="146"/>
      <c r="G81" s="146"/>
      <c r="H81" s="146"/>
      <c r="I81" s="146"/>
      <c r="J81" s="146"/>
      <c r="K81" s="146"/>
      <c r="L81" s="137"/>
      <c r="M81" s="133"/>
      <c r="N81" s="155"/>
      <c r="O81" s="138"/>
      <c r="P81" s="8"/>
      <c r="Q81" s="8"/>
      <c r="R81" s="139"/>
      <c r="S81" s="139"/>
      <c r="T81" s="139"/>
      <c r="U81" s="8"/>
      <c r="V81" s="140"/>
      <c r="W81" s="141"/>
    </row>
    <row r="82" spans="2:23" ht="15.5">
      <c r="B82" s="5"/>
      <c r="C82" s="38"/>
      <c r="D82" s="39"/>
      <c r="E82" s="38"/>
      <c r="F82" s="146"/>
      <c r="G82" s="146"/>
      <c r="H82" s="146"/>
      <c r="I82" s="146"/>
      <c r="J82" s="146"/>
      <c r="K82" s="146"/>
      <c r="L82" s="137"/>
      <c r="M82" s="133"/>
      <c r="N82" s="155"/>
      <c r="O82" s="138"/>
      <c r="P82" s="8"/>
      <c r="Q82" s="8"/>
      <c r="R82" s="139"/>
      <c r="S82" s="139"/>
      <c r="T82" s="139"/>
      <c r="U82" s="8"/>
      <c r="V82" s="140"/>
      <c r="W82" s="141"/>
    </row>
    <row r="83" spans="2:23" ht="15.5">
      <c r="B83" s="5"/>
      <c r="C83" s="38"/>
      <c r="D83" s="39"/>
      <c r="E83" s="38"/>
      <c r="F83" s="146"/>
      <c r="G83" s="146"/>
      <c r="H83" s="146"/>
      <c r="I83" s="146"/>
      <c r="J83" s="146"/>
      <c r="K83" s="146"/>
      <c r="L83" s="137"/>
      <c r="M83" s="133"/>
      <c r="N83" s="155"/>
      <c r="O83" s="138"/>
      <c r="P83" s="8"/>
      <c r="Q83" s="8"/>
      <c r="R83" s="139"/>
      <c r="S83" s="139"/>
      <c r="T83" s="139"/>
      <c r="U83" s="8"/>
      <c r="V83" s="140"/>
      <c r="W83" s="141"/>
    </row>
    <row r="84" spans="2:23" ht="15.5">
      <c r="B84" s="5"/>
      <c r="C84" s="38"/>
      <c r="D84" s="39"/>
      <c r="E84" s="38"/>
      <c r="F84" s="146"/>
      <c r="G84" s="146"/>
      <c r="H84" s="146"/>
      <c r="I84" s="146"/>
      <c r="J84" s="146"/>
      <c r="K84" s="146"/>
      <c r="L84" s="137"/>
      <c r="M84" s="133"/>
      <c r="N84" s="155"/>
      <c r="O84" s="138"/>
      <c r="P84" s="8"/>
      <c r="Q84" s="8"/>
      <c r="R84" s="139"/>
      <c r="S84" s="139"/>
      <c r="T84" s="139"/>
      <c r="U84" s="8"/>
      <c r="V84" s="140"/>
      <c r="W84" s="141"/>
    </row>
    <row r="85" spans="2:23" ht="15.5">
      <c r="B85" s="5"/>
      <c r="C85" s="38"/>
      <c r="D85" s="39"/>
      <c r="E85" s="38"/>
      <c r="F85" s="146"/>
      <c r="G85" s="146"/>
      <c r="H85" s="146"/>
      <c r="I85" s="146"/>
      <c r="J85" s="146"/>
      <c r="K85" s="146"/>
      <c r="L85" s="137"/>
      <c r="M85" s="133"/>
      <c r="N85" s="155"/>
      <c r="O85" s="138"/>
      <c r="P85" s="8"/>
      <c r="Q85" s="8"/>
      <c r="R85" s="139"/>
      <c r="S85" s="139"/>
      <c r="T85" s="139"/>
      <c r="U85" s="8"/>
      <c r="V85" s="140"/>
      <c r="W85" s="141"/>
    </row>
    <row r="86" spans="2:23" ht="15.5">
      <c r="B86" s="5"/>
      <c r="C86" s="38"/>
      <c r="D86" s="39"/>
      <c r="E86" s="38"/>
      <c r="F86" s="146"/>
      <c r="G86" s="146"/>
      <c r="H86" s="146"/>
      <c r="I86" s="146"/>
      <c r="J86" s="146"/>
      <c r="K86" s="146"/>
      <c r="L86" s="137"/>
      <c r="M86" s="133"/>
      <c r="N86" s="155"/>
      <c r="O86" s="138"/>
      <c r="P86" s="8"/>
      <c r="Q86" s="8"/>
      <c r="R86" s="139"/>
      <c r="S86" s="139"/>
      <c r="T86" s="139"/>
      <c r="U86" s="8"/>
      <c r="V86" s="140"/>
      <c r="W86" s="141"/>
    </row>
    <row r="87" spans="2:23" ht="15.5">
      <c r="B87" s="5"/>
      <c r="C87" s="38"/>
      <c r="D87" s="39"/>
      <c r="E87" s="38"/>
      <c r="F87" s="146"/>
      <c r="G87" s="146"/>
      <c r="H87" s="146"/>
      <c r="I87" s="146"/>
      <c r="J87" s="146"/>
      <c r="K87" s="146"/>
      <c r="L87" s="137"/>
      <c r="M87" s="133"/>
      <c r="N87" s="155"/>
      <c r="O87" s="138"/>
      <c r="P87" s="8"/>
      <c r="Q87" s="8"/>
      <c r="R87" s="139"/>
      <c r="S87" s="139"/>
      <c r="T87" s="139"/>
      <c r="U87" s="8"/>
      <c r="V87" s="140"/>
      <c r="W87" s="141"/>
    </row>
    <row r="88" spans="2:23" ht="15.5">
      <c r="B88" s="5"/>
      <c r="C88" s="38"/>
      <c r="D88" s="39"/>
      <c r="E88" s="38"/>
      <c r="F88" s="146"/>
      <c r="G88" s="146"/>
      <c r="H88" s="146"/>
      <c r="I88" s="146"/>
      <c r="J88" s="146"/>
      <c r="K88" s="146"/>
      <c r="L88" s="137"/>
      <c r="M88" s="133"/>
      <c r="N88" s="155"/>
      <c r="O88" s="138"/>
      <c r="P88" s="8"/>
      <c r="Q88" s="8"/>
      <c r="R88" s="139"/>
      <c r="S88" s="139"/>
      <c r="T88" s="139"/>
      <c r="U88" s="8"/>
      <c r="V88" s="140"/>
      <c r="W88" s="141"/>
    </row>
    <row r="89" spans="2:23" ht="15.5">
      <c r="B89" s="5"/>
      <c r="C89" s="38"/>
      <c r="D89" s="39"/>
      <c r="E89" s="38"/>
      <c r="F89" s="146"/>
      <c r="G89" s="146"/>
      <c r="H89" s="146"/>
      <c r="I89" s="146"/>
      <c r="J89" s="146"/>
      <c r="K89" s="146"/>
      <c r="L89" s="137"/>
      <c r="M89" s="133"/>
      <c r="N89" s="155"/>
      <c r="O89" s="138"/>
      <c r="P89" s="8"/>
      <c r="Q89" s="8"/>
      <c r="R89" s="139"/>
      <c r="S89" s="139"/>
      <c r="T89" s="139"/>
      <c r="U89" s="8"/>
      <c r="V89" s="140"/>
      <c r="W89" s="141"/>
    </row>
    <row r="90" spans="2:23" ht="15.5">
      <c r="B90" s="5"/>
      <c r="C90" s="38"/>
      <c r="D90" s="39"/>
      <c r="E90" s="38"/>
      <c r="F90" s="146"/>
      <c r="G90" s="146"/>
      <c r="H90" s="146"/>
      <c r="I90" s="146"/>
      <c r="J90" s="146"/>
      <c r="K90" s="146"/>
      <c r="L90" s="137"/>
      <c r="M90" s="133"/>
      <c r="N90" s="155"/>
      <c r="O90" s="138"/>
      <c r="P90" s="8"/>
      <c r="Q90" s="8"/>
      <c r="R90" s="139"/>
      <c r="S90" s="139"/>
      <c r="T90" s="139"/>
      <c r="U90" s="8"/>
      <c r="V90" s="140"/>
      <c r="W90" s="141"/>
    </row>
    <row r="91" spans="2:23" ht="15.5">
      <c r="B91" s="5"/>
      <c r="C91" s="38"/>
      <c r="D91" s="39"/>
      <c r="E91" s="38"/>
      <c r="F91" s="146"/>
      <c r="G91" s="146"/>
      <c r="H91" s="146"/>
      <c r="I91" s="146"/>
      <c r="J91" s="146"/>
      <c r="K91" s="146"/>
      <c r="L91" s="137"/>
      <c r="M91" s="133"/>
      <c r="N91" s="155"/>
      <c r="O91" s="138"/>
      <c r="P91" s="8"/>
      <c r="Q91" s="8"/>
      <c r="R91" s="139"/>
      <c r="S91" s="139"/>
      <c r="T91" s="139"/>
      <c r="U91" s="8"/>
      <c r="V91" s="140"/>
      <c r="W91" s="141"/>
    </row>
    <row r="92" spans="2:23" ht="15.5">
      <c r="B92" s="5"/>
      <c r="C92" s="38"/>
      <c r="D92" s="39"/>
      <c r="E92" s="38"/>
      <c r="F92" s="146"/>
      <c r="G92" s="146"/>
      <c r="H92" s="146"/>
      <c r="I92" s="146"/>
      <c r="J92" s="146"/>
      <c r="K92" s="146"/>
      <c r="L92" s="137"/>
      <c r="M92" s="133"/>
      <c r="N92" s="155"/>
      <c r="O92" s="138"/>
      <c r="P92" s="8"/>
      <c r="Q92" s="8"/>
      <c r="R92" s="139"/>
      <c r="S92" s="139"/>
      <c r="T92" s="139"/>
      <c r="U92" s="8"/>
      <c r="V92" s="140"/>
      <c r="W92" s="141"/>
    </row>
    <row r="93" spans="2:23" ht="15.5">
      <c r="B93" s="5"/>
      <c r="C93" s="38"/>
      <c r="D93" s="39"/>
      <c r="E93" s="38"/>
      <c r="F93" s="146"/>
      <c r="G93" s="146"/>
      <c r="H93" s="146"/>
      <c r="I93" s="146"/>
      <c r="J93" s="146"/>
      <c r="K93" s="146"/>
      <c r="L93" s="137"/>
      <c r="M93" s="133"/>
      <c r="N93" s="155"/>
      <c r="O93" s="138"/>
      <c r="P93" s="8"/>
      <c r="Q93" s="8"/>
      <c r="R93" s="139"/>
      <c r="S93" s="139"/>
      <c r="T93" s="139"/>
      <c r="U93" s="8"/>
      <c r="V93" s="140"/>
      <c r="W93" s="141"/>
    </row>
    <row r="94" spans="2:23" ht="15.5">
      <c r="B94" s="5"/>
      <c r="C94" s="38"/>
      <c r="D94" s="39"/>
      <c r="E94" s="38"/>
      <c r="F94" s="146"/>
      <c r="G94" s="146"/>
      <c r="H94" s="146"/>
      <c r="I94" s="146"/>
      <c r="J94" s="146"/>
      <c r="K94" s="146"/>
      <c r="L94" s="137"/>
      <c r="M94" s="133"/>
      <c r="N94" s="155"/>
      <c r="O94" s="138"/>
      <c r="P94" s="8"/>
      <c r="Q94" s="8"/>
      <c r="R94" s="139"/>
      <c r="S94" s="139"/>
      <c r="T94" s="139"/>
      <c r="U94" s="8"/>
      <c r="V94" s="140"/>
      <c r="W94" s="141"/>
    </row>
    <row r="95" spans="2:23" ht="15.5">
      <c r="B95" s="5"/>
      <c r="C95" s="38"/>
      <c r="D95" s="39"/>
      <c r="E95" s="38"/>
      <c r="F95" s="146"/>
      <c r="G95" s="146"/>
      <c r="H95" s="146"/>
      <c r="I95" s="146"/>
      <c r="J95" s="146"/>
      <c r="K95" s="146"/>
      <c r="L95" s="137"/>
      <c r="M95" s="133"/>
      <c r="N95" s="155"/>
      <c r="O95" s="138"/>
      <c r="P95" s="8"/>
      <c r="Q95" s="8"/>
      <c r="R95" s="139"/>
      <c r="S95" s="139"/>
      <c r="T95" s="139"/>
      <c r="U95" s="8"/>
      <c r="V95" s="140"/>
      <c r="W95" s="141"/>
    </row>
    <row r="96" spans="2:23" ht="15.5">
      <c r="B96" s="5"/>
      <c r="C96" s="38"/>
      <c r="D96" s="39"/>
      <c r="E96" s="38"/>
      <c r="F96" s="146"/>
      <c r="G96" s="146"/>
      <c r="H96" s="146"/>
      <c r="I96" s="146"/>
      <c r="J96" s="146"/>
      <c r="K96" s="146"/>
      <c r="L96" s="137"/>
      <c r="M96" s="133"/>
      <c r="N96" s="155"/>
      <c r="O96" s="138"/>
      <c r="P96" s="8"/>
      <c r="Q96" s="8"/>
      <c r="R96" s="139"/>
      <c r="S96" s="139"/>
      <c r="T96" s="139"/>
      <c r="U96" s="8"/>
      <c r="V96" s="140"/>
      <c r="W96" s="141"/>
    </row>
    <row r="97" spans="2:23" ht="15.5">
      <c r="B97" s="5"/>
      <c r="C97" s="38"/>
      <c r="D97" s="39"/>
      <c r="E97" s="38"/>
      <c r="F97" s="146"/>
      <c r="G97" s="146"/>
      <c r="H97" s="146"/>
      <c r="I97" s="146"/>
      <c r="J97" s="146"/>
      <c r="K97" s="146"/>
      <c r="L97" s="137"/>
      <c r="M97" s="133"/>
      <c r="N97" s="155"/>
      <c r="O97" s="138"/>
      <c r="P97" s="8"/>
      <c r="Q97" s="8"/>
      <c r="R97" s="139"/>
      <c r="S97" s="139"/>
      <c r="T97" s="139"/>
      <c r="U97" s="8"/>
      <c r="V97" s="140"/>
      <c r="W97" s="141"/>
    </row>
    <row r="98" spans="2:23" ht="15.5">
      <c r="B98" s="5"/>
      <c r="C98" s="38"/>
      <c r="D98" s="39"/>
      <c r="E98" s="38"/>
      <c r="F98" s="146"/>
      <c r="G98" s="146"/>
      <c r="H98" s="146"/>
      <c r="I98" s="146"/>
      <c r="J98" s="146"/>
      <c r="K98" s="146"/>
      <c r="L98" s="137"/>
      <c r="M98" s="133"/>
      <c r="N98" s="155"/>
      <c r="O98" s="138"/>
      <c r="P98" s="8"/>
      <c r="Q98" s="8"/>
      <c r="R98" s="139"/>
      <c r="S98" s="139"/>
      <c r="T98" s="139"/>
      <c r="U98" s="8"/>
      <c r="V98" s="140"/>
      <c r="W98" s="141"/>
    </row>
    <row r="99" spans="2:23" ht="15.5">
      <c r="B99" s="5"/>
      <c r="C99" s="38"/>
      <c r="D99" s="39"/>
      <c r="E99" s="38"/>
      <c r="F99" s="146"/>
      <c r="G99" s="146"/>
      <c r="H99" s="146"/>
      <c r="I99" s="146"/>
      <c r="J99" s="146"/>
      <c r="K99" s="146"/>
      <c r="L99" s="137"/>
      <c r="M99" s="133"/>
      <c r="N99" s="155"/>
      <c r="O99" s="138"/>
      <c r="P99" s="8"/>
      <c r="Q99" s="8"/>
      <c r="R99" s="139"/>
      <c r="S99" s="139"/>
      <c r="T99" s="139"/>
      <c r="U99" s="8"/>
      <c r="V99" s="140"/>
      <c r="W99" s="141"/>
    </row>
    <row r="100" spans="2:23" ht="15.5">
      <c r="B100" s="5"/>
      <c r="C100" s="38"/>
      <c r="D100" s="39"/>
      <c r="E100" s="38"/>
      <c r="F100" s="146"/>
      <c r="G100" s="146"/>
      <c r="H100" s="146"/>
      <c r="I100" s="146"/>
      <c r="J100" s="146"/>
      <c r="K100" s="146"/>
      <c r="L100" s="137"/>
      <c r="M100" s="133"/>
      <c r="N100" s="155"/>
      <c r="O100" s="138"/>
      <c r="P100" s="8"/>
      <c r="Q100" s="8"/>
      <c r="R100" s="139"/>
      <c r="S100" s="139"/>
      <c r="T100" s="139"/>
      <c r="U100" s="8"/>
      <c r="V100" s="140"/>
      <c r="W100" s="141"/>
    </row>
    <row r="101" spans="2:23" ht="15.5">
      <c r="B101" s="5"/>
      <c r="C101" s="38"/>
      <c r="D101" s="39"/>
      <c r="E101" s="38"/>
      <c r="F101" s="146"/>
      <c r="G101" s="146"/>
      <c r="H101" s="146"/>
      <c r="I101" s="146"/>
      <c r="J101" s="146"/>
      <c r="K101" s="146"/>
      <c r="L101" s="137"/>
      <c r="M101" s="133"/>
      <c r="N101" s="155"/>
      <c r="O101" s="138"/>
      <c r="P101" s="8"/>
      <c r="Q101" s="8"/>
      <c r="R101" s="139"/>
      <c r="S101" s="139"/>
      <c r="T101" s="139"/>
      <c r="U101" s="8"/>
      <c r="V101" s="140"/>
      <c r="W101" s="141"/>
    </row>
    <row r="102" spans="2:23" ht="15.5">
      <c r="B102" s="5"/>
      <c r="C102" s="38"/>
      <c r="D102" s="39"/>
      <c r="E102" s="38"/>
      <c r="F102" s="146"/>
      <c r="G102" s="146"/>
      <c r="H102" s="146"/>
      <c r="I102" s="146"/>
      <c r="J102" s="146"/>
      <c r="K102" s="146"/>
      <c r="L102" s="137"/>
      <c r="M102" s="133"/>
      <c r="N102" s="155"/>
      <c r="O102" s="138"/>
      <c r="P102" s="8"/>
      <c r="Q102" s="8"/>
      <c r="R102" s="139"/>
      <c r="S102" s="139"/>
      <c r="T102" s="139"/>
      <c r="U102" s="8"/>
      <c r="V102" s="140"/>
      <c r="W102" s="141"/>
    </row>
    <row r="103" spans="2:23" ht="15.5">
      <c r="B103" s="5"/>
      <c r="C103" s="38"/>
      <c r="D103" s="39"/>
      <c r="E103" s="38"/>
      <c r="F103" s="146"/>
      <c r="G103" s="146"/>
      <c r="H103" s="146"/>
      <c r="I103" s="146"/>
      <c r="J103" s="146"/>
      <c r="K103" s="146"/>
      <c r="L103" s="137"/>
      <c r="M103" s="133"/>
      <c r="N103" s="155"/>
      <c r="O103" s="138"/>
      <c r="P103" s="8"/>
      <c r="Q103" s="8"/>
      <c r="R103" s="139"/>
      <c r="S103" s="139"/>
      <c r="T103" s="139"/>
      <c r="U103" s="8"/>
      <c r="V103" s="140"/>
      <c r="W103" s="141"/>
    </row>
    <row r="104" spans="2:23" ht="15.5">
      <c r="B104" s="5"/>
      <c r="C104" s="38"/>
      <c r="D104" s="39"/>
      <c r="E104" s="38"/>
      <c r="F104" s="146"/>
      <c r="G104" s="146"/>
      <c r="H104" s="146"/>
      <c r="I104" s="146"/>
      <c r="J104" s="146"/>
      <c r="K104" s="146"/>
      <c r="L104" s="137"/>
      <c r="M104" s="133"/>
      <c r="N104" s="155"/>
      <c r="O104" s="138"/>
      <c r="P104" s="8"/>
      <c r="Q104" s="8"/>
      <c r="R104" s="139"/>
      <c r="S104" s="139"/>
      <c r="T104" s="139"/>
      <c r="U104" s="8"/>
      <c r="V104" s="140"/>
      <c r="W104" s="141"/>
    </row>
    <row r="105" spans="2:23" ht="15.5">
      <c r="B105" s="5"/>
      <c r="C105" s="38"/>
      <c r="D105" s="39"/>
      <c r="E105" s="38"/>
      <c r="F105" s="146"/>
      <c r="G105" s="146"/>
      <c r="H105" s="146"/>
      <c r="I105" s="146"/>
      <c r="J105" s="146"/>
      <c r="K105" s="146"/>
      <c r="L105" s="137"/>
      <c r="M105" s="133"/>
      <c r="N105" s="155"/>
      <c r="O105" s="138"/>
      <c r="P105" s="8"/>
      <c r="Q105" s="8"/>
      <c r="R105" s="139"/>
      <c r="S105" s="139"/>
      <c r="T105" s="139"/>
      <c r="U105" s="8"/>
      <c r="V105" s="140"/>
      <c r="W105" s="141"/>
    </row>
    <row r="106" spans="2:23" ht="15.5">
      <c r="B106" s="5"/>
      <c r="C106" s="38"/>
      <c r="D106" s="39"/>
      <c r="E106" s="38"/>
      <c r="F106" s="146"/>
      <c r="G106" s="146"/>
      <c r="H106" s="146"/>
      <c r="I106" s="146"/>
      <c r="J106" s="146"/>
      <c r="K106" s="146"/>
      <c r="L106" s="137"/>
      <c r="M106" s="133"/>
      <c r="N106" s="155"/>
      <c r="O106" s="138"/>
      <c r="P106" s="8"/>
      <c r="Q106" s="8"/>
      <c r="R106" s="139"/>
      <c r="S106" s="139"/>
      <c r="T106" s="139"/>
      <c r="U106" s="8"/>
      <c r="V106" s="140"/>
      <c r="W106" s="141"/>
    </row>
    <row r="107" spans="2:23" ht="15.5">
      <c r="B107" s="5"/>
      <c r="C107" s="38"/>
      <c r="D107" s="39"/>
      <c r="E107" s="38"/>
      <c r="F107" s="146"/>
      <c r="G107" s="146"/>
      <c r="H107" s="146"/>
      <c r="I107" s="146"/>
      <c r="J107" s="146"/>
      <c r="K107" s="146"/>
      <c r="L107" s="137"/>
      <c r="M107" s="133"/>
      <c r="N107" s="155"/>
      <c r="O107" s="138"/>
      <c r="P107" s="8"/>
      <c r="Q107" s="8"/>
      <c r="R107" s="139"/>
      <c r="S107" s="139"/>
      <c r="T107" s="139"/>
      <c r="U107" s="8"/>
      <c r="V107" s="140"/>
      <c r="W107" s="141"/>
    </row>
    <row r="108" spans="2:23" ht="15.5">
      <c r="B108" s="5"/>
      <c r="C108" s="38"/>
      <c r="D108" s="39"/>
      <c r="E108" s="38"/>
      <c r="F108" s="146"/>
      <c r="G108" s="146"/>
      <c r="H108" s="146"/>
      <c r="I108" s="146"/>
      <c r="J108" s="146"/>
      <c r="K108" s="146"/>
      <c r="L108" s="137"/>
      <c r="M108" s="133"/>
      <c r="N108" s="155"/>
      <c r="O108" s="138"/>
      <c r="P108" s="8"/>
      <c r="Q108" s="8"/>
      <c r="R108" s="139"/>
      <c r="S108" s="139"/>
      <c r="T108" s="139"/>
      <c r="U108" s="8"/>
      <c r="V108" s="140"/>
      <c r="W108" s="141"/>
    </row>
    <row r="109" spans="2:23" ht="15.5">
      <c r="B109" s="5"/>
      <c r="C109" s="38"/>
      <c r="D109" s="39"/>
      <c r="E109" s="38"/>
      <c r="F109" s="146"/>
      <c r="G109" s="146"/>
      <c r="H109" s="146"/>
      <c r="I109" s="146"/>
      <c r="J109" s="146"/>
      <c r="K109" s="146"/>
      <c r="L109" s="137"/>
      <c r="M109" s="133"/>
      <c r="N109" s="155"/>
      <c r="O109" s="138"/>
      <c r="P109" s="8"/>
      <c r="Q109" s="8"/>
      <c r="R109" s="139"/>
      <c r="S109" s="139"/>
      <c r="T109" s="139"/>
      <c r="U109" s="8"/>
      <c r="V109" s="140"/>
      <c r="W109" s="141"/>
    </row>
    <row r="110" spans="2:23" ht="15.5">
      <c r="B110" s="5"/>
      <c r="C110" s="38"/>
      <c r="D110" s="39"/>
      <c r="E110" s="38"/>
      <c r="F110" s="146"/>
      <c r="G110" s="146"/>
      <c r="H110" s="146"/>
      <c r="I110" s="146"/>
      <c r="J110" s="146"/>
      <c r="K110" s="146"/>
      <c r="L110" s="137"/>
      <c r="M110" s="133"/>
      <c r="N110" s="155"/>
      <c r="O110" s="138"/>
      <c r="P110" s="8"/>
      <c r="Q110" s="8"/>
      <c r="R110" s="139"/>
      <c r="S110" s="139"/>
      <c r="T110" s="139"/>
      <c r="U110" s="8"/>
      <c r="V110" s="140"/>
      <c r="W110" s="141"/>
    </row>
    <row r="111" spans="2:23" ht="15.5">
      <c r="B111" s="5"/>
      <c r="C111" s="38"/>
      <c r="D111" s="39"/>
      <c r="E111" s="38"/>
      <c r="F111" s="146"/>
      <c r="G111" s="146"/>
      <c r="H111" s="146"/>
      <c r="I111" s="146"/>
      <c r="J111" s="146"/>
      <c r="K111" s="146"/>
      <c r="L111" s="137"/>
      <c r="M111" s="133"/>
      <c r="N111" s="155"/>
      <c r="O111" s="138"/>
      <c r="P111" s="8"/>
      <c r="Q111" s="8"/>
      <c r="R111" s="139"/>
      <c r="S111" s="139"/>
      <c r="T111" s="139"/>
      <c r="U111" s="8"/>
      <c r="V111" s="140"/>
      <c r="W111" s="141"/>
    </row>
    <row r="112" spans="2:23" ht="15.5">
      <c r="B112" s="5"/>
      <c r="C112" s="38"/>
      <c r="D112" s="39"/>
      <c r="E112" s="38"/>
      <c r="F112" s="146"/>
      <c r="G112" s="146"/>
      <c r="H112" s="146"/>
      <c r="I112" s="146"/>
      <c r="J112" s="146"/>
      <c r="K112" s="146"/>
      <c r="L112" s="137"/>
      <c r="M112" s="133"/>
      <c r="N112" s="155"/>
      <c r="O112" s="138"/>
      <c r="P112" s="8"/>
      <c r="Q112" s="8"/>
      <c r="R112" s="139"/>
      <c r="S112" s="139"/>
      <c r="T112" s="139"/>
      <c r="U112" s="8"/>
      <c r="V112" s="140"/>
      <c r="W112" s="141"/>
    </row>
    <row r="113" spans="2:23" ht="15.5">
      <c r="B113" s="5"/>
      <c r="C113" s="38"/>
      <c r="D113" s="39"/>
      <c r="E113" s="38"/>
      <c r="F113" s="146"/>
      <c r="G113" s="146"/>
      <c r="H113" s="146"/>
      <c r="I113" s="146"/>
      <c r="J113" s="146"/>
      <c r="K113" s="146"/>
      <c r="L113" s="137"/>
      <c r="M113" s="133"/>
      <c r="N113" s="155"/>
      <c r="O113" s="138"/>
      <c r="P113" s="8"/>
      <c r="Q113" s="8"/>
      <c r="R113" s="139"/>
      <c r="S113" s="139"/>
      <c r="T113" s="139"/>
      <c r="U113" s="8"/>
      <c r="V113" s="140"/>
      <c r="W113" s="141"/>
    </row>
    <row r="114" spans="2:23" ht="15.5">
      <c r="B114" s="5"/>
      <c r="C114" s="38"/>
      <c r="D114" s="39"/>
      <c r="E114" s="38"/>
      <c r="F114" s="146"/>
      <c r="G114" s="146"/>
      <c r="H114" s="146"/>
      <c r="I114" s="146"/>
      <c r="J114" s="146"/>
      <c r="K114" s="146"/>
      <c r="L114" s="137"/>
      <c r="M114" s="133"/>
      <c r="N114" s="155"/>
      <c r="O114" s="138"/>
      <c r="P114" s="8"/>
      <c r="Q114" s="8"/>
      <c r="R114" s="139"/>
      <c r="S114" s="139"/>
      <c r="T114" s="139"/>
      <c r="U114" s="8"/>
      <c r="V114" s="140"/>
      <c r="W114" s="141"/>
    </row>
    <row r="115" spans="2:23" ht="15.5">
      <c r="B115" s="5"/>
      <c r="C115" s="38"/>
      <c r="D115" s="39"/>
      <c r="E115" s="38"/>
      <c r="F115" s="146"/>
      <c r="G115" s="146"/>
      <c r="H115" s="146"/>
      <c r="I115" s="146"/>
      <c r="J115" s="146"/>
      <c r="K115" s="146"/>
      <c r="L115" s="137"/>
      <c r="M115" s="133"/>
      <c r="N115" s="155"/>
      <c r="O115" s="138"/>
      <c r="P115" s="8"/>
      <c r="Q115" s="8"/>
      <c r="R115" s="139"/>
      <c r="S115" s="139"/>
      <c r="T115" s="139"/>
      <c r="U115" s="8"/>
      <c r="V115" s="140"/>
      <c r="W115" s="141"/>
    </row>
    <row r="116" spans="2:23" ht="15.5">
      <c r="B116" s="5"/>
      <c r="C116" s="38"/>
      <c r="D116" s="39"/>
      <c r="E116" s="38"/>
      <c r="F116" s="146"/>
      <c r="G116" s="146"/>
      <c r="H116" s="146"/>
      <c r="I116" s="146"/>
      <c r="J116" s="146"/>
      <c r="K116" s="146"/>
      <c r="L116" s="137"/>
      <c r="M116" s="133"/>
      <c r="N116" s="155"/>
      <c r="O116" s="138"/>
      <c r="P116" s="8"/>
      <c r="Q116" s="8"/>
      <c r="R116" s="139"/>
      <c r="S116" s="139"/>
      <c r="T116" s="139"/>
      <c r="U116" s="8"/>
      <c r="V116" s="140"/>
      <c r="W116" s="141"/>
    </row>
    <row r="117" spans="2:23" ht="15.5">
      <c r="B117" s="5"/>
      <c r="C117" s="38"/>
      <c r="D117" s="39"/>
      <c r="E117" s="38"/>
      <c r="F117" s="146"/>
      <c r="G117" s="146"/>
      <c r="H117" s="146"/>
      <c r="I117" s="146"/>
      <c r="J117" s="146"/>
      <c r="K117" s="146"/>
      <c r="L117" s="137"/>
      <c r="M117" s="133"/>
      <c r="N117" s="155"/>
      <c r="O117" s="138"/>
      <c r="P117" s="8"/>
      <c r="Q117" s="8"/>
      <c r="R117" s="139"/>
      <c r="S117" s="139"/>
      <c r="T117" s="139"/>
      <c r="U117" s="8"/>
      <c r="V117" s="140"/>
      <c r="W117" s="141"/>
    </row>
    <row r="118" spans="2:23" ht="15.5">
      <c r="B118" s="5"/>
      <c r="C118" s="38"/>
      <c r="D118" s="39"/>
      <c r="E118" s="38"/>
      <c r="F118" s="146"/>
      <c r="G118" s="146"/>
      <c r="H118" s="146"/>
      <c r="I118" s="146"/>
      <c r="J118" s="146"/>
      <c r="K118" s="146"/>
      <c r="L118" s="137"/>
      <c r="M118" s="133"/>
      <c r="N118" s="155"/>
      <c r="O118" s="138"/>
      <c r="P118" s="8"/>
      <c r="Q118" s="8"/>
      <c r="R118" s="139"/>
      <c r="S118" s="139"/>
      <c r="T118" s="139"/>
      <c r="U118" s="8"/>
      <c r="V118" s="140"/>
      <c r="W118" s="141"/>
    </row>
    <row r="119" spans="2:23" ht="15.5">
      <c r="B119" s="5"/>
      <c r="C119" s="38"/>
      <c r="D119" s="39"/>
      <c r="E119" s="38"/>
      <c r="F119" s="146"/>
      <c r="G119" s="146"/>
      <c r="H119" s="146"/>
      <c r="I119" s="146"/>
      <c r="J119" s="146"/>
      <c r="K119" s="146"/>
      <c r="L119" s="137"/>
      <c r="M119" s="133"/>
      <c r="N119" s="155"/>
      <c r="O119" s="138"/>
      <c r="P119" s="8"/>
      <c r="Q119" s="8"/>
      <c r="R119" s="139"/>
      <c r="S119" s="139"/>
      <c r="T119" s="139"/>
      <c r="U119" s="8"/>
      <c r="V119" s="140"/>
      <c r="W119" s="141"/>
    </row>
    <row r="120" spans="2:23" ht="15.5">
      <c r="B120" s="5"/>
      <c r="C120" s="38"/>
      <c r="D120" s="39"/>
      <c r="E120" s="38"/>
      <c r="F120" s="146"/>
      <c r="G120" s="146"/>
      <c r="H120" s="146"/>
      <c r="I120" s="146"/>
      <c r="J120" s="146"/>
      <c r="K120" s="146"/>
      <c r="L120" s="137"/>
      <c r="M120" s="133"/>
      <c r="N120" s="155"/>
      <c r="O120" s="138"/>
      <c r="P120" s="8"/>
      <c r="Q120" s="8"/>
      <c r="R120" s="139"/>
      <c r="S120" s="139"/>
      <c r="T120" s="139"/>
      <c r="U120" s="8"/>
      <c r="V120" s="140"/>
      <c r="W120" s="141"/>
    </row>
    <row r="121" spans="2:23" ht="15.5">
      <c r="B121" s="5"/>
      <c r="C121" s="38"/>
      <c r="D121" s="39"/>
      <c r="E121" s="38"/>
      <c r="F121" s="146"/>
      <c r="G121" s="146"/>
      <c r="H121" s="146"/>
      <c r="I121" s="146"/>
      <c r="J121" s="146"/>
      <c r="K121" s="146"/>
      <c r="L121" s="137"/>
      <c r="M121" s="133"/>
      <c r="N121" s="155"/>
      <c r="O121" s="138"/>
      <c r="P121" s="8"/>
      <c r="Q121" s="8"/>
      <c r="R121" s="139"/>
      <c r="S121" s="139"/>
      <c r="T121" s="139"/>
      <c r="U121" s="8"/>
      <c r="V121" s="140"/>
      <c r="W121" s="141"/>
    </row>
    <row r="122" spans="2:23" ht="15.5">
      <c r="B122" s="5"/>
      <c r="C122" s="38"/>
      <c r="D122" s="39"/>
      <c r="E122" s="38"/>
      <c r="F122" s="146"/>
      <c r="G122" s="146"/>
      <c r="H122" s="146"/>
      <c r="I122" s="146"/>
      <c r="J122" s="146"/>
      <c r="K122" s="146"/>
      <c r="L122" s="137"/>
      <c r="M122" s="133"/>
      <c r="N122" s="155"/>
      <c r="O122" s="138"/>
      <c r="P122" s="8"/>
      <c r="Q122" s="8"/>
      <c r="R122" s="139"/>
      <c r="S122" s="139"/>
      <c r="T122" s="139"/>
      <c r="U122" s="8"/>
      <c r="V122" s="140"/>
      <c r="W122" s="141"/>
    </row>
    <row r="123" spans="2:23" ht="15.5">
      <c r="B123" s="5"/>
      <c r="C123" s="38"/>
      <c r="D123" s="39"/>
      <c r="E123" s="38"/>
      <c r="F123" s="146"/>
      <c r="G123" s="146"/>
      <c r="H123" s="146"/>
      <c r="I123" s="146"/>
      <c r="J123" s="146"/>
      <c r="K123" s="146"/>
      <c r="L123" s="137"/>
      <c r="M123" s="133"/>
      <c r="N123" s="155"/>
      <c r="O123" s="138"/>
      <c r="P123" s="8"/>
      <c r="Q123" s="8"/>
      <c r="R123" s="139"/>
      <c r="S123" s="139"/>
      <c r="T123" s="139"/>
      <c r="U123" s="8"/>
      <c r="V123" s="140"/>
      <c r="W123" s="141"/>
    </row>
    <row r="124" spans="2:23" ht="15.5">
      <c r="B124" s="5"/>
      <c r="C124" s="38"/>
      <c r="D124" s="39"/>
      <c r="E124" s="38"/>
      <c r="F124" s="146"/>
      <c r="G124" s="146"/>
      <c r="H124" s="146"/>
      <c r="I124" s="146"/>
      <c r="J124" s="146"/>
      <c r="K124" s="146"/>
      <c r="L124" s="137"/>
      <c r="M124" s="133"/>
      <c r="N124" s="155"/>
      <c r="O124" s="138"/>
      <c r="P124" s="8"/>
      <c r="Q124" s="8"/>
      <c r="R124" s="139"/>
      <c r="S124" s="139"/>
      <c r="T124" s="139"/>
      <c r="U124" s="8"/>
      <c r="V124" s="140"/>
      <c r="W124" s="141"/>
    </row>
    <row r="125" spans="2:23" ht="15.5">
      <c r="B125" s="5"/>
      <c r="C125" s="38"/>
      <c r="D125" s="39"/>
      <c r="E125" s="38"/>
      <c r="F125" s="146"/>
      <c r="G125" s="146"/>
      <c r="H125" s="146"/>
      <c r="I125" s="146"/>
      <c r="J125" s="146"/>
      <c r="K125" s="146"/>
      <c r="L125" s="137"/>
      <c r="M125" s="133"/>
      <c r="N125" s="155"/>
      <c r="O125" s="138"/>
      <c r="P125" s="8"/>
      <c r="Q125" s="8"/>
      <c r="R125" s="139"/>
      <c r="S125" s="139"/>
      <c r="T125" s="139"/>
      <c r="U125" s="8"/>
      <c r="V125" s="140"/>
      <c r="W125" s="141"/>
    </row>
    <row r="126" spans="2:23" ht="15.5">
      <c r="B126" s="5"/>
      <c r="C126" s="38"/>
      <c r="D126" s="39"/>
      <c r="E126" s="38"/>
      <c r="F126" s="146"/>
      <c r="G126" s="146"/>
      <c r="H126" s="146"/>
      <c r="I126" s="146"/>
      <c r="J126" s="146"/>
      <c r="K126" s="146"/>
      <c r="L126" s="137"/>
      <c r="M126" s="133"/>
      <c r="N126" s="155"/>
      <c r="O126" s="138"/>
      <c r="P126" s="8"/>
      <c r="Q126" s="8"/>
      <c r="R126" s="139"/>
      <c r="S126" s="139"/>
      <c r="T126" s="139"/>
      <c r="U126" s="8"/>
      <c r="V126" s="140"/>
      <c r="W126" s="141"/>
    </row>
    <row r="127" spans="2:23" ht="15.5">
      <c r="B127" s="5"/>
      <c r="C127" s="38"/>
      <c r="D127" s="39"/>
      <c r="E127" s="38"/>
      <c r="F127" s="146"/>
      <c r="G127" s="146"/>
      <c r="H127" s="146"/>
      <c r="I127" s="146"/>
      <c r="J127" s="146"/>
      <c r="K127" s="146"/>
      <c r="L127" s="137"/>
      <c r="M127" s="133"/>
      <c r="N127" s="155"/>
      <c r="O127" s="138"/>
      <c r="P127" s="8"/>
      <c r="Q127" s="8"/>
      <c r="R127" s="139"/>
      <c r="S127" s="139"/>
      <c r="T127" s="139"/>
      <c r="U127" s="8"/>
      <c r="V127" s="140"/>
      <c r="W127" s="141"/>
    </row>
    <row r="128" spans="2:23" ht="15.5">
      <c r="B128" s="5"/>
      <c r="C128" s="38"/>
      <c r="D128" s="39"/>
      <c r="E128" s="38"/>
      <c r="F128" s="146"/>
      <c r="G128" s="146"/>
      <c r="H128" s="146"/>
      <c r="I128" s="146"/>
      <c r="J128" s="146"/>
      <c r="K128" s="146"/>
      <c r="L128" s="137"/>
      <c r="M128" s="133"/>
      <c r="N128" s="155"/>
      <c r="O128" s="138"/>
      <c r="P128" s="8"/>
      <c r="Q128" s="8"/>
      <c r="R128" s="139"/>
      <c r="S128" s="139"/>
      <c r="T128" s="139"/>
      <c r="U128" s="8"/>
      <c r="V128" s="140"/>
      <c r="W128" s="141"/>
    </row>
    <row r="129" spans="2:23" ht="15.5">
      <c r="B129" s="5"/>
      <c r="C129" s="38"/>
      <c r="D129" s="39"/>
      <c r="E129" s="38"/>
      <c r="F129" s="146"/>
      <c r="G129" s="146"/>
      <c r="H129" s="146"/>
      <c r="I129" s="146"/>
      <c r="J129" s="146"/>
      <c r="K129" s="146"/>
      <c r="L129" s="137"/>
      <c r="M129" s="133"/>
      <c r="N129" s="155"/>
      <c r="O129" s="138"/>
      <c r="P129" s="8"/>
      <c r="Q129" s="8"/>
      <c r="R129" s="139"/>
      <c r="S129" s="139"/>
      <c r="T129" s="139"/>
      <c r="U129" s="8"/>
      <c r="V129" s="140"/>
      <c r="W129" s="141"/>
    </row>
    <row r="130" spans="2:23" ht="15.5">
      <c r="B130" s="5"/>
      <c r="C130" s="38"/>
      <c r="D130" s="39"/>
      <c r="E130" s="38"/>
      <c r="F130" s="146"/>
      <c r="G130" s="146"/>
      <c r="H130" s="146"/>
      <c r="I130" s="146"/>
      <c r="J130" s="146"/>
      <c r="K130" s="146"/>
      <c r="L130" s="137"/>
      <c r="M130" s="133"/>
      <c r="N130" s="155"/>
      <c r="O130" s="138"/>
      <c r="P130" s="8"/>
      <c r="Q130" s="8"/>
      <c r="R130" s="139"/>
      <c r="S130" s="139"/>
      <c r="T130" s="139"/>
      <c r="U130" s="8"/>
      <c r="V130" s="140"/>
      <c r="W130" s="141"/>
    </row>
    <row r="131" spans="2:23" ht="15.5">
      <c r="B131" s="5"/>
      <c r="C131" s="38"/>
      <c r="D131" s="39"/>
      <c r="E131" s="38"/>
      <c r="F131" s="146"/>
      <c r="G131" s="146"/>
      <c r="H131" s="146"/>
      <c r="I131" s="146"/>
      <c r="J131" s="146"/>
      <c r="K131" s="146"/>
      <c r="L131" s="137"/>
      <c r="M131" s="133"/>
      <c r="N131" s="155"/>
      <c r="O131" s="138"/>
      <c r="P131" s="8"/>
      <c r="Q131" s="8"/>
      <c r="R131" s="139"/>
      <c r="S131" s="139"/>
      <c r="T131" s="139"/>
      <c r="U131" s="8"/>
      <c r="V131" s="140"/>
      <c r="W131" s="141"/>
    </row>
    <row r="132" spans="2:23" ht="15.5">
      <c r="B132" s="5"/>
      <c r="C132" s="38"/>
      <c r="D132" s="39"/>
      <c r="E132" s="38"/>
      <c r="F132" s="146"/>
      <c r="G132" s="146"/>
      <c r="H132" s="146"/>
      <c r="I132" s="146"/>
      <c r="J132" s="146"/>
      <c r="K132" s="146"/>
      <c r="L132" s="137"/>
      <c r="M132" s="133"/>
      <c r="N132" s="155"/>
      <c r="O132" s="138"/>
      <c r="P132" s="8"/>
      <c r="Q132" s="8"/>
      <c r="R132" s="139"/>
      <c r="S132" s="139"/>
      <c r="T132" s="139"/>
      <c r="U132" s="8"/>
      <c r="V132" s="140"/>
      <c r="W132" s="141"/>
    </row>
    <row r="133" spans="2:23" ht="15.5">
      <c r="B133" s="5"/>
      <c r="C133" s="38"/>
      <c r="D133" s="39"/>
      <c r="E133" s="38"/>
      <c r="F133" s="146"/>
      <c r="G133" s="146"/>
      <c r="H133" s="146"/>
      <c r="I133" s="146"/>
      <c r="J133" s="146"/>
      <c r="K133" s="146"/>
      <c r="L133" s="137"/>
      <c r="M133" s="133"/>
      <c r="N133" s="155"/>
      <c r="O133" s="138"/>
      <c r="P133" s="8"/>
      <c r="Q133" s="8"/>
      <c r="R133" s="139"/>
      <c r="S133" s="139"/>
      <c r="T133" s="139"/>
      <c r="U133" s="8"/>
      <c r="V133" s="140"/>
      <c r="W133" s="141"/>
    </row>
    <row r="134" spans="2:23" ht="15.5">
      <c r="B134" s="5"/>
      <c r="C134" s="38"/>
      <c r="D134" s="39"/>
      <c r="E134" s="38"/>
      <c r="F134" s="146"/>
      <c r="G134" s="146"/>
      <c r="H134" s="146"/>
      <c r="I134" s="146"/>
      <c r="J134" s="146"/>
      <c r="K134" s="146"/>
      <c r="L134" s="137"/>
      <c r="M134" s="133"/>
      <c r="N134" s="155"/>
      <c r="O134" s="138"/>
      <c r="P134" s="8"/>
      <c r="Q134" s="8"/>
      <c r="R134" s="139"/>
      <c r="S134" s="139"/>
      <c r="T134" s="139"/>
      <c r="U134" s="8"/>
      <c r="V134" s="140"/>
      <c r="W134" s="141"/>
    </row>
    <row r="135" spans="2:23" ht="15.5">
      <c r="B135" s="5"/>
      <c r="C135" s="38"/>
      <c r="D135" s="39"/>
      <c r="E135" s="38"/>
      <c r="F135" s="146"/>
      <c r="G135" s="146"/>
      <c r="H135" s="146"/>
      <c r="I135" s="146"/>
      <c r="J135" s="146"/>
      <c r="K135" s="146"/>
      <c r="L135" s="137"/>
      <c r="M135" s="133"/>
      <c r="N135" s="155"/>
      <c r="O135" s="138"/>
      <c r="P135" s="8"/>
      <c r="Q135" s="8"/>
      <c r="R135" s="139"/>
      <c r="S135" s="139"/>
      <c r="T135" s="139"/>
      <c r="U135" s="8"/>
      <c r="V135" s="140"/>
      <c r="W135" s="141"/>
    </row>
    <row r="136" spans="2:23" ht="15.5">
      <c r="B136" s="5"/>
      <c r="C136" s="38"/>
      <c r="D136" s="39"/>
      <c r="E136" s="38"/>
      <c r="F136" s="146"/>
      <c r="G136" s="146"/>
      <c r="H136" s="146"/>
      <c r="I136" s="146"/>
      <c r="J136" s="146"/>
      <c r="K136" s="146"/>
      <c r="L136" s="137"/>
      <c r="M136" s="133"/>
      <c r="N136" s="155"/>
      <c r="O136" s="138"/>
      <c r="P136" s="8"/>
      <c r="Q136" s="8"/>
      <c r="R136" s="139"/>
      <c r="S136" s="139"/>
      <c r="T136" s="139"/>
      <c r="U136" s="8"/>
      <c r="V136" s="140"/>
      <c r="W136" s="141"/>
    </row>
    <row r="137" spans="2:23" ht="15.5">
      <c r="B137" s="5"/>
      <c r="C137" s="38"/>
      <c r="D137" s="39"/>
      <c r="E137" s="38"/>
      <c r="F137" s="146"/>
      <c r="G137" s="146"/>
      <c r="H137" s="146"/>
      <c r="I137" s="146"/>
      <c r="J137" s="146"/>
      <c r="K137" s="146"/>
      <c r="L137" s="137"/>
      <c r="M137" s="133"/>
      <c r="N137" s="155"/>
      <c r="O137" s="138"/>
      <c r="P137" s="8"/>
      <c r="Q137" s="8"/>
      <c r="R137" s="139"/>
      <c r="S137" s="139"/>
      <c r="T137" s="139"/>
      <c r="U137" s="8"/>
      <c r="V137" s="140"/>
      <c r="W137" s="141"/>
    </row>
    <row r="138" spans="2:23" ht="15.5">
      <c r="B138" s="5"/>
      <c r="C138" s="38"/>
      <c r="D138" s="39"/>
      <c r="E138" s="38"/>
      <c r="F138" s="146"/>
      <c r="G138" s="146"/>
      <c r="H138" s="146"/>
      <c r="I138" s="146"/>
      <c r="J138" s="146"/>
      <c r="K138" s="146"/>
      <c r="L138" s="137"/>
      <c r="M138" s="133"/>
      <c r="N138" s="155"/>
      <c r="O138" s="138"/>
      <c r="P138" s="8"/>
      <c r="Q138" s="8"/>
      <c r="R138" s="139"/>
      <c r="S138" s="139"/>
      <c r="T138" s="139"/>
      <c r="U138" s="8"/>
      <c r="V138" s="140"/>
      <c r="W138" s="141"/>
    </row>
    <row r="139" spans="2:23" ht="15.5">
      <c r="B139" s="5"/>
      <c r="C139" s="38"/>
      <c r="D139" s="39"/>
      <c r="E139" s="38"/>
      <c r="F139" s="146"/>
      <c r="G139" s="146"/>
      <c r="H139" s="146"/>
      <c r="I139" s="146"/>
      <c r="J139" s="146"/>
      <c r="K139" s="146"/>
      <c r="L139" s="137"/>
      <c r="M139" s="133"/>
      <c r="N139" s="155"/>
      <c r="O139" s="138"/>
      <c r="P139" s="8"/>
      <c r="Q139" s="8"/>
      <c r="R139" s="139"/>
      <c r="S139" s="139"/>
      <c r="T139" s="139"/>
      <c r="U139" s="8"/>
      <c r="V139" s="140"/>
      <c r="W139" s="141"/>
    </row>
    <row r="140" spans="2:23" ht="15.5">
      <c r="B140" s="5"/>
      <c r="C140" s="38"/>
      <c r="D140" s="39"/>
      <c r="E140" s="38"/>
      <c r="F140" s="146"/>
      <c r="G140" s="146"/>
      <c r="H140" s="146"/>
      <c r="I140" s="146"/>
      <c r="J140" s="146"/>
      <c r="K140" s="146"/>
      <c r="L140" s="137"/>
      <c r="M140" s="133"/>
      <c r="N140" s="155"/>
      <c r="O140" s="138"/>
      <c r="P140" s="8"/>
      <c r="Q140" s="8"/>
      <c r="R140" s="139"/>
      <c r="S140" s="139"/>
      <c r="T140" s="139"/>
      <c r="U140" s="8"/>
      <c r="V140" s="140"/>
      <c r="W140" s="141"/>
    </row>
    <row r="141" spans="2:23" ht="15.5">
      <c r="B141" s="5"/>
      <c r="C141" s="38"/>
      <c r="D141" s="39"/>
      <c r="E141" s="38"/>
      <c r="F141" s="146"/>
      <c r="G141" s="146"/>
      <c r="H141" s="146"/>
      <c r="I141" s="146"/>
      <c r="J141" s="146"/>
      <c r="K141" s="146"/>
      <c r="L141" s="137"/>
      <c r="M141" s="133"/>
      <c r="N141" s="155"/>
      <c r="O141" s="138"/>
      <c r="P141" s="8"/>
      <c r="Q141" s="8"/>
      <c r="R141" s="139"/>
      <c r="S141" s="139"/>
      <c r="T141" s="139"/>
      <c r="U141" s="8"/>
      <c r="V141" s="140"/>
      <c r="W141" s="141"/>
    </row>
    <row r="142" spans="2:23" ht="15.5">
      <c r="B142" s="5"/>
      <c r="C142" s="38"/>
      <c r="D142" s="39"/>
      <c r="E142" s="38"/>
      <c r="F142" s="146"/>
      <c r="G142" s="146"/>
      <c r="H142" s="146"/>
      <c r="I142" s="146"/>
      <c r="J142" s="146"/>
      <c r="K142" s="146"/>
      <c r="L142" s="137"/>
      <c r="M142" s="133"/>
      <c r="N142" s="155"/>
      <c r="O142" s="138"/>
      <c r="P142" s="8"/>
      <c r="Q142" s="8"/>
      <c r="R142" s="139"/>
      <c r="S142" s="139"/>
      <c r="T142" s="139"/>
      <c r="U142" s="8"/>
      <c r="V142" s="140"/>
      <c r="W142" s="141"/>
    </row>
    <row r="143" spans="2:23" ht="15.5">
      <c r="B143" s="5"/>
      <c r="C143" s="38"/>
      <c r="D143" s="39"/>
      <c r="E143" s="38"/>
      <c r="F143" s="146"/>
      <c r="G143" s="146"/>
      <c r="H143" s="146"/>
      <c r="I143" s="146"/>
      <c r="J143" s="146"/>
      <c r="K143" s="146"/>
      <c r="L143" s="137"/>
      <c r="M143" s="133"/>
      <c r="N143" s="155"/>
      <c r="O143" s="138"/>
      <c r="P143" s="8"/>
      <c r="Q143" s="8"/>
      <c r="R143" s="139"/>
      <c r="S143" s="139"/>
      <c r="T143" s="139"/>
      <c r="U143" s="8"/>
      <c r="V143" s="140"/>
      <c r="W143" s="141"/>
    </row>
    <row r="144" spans="2:23" ht="15.5">
      <c r="B144" s="5"/>
      <c r="C144" s="38"/>
      <c r="D144" s="39"/>
      <c r="E144" s="38"/>
      <c r="F144" s="146"/>
      <c r="G144" s="146"/>
      <c r="H144" s="146"/>
      <c r="I144" s="146"/>
      <c r="J144" s="146"/>
      <c r="K144" s="146"/>
      <c r="L144" s="137"/>
      <c r="M144" s="133"/>
      <c r="N144" s="155"/>
      <c r="O144" s="138"/>
      <c r="P144" s="8"/>
      <c r="Q144" s="8"/>
      <c r="R144" s="139"/>
      <c r="S144" s="139"/>
      <c r="T144" s="139"/>
      <c r="U144" s="8"/>
      <c r="V144" s="140"/>
      <c r="W144" s="141"/>
    </row>
    <row r="145" spans="2:23" ht="15.5">
      <c r="B145" s="5"/>
      <c r="C145" s="38"/>
      <c r="D145" s="39"/>
      <c r="E145" s="38"/>
      <c r="F145" s="146"/>
      <c r="G145" s="146"/>
      <c r="H145" s="146"/>
      <c r="I145" s="146"/>
      <c r="J145" s="146"/>
      <c r="K145" s="146"/>
      <c r="L145" s="137"/>
      <c r="M145" s="133"/>
      <c r="N145" s="155"/>
      <c r="O145" s="138"/>
      <c r="P145" s="8"/>
      <c r="Q145" s="8"/>
      <c r="R145" s="139"/>
      <c r="S145" s="139"/>
      <c r="T145" s="139"/>
      <c r="U145" s="8"/>
      <c r="V145" s="140"/>
      <c r="W145" s="141"/>
    </row>
    <row r="146" spans="2:23" ht="15.5">
      <c r="B146" s="5"/>
      <c r="C146" s="38"/>
      <c r="D146" s="39"/>
      <c r="E146" s="38"/>
      <c r="F146" s="146"/>
      <c r="G146" s="146"/>
      <c r="H146" s="146"/>
      <c r="I146" s="146"/>
      <c r="J146" s="146"/>
      <c r="K146" s="146"/>
      <c r="L146" s="137"/>
      <c r="M146" s="133"/>
      <c r="N146" s="155"/>
      <c r="O146" s="138"/>
      <c r="P146" s="8"/>
      <c r="Q146" s="8"/>
      <c r="R146" s="139"/>
      <c r="S146" s="139"/>
      <c r="T146" s="139"/>
      <c r="U146" s="8"/>
      <c r="V146" s="140"/>
      <c r="W146" s="141"/>
    </row>
    <row r="147" spans="2:23" ht="15.5">
      <c r="B147" s="5"/>
      <c r="C147" s="38"/>
      <c r="D147" s="39"/>
      <c r="E147" s="38"/>
      <c r="F147" s="146"/>
      <c r="G147" s="146"/>
      <c r="H147" s="146"/>
      <c r="I147" s="146"/>
      <c r="J147" s="146"/>
      <c r="K147" s="146"/>
      <c r="L147" s="137"/>
      <c r="M147" s="133"/>
      <c r="N147" s="155"/>
      <c r="O147" s="138"/>
      <c r="P147" s="8"/>
      <c r="Q147" s="8"/>
      <c r="R147" s="139"/>
      <c r="S147" s="139"/>
      <c r="T147" s="139"/>
      <c r="U147" s="8"/>
      <c r="V147" s="140"/>
      <c r="W147" s="141"/>
    </row>
    <row r="148" spans="2:23" ht="15.5">
      <c r="B148" s="5"/>
      <c r="C148" s="38"/>
      <c r="D148" s="39"/>
      <c r="E148" s="38"/>
      <c r="F148" s="146"/>
      <c r="G148" s="146"/>
      <c r="H148" s="146"/>
      <c r="I148" s="146"/>
      <c r="J148" s="146"/>
      <c r="K148" s="146"/>
      <c r="L148" s="137"/>
      <c r="M148" s="133"/>
      <c r="N148" s="155"/>
      <c r="O148" s="138"/>
      <c r="P148" s="8"/>
      <c r="Q148" s="8"/>
      <c r="R148" s="139"/>
      <c r="S148" s="139"/>
      <c r="T148" s="139"/>
      <c r="U148" s="8"/>
      <c r="V148" s="140"/>
      <c r="W148" s="141"/>
    </row>
    <row r="149" spans="2:23" ht="15.5">
      <c r="B149" s="5"/>
      <c r="C149" s="38"/>
      <c r="D149" s="39"/>
      <c r="E149" s="38"/>
      <c r="F149" s="146"/>
      <c r="G149" s="146"/>
      <c r="H149" s="146"/>
      <c r="I149" s="146"/>
      <c r="J149" s="146"/>
      <c r="K149" s="146"/>
      <c r="L149" s="137"/>
      <c r="M149" s="133"/>
      <c r="N149" s="155"/>
      <c r="O149" s="138"/>
      <c r="P149" s="8"/>
      <c r="Q149" s="8"/>
      <c r="R149" s="139"/>
      <c r="S149" s="139"/>
      <c r="T149" s="139"/>
      <c r="U149" s="8"/>
      <c r="V149" s="140"/>
      <c r="W149" s="141"/>
    </row>
    <row r="150" spans="2:23" ht="15.5">
      <c r="B150" s="5"/>
      <c r="C150" s="38"/>
      <c r="D150" s="39"/>
      <c r="E150" s="38"/>
      <c r="F150" s="146"/>
      <c r="G150" s="146"/>
      <c r="H150" s="146"/>
      <c r="I150" s="146"/>
      <c r="J150" s="146"/>
      <c r="K150" s="146"/>
      <c r="L150" s="137"/>
      <c r="M150" s="133"/>
      <c r="N150" s="155"/>
      <c r="O150" s="138"/>
      <c r="P150" s="8"/>
      <c r="Q150" s="8"/>
      <c r="R150" s="139"/>
      <c r="S150" s="139"/>
      <c r="T150" s="139"/>
      <c r="U150" s="8"/>
      <c r="V150" s="140"/>
      <c r="W150" s="141"/>
    </row>
    <row r="151" spans="2:23" ht="15.5">
      <c r="B151" s="5"/>
      <c r="C151" s="38"/>
      <c r="D151" s="39"/>
      <c r="E151" s="38"/>
      <c r="F151" s="146"/>
      <c r="G151" s="146"/>
      <c r="H151" s="146"/>
      <c r="I151" s="146"/>
      <c r="J151" s="146"/>
      <c r="K151" s="146"/>
      <c r="L151" s="137"/>
      <c r="M151" s="133"/>
      <c r="N151" s="155"/>
      <c r="O151" s="138"/>
      <c r="P151" s="8"/>
      <c r="Q151" s="8"/>
      <c r="R151" s="139"/>
      <c r="S151" s="139"/>
      <c r="T151" s="139"/>
      <c r="U151" s="8"/>
      <c r="V151" s="140"/>
      <c r="W151" s="141"/>
    </row>
    <row r="152" spans="2:23" ht="15.5">
      <c r="B152" s="5"/>
      <c r="C152" s="38"/>
      <c r="D152" s="39"/>
      <c r="E152" s="38"/>
      <c r="F152" s="146"/>
      <c r="G152" s="146"/>
      <c r="H152" s="146"/>
      <c r="I152" s="146"/>
      <c r="J152" s="146"/>
      <c r="K152" s="146"/>
      <c r="L152" s="137"/>
      <c r="M152" s="133"/>
      <c r="N152" s="155"/>
      <c r="O152" s="138"/>
      <c r="P152" s="8"/>
      <c r="Q152" s="8"/>
      <c r="R152" s="139"/>
      <c r="S152" s="139"/>
      <c r="T152" s="139"/>
      <c r="U152" s="8"/>
      <c r="V152" s="140"/>
      <c r="W152" s="141"/>
    </row>
    <row r="153" spans="2:23" ht="15.5">
      <c r="B153" s="5"/>
      <c r="C153" s="38"/>
      <c r="D153" s="39"/>
      <c r="E153" s="38"/>
      <c r="F153" s="146"/>
      <c r="G153" s="146"/>
      <c r="H153" s="146"/>
      <c r="I153" s="146"/>
      <c r="J153" s="146"/>
      <c r="K153" s="146"/>
      <c r="L153" s="137"/>
      <c r="M153" s="133"/>
      <c r="N153" s="155"/>
      <c r="O153" s="138"/>
      <c r="P153" s="8"/>
      <c r="Q153" s="8"/>
      <c r="R153" s="139"/>
      <c r="S153" s="139"/>
      <c r="T153" s="139"/>
      <c r="U153" s="8"/>
      <c r="V153" s="140"/>
      <c r="W153" s="141"/>
    </row>
    <row r="154" spans="2:23" ht="15.5">
      <c r="B154" s="5"/>
      <c r="C154" s="38"/>
      <c r="D154" s="39"/>
      <c r="E154" s="38"/>
      <c r="F154" s="146"/>
      <c r="G154" s="146"/>
      <c r="H154" s="146"/>
      <c r="I154" s="146"/>
      <c r="J154" s="146"/>
      <c r="K154" s="146"/>
      <c r="L154" s="137"/>
      <c r="M154" s="133"/>
      <c r="N154" s="155"/>
      <c r="O154" s="138"/>
      <c r="P154" s="8"/>
      <c r="Q154" s="8"/>
      <c r="R154" s="139"/>
      <c r="S154" s="139"/>
      <c r="T154" s="139"/>
      <c r="U154" s="8"/>
      <c r="V154" s="140"/>
      <c r="W154" s="141"/>
    </row>
    <row r="155" spans="2:23" ht="15.5">
      <c r="B155" s="5"/>
      <c r="C155" s="38"/>
      <c r="D155" s="39"/>
      <c r="E155" s="38"/>
      <c r="F155" s="146"/>
      <c r="G155" s="146"/>
      <c r="H155" s="146"/>
      <c r="I155" s="146"/>
      <c r="J155" s="146"/>
      <c r="K155" s="146"/>
      <c r="L155" s="137"/>
      <c r="M155" s="133"/>
      <c r="N155" s="155"/>
      <c r="O155" s="138"/>
      <c r="P155" s="8"/>
      <c r="Q155" s="8"/>
      <c r="R155" s="139"/>
      <c r="S155" s="139"/>
      <c r="T155" s="139"/>
      <c r="U155" s="8"/>
      <c r="V155" s="140"/>
      <c r="W155" s="141"/>
    </row>
    <row r="156" spans="2:23" ht="15.5">
      <c r="B156" s="5"/>
      <c r="C156" s="38"/>
      <c r="D156" s="39"/>
      <c r="E156" s="38"/>
      <c r="F156" s="146"/>
      <c r="G156" s="146"/>
      <c r="H156" s="146"/>
      <c r="I156" s="146"/>
      <c r="J156" s="146"/>
      <c r="K156" s="146"/>
      <c r="L156" s="137"/>
      <c r="M156" s="133"/>
      <c r="N156" s="155"/>
      <c r="O156" s="138"/>
      <c r="P156" s="8"/>
      <c r="Q156" s="8"/>
      <c r="R156" s="139"/>
      <c r="S156" s="139"/>
      <c r="T156" s="139"/>
      <c r="U156" s="8"/>
      <c r="V156" s="140"/>
      <c r="W156" s="141"/>
    </row>
    <row r="157" spans="2:23" ht="15.5">
      <c r="B157" s="5"/>
      <c r="C157" s="38"/>
      <c r="D157" s="39"/>
      <c r="E157" s="38"/>
      <c r="F157" s="146"/>
      <c r="G157" s="146"/>
      <c r="H157" s="146"/>
      <c r="I157" s="146"/>
      <c r="J157" s="146"/>
      <c r="K157" s="146"/>
      <c r="L157" s="137"/>
      <c r="M157" s="133"/>
      <c r="N157" s="155"/>
      <c r="O157" s="138"/>
      <c r="P157" s="8"/>
      <c r="Q157" s="8"/>
      <c r="R157" s="139"/>
      <c r="S157" s="139"/>
      <c r="T157" s="139"/>
      <c r="U157" s="8"/>
      <c r="V157" s="140"/>
      <c r="W157" s="141"/>
    </row>
    <row r="158" spans="2:23" ht="15.5">
      <c r="B158" s="5"/>
      <c r="C158" s="38"/>
      <c r="D158" s="39"/>
      <c r="E158" s="38"/>
      <c r="F158" s="146"/>
      <c r="G158" s="146"/>
      <c r="H158" s="146"/>
      <c r="I158" s="146"/>
      <c r="J158" s="146"/>
      <c r="K158" s="146"/>
      <c r="L158" s="137"/>
      <c r="M158" s="133"/>
      <c r="N158" s="155"/>
      <c r="O158" s="138"/>
      <c r="P158" s="8"/>
      <c r="Q158" s="8"/>
      <c r="R158" s="139"/>
      <c r="S158" s="139"/>
      <c r="T158" s="139"/>
      <c r="U158" s="8"/>
      <c r="V158" s="140"/>
      <c r="W158" s="141"/>
    </row>
    <row r="159" spans="2:23" ht="15.5">
      <c r="B159" s="5"/>
      <c r="C159" s="38"/>
      <c r="D159" s="39"/>
      <c r="E159" s="38"/>
      <c r="F159" s="146"/>
      <c r="G159" s="146"/>
      <c r="H159" s="146"/>
      <c r="I159" s="146"/>
      <c r="J159" s="146"/>
      <c r="K159" s="146"/>
      <c r="L159" s="137"/>
      <c r="M159" s="133"/>
      <c r="N159" s="155"/>
      <c r="O159" s="138"/>
      <c r="P159" s="8"/>
      <c r="Q159" s="8"/>
      <c r="R159" s="139"/>
      <c r="S159" s="139"/>
      <c r="T159" s="139"/>
      <c r="U159" s="8"/>
      <c r="V159" s="140"/>
      <c r="W159" s="141"/>
    </row>
    <row r="160" spans="2:23" ht="15.5">
      <c r="B160" s="5"/>
      <c r="C160" s="38"/>
      <c r="D160" s="39"/>
      <c r="E160" s="38"/>
      <c r="F160" s="146"/>
      <c r="G160" s="146"/>
      <c r="H160" s="146"/>
      <c r="I160" s="146"/>
      <c r="J160" s="146"/>
      <c r="K160" s="146"/>
      <c r="L160" s="137"/>
      <c r="M160" s="133"/>
      <c r="N160" s="155"/>
      <c r="O160" s="138"/>
      <c r="P160" s="8"/>
      <c r="Q160" s="8"/>
      <c r="R160" s="139"/>
      <c r="S160" s="139"/>
      <c r="T160" s="139"/>
      <c r="U160" s="8"/>
      <c r="V160" s="140"/>
      <c r="W160" s="141"/>
    </row>
    <row r="161" spans="2:23" ht="15.5">
      <c r="B161" s="5"/>
      <c r="C161" s="38"/>
      <c r="D161" s="39"/>
      <c r="E161" s="38"/>
      <c r="F161" s="146"/>
      <c r="G161" s="146"/>
      <c r="H161" s="146"/>
      <c r="I161" s="146"/>
      <c r="J161" s="146"/>
      <c r="K161" s="146"/>
      <c r="L161" s="137"/>
      <c r="M161" s="133"/>
      <c r="N161" s="155"/>
      <c r="O161" s="138"/>
      <c r="P161" s="8"/>
      <c r="Q161" s="8"/>
      <c r="R161" s="139"/>
      <c r="S161" s="139"/>
      <c r="T161" s="139"/>
      <c r="U161" s="8"/>
      <c r="V161" s="140"/>
      <c r="W161" s="141"/>
    </row>
    <row r="162" spans="2:23" ht="15.5">
      <c r="B162" s="5"/>
      <c r="C162" s="38"/>
      <c r="D162" s="39"/>
      <c r="E162" s="38"/>
      <c r="F162" s="146"/>
      <c r="G162" s="146"/>
      <c r="H162" s="146"/>
      <c r="I162" s="146"/>
      <c r="J162" s="146"/>
      <c r="K162" s="146"/>
      <c r="L162" s="137"/>
      <c r="M162" s="133"/>
      <c r="N162" s="155"/>
      <c r="O162" s="138"/>
      <c r="P162" s="8"/>
      <c r="Q162" s="8"/>
      <c r="R162" s="139"/>
      <c r="S162" s="139"/>
      <c r="T162" s="139"/>
      <c r="U162" s="8"/>
      <c r="V162" s="140"/>
      <c r="W162" s="141"/>
    </row>
    <row r="163" spans="2:23" ht="15.5">
      <c r="B163" s="5"/>
      <c r="C163" s="38"/>
      <c r="D163" s="39"/>
      <c r="E163" s="38"/>
      <c r="F163" s="146"/>
      <c r="G163" s="146"/>
      <c r="H163" s="146"/>
      <c r="I163" s="146"/>
      <c r="J163" s="146"/>
      <c r="K163" s="146"/>
      <c r="L163" s="137"/>
      <c r="M163" s="133"/>
      <c r="N163" s="155"/>
      <c r="O163" s="138"/>
      <c r="P163" s="8"/>
      <c r="Q163" s="8"/>
      <c r="R163" s="139"/>
      <c r="S163" s="139"/>
      <c r="T163" s="139"/>
      <c r="U163" s="8"/>
      <c r="V163" s="140"/>
      <c r="W163" s="141"/>
    </row>
    <row r="164" spans="2:23" ht="15.5">
      <c r="B164" s="5"/>
      <c r="C164" s="38"/>
      <c r="D164" s="39"/>
      <c r="E164" s="38"/>
      <c r="F164" s="146"/>
      <c r="G164" s="146"/>
      <c r="H164" s="146"/>
      <c r="I164" s="146"/>
      <c r="J164" s="146"/>
      <c r="K164" s="146"/>
      <c r="L164" s="137"/>
      <c r="M164" s="133"/>
      <c r="N164" s="155"/>
      <c r="O164" s="138"/>
      <c r="P164" s="8"/>
      <c r="Q164" s="8"/>
      <c r="R164" s="139"/>
      <c r="S164" s="139"/>
      <c r="T164" s="139"/>
      <c r="U164" s="8"/>
      <c r="V164" s="140"/>
      <c r="W164" s="141"/>
    </row>
    <row r="165" spans="2:23" ht="15.5">
      <c r="B165" s="5"/>
      <c r="C165" s="38"/>
      <c r="D165" s="39"/>
      <c r="E165" s="38"/>
      <c r="F165" s="146"/>
      <c r="G165" s="146"/>
      <c r="H165" s="146"/>
      <c r="I165" s="146"/>
      <c r="J165" s="146"/>
      <c r="K165" s="146"/>
      <c r="L165" s="137"/>
      <c r="M165" s="133"/>
      <c r="N165" s="155"/>
      <c r="O165" s="138"/>
      <c r="P165" s="8"/>
      <c r="Q165" s="8"/>
      <c r="R165" s="139"/>
      <c r="S165" s="139"/>
      <c r="T165" s="139"/>
      <c r="U165" s="8"/>
      <c r="V165" s="140"/>
      <c r="W165" s="141"/>
    </row>
    <row r="166" spans="2:23" ht="15.5">
      <c r="B166" s="5"/>
      <c r="C166" s="38"/>
      <c r="D166" s="39"/>
      <c r="E166" s="38"/>
      <c r="F166" s="146"/>
      <c r="G166" s="146"/>
      <c r="H166" s="146"/>
      <c r="I166" s="146"/>
      <c r="J166" s="146"/>
      <c r="K166" s="146"/>
      <c r="L166" s="137"/>
      <c r="M166" s="133"/>
      <c r="N166" s="155"/>
      <c r="O166" s="138"/>
      <c r="P166" s="8"/>
      <c r="Q166" s="8"/>
      <c r="R166" s="139"/>
      <c r="S166" s="139"/>
      <c r="T166" s="139"/>
      <c r="U166" s="8"/>
      <c r="V166" s="140"/>
      <c r="W166" s="141"/>
    </row>
    <row r="167" spans="2:23" ht="15.5">
      <c r="B167" s="5"/>
      <c r="C167" s="38"/>
      <c r="D167" s="39"/>
      <c r="E167" s="38"/>
      <c r="F167" s="146"/>
      <c r="G167" s="146"/>
      <c r="H167" s="146"/>
      <c r="I167" s="146"/>
      <c r="J167" s="146"/>
      <c r="K167" s="146"/>
      <c r="L167" s="137"/>
      <c r="M167" s="133"/>
      <c r="N167" s="155"/>
      <c r="O167" s="138"/>
      <c r="P167" s="8"/>
      <c r="Q167" s="8"/>
      <c r="R167" s="139"/>
      <c r="S167" s="139"/>
      <c r="T167" s="139"/>
      <c r="U167" s="8"/>
      <c r="V167" s="140"/>
      <c r="W167" s="141"/>
    </row>
    <row r="168" spans="2:23" ht="15.5">
      <c r="B168" s="5"/>
      <c r="C168" s="38"/>
      <c r="D168" s="39"/>
      <c r="E168" s="38"/>
      <c r="F168" s="146"/>
      <c r="G168" s="146"/>
      <c r="H168" s="146"/>
      <c r="I168" s="146"/>
      <c r="J168" s="146"/>
      <c r="K168" s="146"/>
      <c r="L168" s="137"/>
      <c r="M168" s="133"/>
      <c r="N168" s="155"/>
      <c r="O168" s="138"/>
      <c r="P168" s="8"/>
      <c r="Q168" s="8"/>
      <c r="R168" s="139"/>
      <c r="S168" s="139"/>
      <c r="T168" s="139"/>
      <c r="U168" s="8"/>
      <c r="V168" s="140"/>
      <c r="W168" s="141"/>
    </row>
    <row r="169" spans="2:23" ht="15.5">
      <c r="B169" s="5"/>
      <c r="C169" s="38"/>
      <c r="D169" s="39"/>
      <c r="E169" s="38"/>
      <c r="F169" s="146"/>
      <c r="G169" s="146"/>
      <c r="H169" s="146"/>
      <c r="I169" s="146"/>
      <c r="J169" s="146"/>
      <c r="K169" s="146"/>
      <c r="L169" s="137"/>
      <c r="M169" s="133"/>
      <c r="N169" s="155"/>
      <c r="O169" s="138"/>
      <c r="P169" s="8"/>
      <c r="Q169" s="8"/>
      <c r="R169" s="139"/>
      <c r="S169" s="139"/>
      <c r="T169" s="139"/>
      <c r="U169" s="8"/>
      <c r="V169" s="140"/>
      <c r="W169" s="141"/>
    </row>
    <row r="170" spans="2:23" ht="15.5">
      <c r="B170" s="5"/>
      <c r="C170" s="46"/>
      <c r="D170" s="39"/>
      <c r="E170" s="38"/>
      <c r="F170" s="146"/>
      <c r="G170" s="146"/>
      <c r="H170" s="146"/>
      <c r="I170" s="146"/>
      <c r="J170" s="146"/>
      <c r="K170" s="146"/>
      <c r="L170" s="137"/>
      <c r="M170" s="133"/>
      <c r="N170" s="155"/>
      <c r="O170" s="138"/>
      <c r="P170" s="8"/>
      <c r="Q170" s="8"/>
      <c r="R170" s="139"/>
      <c r="S170" s="139"/>
      <c r="T170" s="139"/>
      <c r="U170" s="8"/>
      <c r="V170" s="140"/>
      <c r="W170" s="141"/>
    </row>
    <row r="171" spans="2:23" ht="15.5">
      <c r="B171" s="5"/>
      <c r="C171" s="38"/>
      <c r="D171" s="39"/>
      <c r="E171" s="38"/>
      <c r="F171" s="146"/>
      <c r="G171" s="146"/>
      <c r="H171" s="146"/>
      <c r="I171" s="146"/>
      <c r="J171" s="146"/>
      <c r="K171" s="146"/>
      <c r="L171" s="137"/>
      <c r="M171" s="133"/>
      <c r="N171" s="155"/>
      <c r="O171" s="138"/>
      <c r="P171" s="8"/>
      <c r="Q171" s="8"/>
      <c r="R171" s="139"/>
      <c r="S171" s="139"/>
      <c r="T171" s="139"/>
      <c r="U171" s="8"/>
      <c r="V171" s="140"/>
      <c r="W171" s="141"/>
    </row>
    <row r="172" spans="2:23" ht="15.5">
      <c r="B172" s="5"/>
      <c r="C172" s="38"/>
      <c r="D172" s="39"/>
      <c r="E172" s="38"/>
      <c r="F172" s="146"/>
      <c r="G172" s="146"/>
      <c r="H172" s="146"/>
      <c r="I172" s="146"/>
      <c r="J172" s="146"/>
      <c r="K172" s="146"/>
      <c r="L172" s="137"/>
      <c r="M172" s="133"/>
      <c r="N172" s="155"/>
      <c r="O172" s="138"/>
      <c r="P172" s="8"/>
      <c r="Q172" s="8"/>
      <c r="R172" s="139"/>
      <c r="S172" s="139"/>
      <c r="T172" s="139"/>
      <c r="U172" s="8"/>
      <c r="V172" s="140"/>
      <c r="W172" s="141"/>
    </row>
    <row r="173" spans="2:23" ht="15.5">
      <c r="B173" s="5"/>
      <c r="C173" s="38"/>
      <c r="D173" s="39"/>
      <c r="E173" s="38"/>
      <c r="F173" s="146"/>
      <c r="G173" s="146"/>
      <c r="H173" s="146"/>
      <c r="I173" s="146"/>
      <c r="J173" s="146"/>
      <c r="K173" s="146"/>
      <c r="L173" s="137"/>
      <c r="M173" s="133"/>
      <c r="N173" s="155"/>
      <c r="O173" s="138"/>
      <c r="P173" s="8"/>
      <c r="Q173" s="8"/>
      <c r="R173" s="139"/>
      <c r="S173" s="139"/>
      <c r="T173" s="139"/>
      <c r="U173" s="8"/>
      <c r="V173" s="140"/>
      <c r="W173" s="141"/>
    </row>
    <row r="174" spans="2:23" ht="15.5">
      <c r="B174" s="5"/>
      <c r="C174" s="38"/>
      <c r="D174" s="39"/>
      <c r="E174" s="38"/>
      <c r="F174" s="146"/>
      <c r="G174" s="146"/>
      <c r="H174" s="146"/>
      <c r="I174" s="146"/>
      <c r="J174" s="146"/>
      <c r="K174" s="146"/>
      <c r="L174" s="137"/>
      <c r="M174" s="133"/>
      <c r="N174" s="155"/>
      <c r="O174" s="138"/>
      <c r="P174" s="8"/>
      <c r="Q174" s="8"/>
      <c r="R174" s="139"/>
      <c r="S174" s="139"/>
      <c r="T174" s="139"/>
      <c r="U174" s="8"/>
      <c r="V174" s="140"/>
      <c r="W174" s="141"/>
    </row>
    <row r="175" spans="2:23" ht="15.5">
      <c r="B175" s="5"/>
      <c r="C175" s="38"/>
      <c r="D175" s="39"/>
      <c r="E175" s="38"/>
      <c r="F175" s="146"/>
      <c r="G175" s="146"/>
      <c r="H175" s="146"/>
      <c r="I175" s="146"/>
      <c r="J175" s="146"/>
      <c r="K175" s="146"/>
      <c r="L175" s="137"/>
      <c r="M175" s="133"/>
      <c r="N175" s="155"/>
      <c r="O175" s="138"/>
      <c r="P175" s="8"/>
      <c r="Q175" s="8"/>
      <c r="R175" s="139"/>
      <c r="S175" s="139"/>
      <c r="T175" s="139"/>
      <c r="U175" s="8"/>
      <c r="V175" s="140"/>
      <c r="W175" s="141"/>
    </row>
    <row r="176" spans="2:23" ht="15.5">
      <c r="B176" s="5"/>
      <c r="C176" s="38"/>
      <c r="D176" s="39"/>
      <c r="E176" s="38"/>
      <c r="F176" s="146"/>
      <c r="G176" s="146"/>
      <c r="H176" s="146"/>
      <c r="I176" s="146"/>
      <c r="J176" s="146"/>
      <c r="K176" s="146"/>
      <c r="L176" s="137"/>
      <c r="M176" s="133"/>
      <c r="N176" s="155"/>
      <c r="O176" s="138"/>
      <c r="P176" s="8"/>
      <c r="Q176" s="8"/>
      <c r="R176" s="139"/>
      <c r="S176" s="139"/>
      <c r="T176" s="139"/>
      <c r="U176" s="8"/>
      <c r="V176" s="140"/>
      <c r="W176" s="141"/>
    </row>
    <row r="177" spans="2:23" ht="15.5">
      <c r="B177" s="5"/>
      <c r="C177" s="38"/>
      <c r="D177" s="39"/>
      <c r="E177" s="38"/>
      <c r="F177" s="146"/>
      <c r="G177" s="146"/>
      <c r="H177" s="146"/>
      <c r="I177" s="146"/>
      <c r="J177" s="146"/>
      <c r="K177" s="146"/>
      <c r="L177" s="137"/>
      <c r="M177" s="133"/>
      <c r="N177" s="155"/>
      <c r="O177" s="138"/>
      <c r="P177" s="8"/>
      <c r="Q177" s="8"/>
      <c r="R177" s="139"/>
      <c r="S177" s="139"/>
      <c r="T177" s="139"/>
      <c r="U177" s="8"/>
      <c r="V177" s="140"/>
      <c r="W177" s="141"/>
    </row>
    <row r="178" spans="2:23" ht="15.5">
      <c r="B178" s="5"/>
      <c r="C178" s="38"/>
      <c r="D178" s="39"/>
      <c r="E178" s="38"/>
      <c r="F178" s="146"/>
      <c r="G178" s="146"/>
      <c r="H178" s="146"/>
      <c r="I178" s="146"/>
      <c r="J178" s="146"/>
      <c r="K178" s="146"/>
      <c r="L178" s="137"/>
      <c r="M178" s="133"/>
      <c r="N178" s="155"/>
      <c r="O178" s="138"/>
      <c r="P178" s="8"/>
      <c r="Q178" s="8"/>
      <c r="R178" s="139"/>
      <c r="S178" s="139"/>
      <c r="T178" s="139"/>
      <c r="U178" s="8"/>
      <c r="V178" s="140"/>
      <c r="W178" s="141"/>
    </row>
    <row r="179" spans="2:23" ht="15.5">
      <c r="B179" s="5"/>
      <c r="C179" s="38"/>
      <c r="D179" s="39"/>
      <c r="E179" s="38"/>
      <c r="F179" s="146"/>
      <c r="G179" s="146"/>
      <c r="H179" s="146"/>
      <c r="I179" s="146"/>
      <c r="J179" s="146"/>
      <c r="K179" s="146"/>
      <c r="L179" s="137"/>
      <c r="M179" s="133"/>
      <c r="N179" s="155"/>
      <c r="O179" s="138"/>
      <c r="P179" s="8"/>
      <c r="Q179" s="8"/>
      <c r="R179" s="139"/>
      <c r="S179" s="139"/>
      <c r="T179" s="139"/>
      <c r="U179" s="8"/>
      <c r="V179" s="140"/>
      <c r="W179" s="141"/>
    </row>
    <row r="180" spans="2:23" ht="15.5">
      <c r="B180" s="5"/>
      <c r="C180" s="38"/>
      <c r="D180" s="39"/>
      <c r="E180" s="38"/>
      <c r="F180" s="146"/>
      <c r="G180" s="146"/>
      <c r="H180" s="146"/>
      <c r="I180" s="146"/>
      <c r="J180" s="146"/>
      <c r="K180" s="146"/>
      <c r="L180" s="137"/>
      <c r="M180" s="133"/>
      <c r="N180" s="155"/>
      <c r="O180" s="138"/>
      <c r="P180" s="8"/>
      <c r="Q180" s="8"/>
      <c r="R180" s="139"/>
      <c r="S180" s="139"/>
      <c r="T180" s="139"/>
      <c r="U180" s="8"/>
      <c r="V180" s="140"/>
      <c r="W180" s="141"/>
    </row>
    <row r="181" spans="2:23" ht="15.5">
      <c r="B181" s="5"/>
      <c r="C181" s="38"/>
      <c r="D181" s="39"/>
      <c r="E181" s="38"/>
      <c r="F181" s="146"/>
      <c r="G181" s="146"/>
      <c r="H181" s="146"/>
      <c r="I181" s="146"/>
      <c r="J181" s="146"/>
      <c r="K181" s="146"/>
      <c r="L181" s="137"/>
      <c r="M181" s="133"/>
      <c r="N181" s="155"/>
      <c r="O181" s="138"/>
      <c r="P181" s="8"/>
      <c r="Q181" s="8"/>
      <c r="R181" s="139"/>
      <c r="S181" s="139"/>
      <c r="T181" s="139"/>
      <c r="U181" s="8"/>
      <c r="V181" s="140"/>
      <c r="W181" s="141"/>
    </row>
    <row r="182" spans="2:23" ht="15.5">
      <c r="B182" s="5"/>
      <c r="C182" s="38"/>
      <c r="D182" s="39"/>
      <c r="E182" s="38"/>
      <c r="F182" s="146"/>
      <c r="G182" s="146"/>
      <c r="H182" s="146"/>
      <c r="I182" s="146"/>
      <c r="J182" s="146"/>
      <c r="K182" s="146"/>
      <c r="L182" s="137"/>
      <c r="M182" s="133"/>
      <c r="N182" s="155"/>
      <c r="O182" s="138"/>
      <c r="P182" s="8"/>
      <c r="Q182" s="8"/>
      <c r="R182" s="139"/>
      <c r="S182" s="139"/>
      <c r="T182" s="139"/>
      <c r="U182" s="8"/>
      <c r="V182" s="140"/>
      <c r="W182" s="141"/>
    </row>
    <row r="183" spans="2:23" ht="15.5">
      <c r="B183" s="5"/>
      <c r="C183" s="38"/>
      <c r="D183" s="39"/>
      <c r="E183" s="38"/>
      <c r="F183" s="146"/>
      <c r="G183" s="146"/>
      <c r="H183" s="146"/>
      <c r="I183" s="146"/>
      <c r="J183" s="146"/>
      <c r="K183" s="146"/>
      <c r="L183" s="137"/>
      <c r="M183" s="133"/>
      <c r="N183" s="155"/>
      <c r="O183" s="138"/>
      <c r="P183" s="8"/>
      <c r="Q183" s="8"/>
      <c r="R183" s="139"/>
      <c r="S183" s="139"/>
      <c r="T183" s="139"/>
      <c r="U183" s="8"/>
      <c r="V183" s="140"/>
      <c r="W183" s="141"/>
    </row>
    <row r="184" spans="2:23" ht="15.5">
      <c r="B184" s="5"/>
      <c r="C184" s="38"/>
      <c r="D184" s="39"/>
      <c r="E184" s="38"/>
      <c r="F184" s="146"/>
      <c r="G184" s="146"/>
      <c r="H184" s="146"/>
      <c r="I184" s="146"/>
      <c r="J184" s="146"/>
      <c r="K184" s="146"/>
      <c r="L184" s="137"/>
      <c r="M184" s="133"/>
      <c r="N184" s="155"/>
      <c r="O184" s="138"/>
      <c r="P184" s="8"/>
      <c r="Q184" s="8"/>
      <c r="R184" s="139"/>
      <c r="S184" s="139"/>
      <c r="T184" s="139"/>
      <c r="U184" s="8"/>
      <c r="V184" s="140"/>
      <c r="W184" s="141"/>
    </row>
    <row r="185" spans="2:23" ht="15.5">
      <c r="B185" s="5"/>
      <c r="C185" s="38"/>
      <c r="D185" s="39"/>
      <c r="E185" s="38"/>
      <c r="F185" s="146"/>
      <c r="G185" s="146"/>
      <c r="H185" s="146"/>
      <c r="I185" s="146"/>
      <c r="J185" s="146"/>
      <c r="K185" s="146"/>
      <c r="L185" s="137"/>
      <c r="M185" s="133"/>
      <c r="N185" s="155"/>
      <c r="O185" s="138"/>
      <c r="P185" s="8"/>
      <c r="Q185" s="8"/>
      <c r="R185" s="139"/>
      <c r="S185" s="139"/>
      <c r="T185" s="139"/>
      <c r="U185" s="8"/>
      <c r="V185" s="140"/>
      <c r="W185" s="141"/>
    </row>
    <row r="186" spans="2:23" ht="15.5">
      <c r="B186" s="5"/>
      <c r="C186" s="38"/>
      <c r="D186" s="39"/>
      <c r="E186" s="38"/>
      <c r="F186" s="146"/>
      <c r="G186" s="146"/>
      <c r="H186" s="146"/>
      <c r="I186" s="146"/>
      <c r="J186" s="146"/>
      <c r="K186" s="146"/>
      <c r="L186" s="137"/>
      <c r="M186" s="133"/>
      <c r="N186" s="155"/>
      <c r="O186" s="138"/>
      <c r="P186" s="8"/>
      <c r="Q186" s="8"/>
      <c r="R186" s="139"/>
      <c r="S186" s="139"/>
      <c r="T186" s="139"/>
      <c r="U186" s="8"/>
      <c r="V186" s="140"/>
      <c r="W186" s="141"/>
    </row>
    <row r="187" spans="2:23" ht="15.5">
      <c r="B187" s="5"/>
      <c r="C187" s="38"/>
      <c r="D187" s="39"/>
      <c r="E187" s="38"/>
      <c r="F187" s="146"/>
      <c r="G187" s="146"/>
      <c r="H187" s="146"/>
      <c r="I187" s="146"/>
      <c r="J187" s="146"/>
      <c r="K187" s="146"/>
      <c r="L187" s="137"/>
      <c r="M187" s="133"/>
      <c r="N187" s="155"/>
      <c r="O187" s="138"/>
      <c r="P187" s="8"/>
      <c r="Q187" s="8"/>
      <c r="R187" s="139"/>
      <c r="S187" s="139"/>
      <c r="T187" s="139"/>
      <c r="U187" s="8"/>
      <c r="V187" s="140"/>
      <c r="W187" s="141"/>
    </row>
    <row r="188" spans="2:23" ht="15.5">
      <c r="B188" s="5"/>
      <c r="C188" s="38"/>
      <c r="D188" s="39"/>
      <c r="E188" s="38"/>
      <c r="F188" s="146"/>
      <c r="G188" s="146"/>
      <c r="H188" s="146"/>
      <c r="I188" s="146"/>
      <c r="J188" s="146"/>
      <c r="K188" s="146"/>
      <c r="L188" s="137"/>
      <c r="M188" s="133"/>
      <c r="N188" s="155"/>
      <c r="O188" s="138"/>
      <c r="P188" s="8"/>
      <c r="Q188" s="8"/>
      <c r="R188" s="139"/>
      <c r="S188" s="139"/>
      <c r="T188" s="139"/>
      <c r="U188" s="8"/>
      <c r="V188" s="140"/>
      <c r="W188" s="141"/>
    </row>
    <row r="189" spans="2:23" ht="15.5">
      <c r="B189" s="5"/>
      <c r="C189" s="38"/>
      <c r="D189" s="39"/>
      <c r="E189" s="38"/>
      <c r="F189" s="146"/>
      <c r="G189" s="146"/>
      <c r="H189" s="146"/>
      <c r="I189" s="146"/>
      <c r="J189" s="146"/>
      <c r="K189" s="146"/>
      <c r="L189" s="137"/>
      <c r="M189" s="133"/>
      <c r="N189" s="155"/>
      <c r="O189" s="138"/>
      <c r="P189" s="8"/>
      <c r="Q189" s="8"/>
      <c r="R189" s="139"/>
      <c r="S189" s="139"/>
      <c r="T189" s="139"/>
      <c r="U189" s="8"/>
      <c r="V189" s="140"/>
      <c r="W189" s="141"/>
    </row>
    <row r="190" spans="2:23" ht="15.5">
      <c r="B190" s="5"/>
      <c r="C190" s="38"/>
      <c r="D190" s="39"/>
      <c r="E190" s="38"/>
      <c r="F190" s="146"/>
      <c r="G190" s="146"/>
      <c r="H190" s="146"/>
      <c r="I190" s="146"/>
      <c r="J190" s="146"/>
      <c r="K190" s="146"/>
      <c r="L190" s="137"/>
      <c r="M190" s="133"/>
      <c r="N190" s="155"/>
      <c r="O190" s="138"/>
      <c r="P190" s="8"/>
      <c r="Q190" s="8"/>
      <c r="R190" s="139"/>
      <c r="S190" s="139"/>
      <c r="T190" s="139"/>
      <c r="U190" s="8"/>
      <c r="V190" s="140"/>
      <c r="W190" s="141"/>
    </row>
    <row r="191" spans="2:23" ht="15.5">
      <c r="B191" s="5"/>
      <c r="C191" s="38"/>
      <c r="D191" s="39"/>
      <c r="E191" s="38"/>
      <c r="F191" s="146"/>
      <c r="G191" s="146"/>
      <c r="H191" s="146"/>
      <c r="I191" s="146"/>
      <c r="J191" s="146"/>
      <c r="K191" s="146"/>
      <c r="L191" s="137"/>
      <c r="M191" s="133"/>
      <c r="N191" s="155"/>
      <c r="O191" s="138"/>
      <c r="P191" s="8"/>
      <c r="Q191" s="8"/>
      <c r="R191" s="139"/>
      <c r="S191" s="139"/>
      <c r="T191" s="139"/>
      <c r="U191" s="8"/>
      <c r="V191" s="140"/>
      <c r="W191" s="141"/>
    </row>
    <row r="192" spans="2:23" ht="15.5">
      <c r="B192" s="5"/>
      <c r="C192" s="38"/>
      <c r="D192" s="39"/>
      <c r="E192" s="38"/>
      <c r="F192" s="146"/>
      <c r="G192" s="146"/>
      <c r="H192" s="146"/>
      <c r="I192" s="146"/>
      <c r="J192" s="146"/>
      <c r="K192" s="146"/>
      <c r="L192" s="137"/>
      <c r="M192" s="133"/>
      <c r="N192" s="155"/>
      <c r="O192" s="138"/>
      <c r="P192" s="8"/>
      <c r="Q192" s="8"/>
      <c r="R192" s="139"/>
      <c r="S192" s="139"/>
      <c r="T192" s="139"/>
      <c r="U192" s="8"/>
      <c r="V192" s="140"/>
      <c r="W192" s="141"/>
    </row>
    <row r="193" spans="2:23" ht="15.5">
      <c r="B193" s="5"/>
      <c r="C193" s="38"/>
      <c r="D193" s="39"/>
      <c r="E193" s="38"/>
      <c r="F193" s="146"/>
      <c r="G193" s="146"/>
      <c r="H193" s="146"/>
      <c r="I193" s="146"/>
      <c r="J193" s="146"/>
      <c r="K193" s="146"/>
      <c r="L193" s="137"/>
      <c r="M193" s="133"/>
      <c r="N193" s="155"/>
      <c r="O193" s="138"/>
      <c r="P193" s="8"/>
      <c r="Q193" s="8"/>
      <c r="R193" s="139"/>
      <c r="S193" s="139"/>
      <c r="T193" s="139"/>
      <c r="U193" s="8"/>
      <c r="V193" s="140"/>
      <c r="W193" s="141"/>
    </row>
    <row r="194" spans="2:23" ht="15.5">
      <c r="B194" s="141"/>
      <c r="C194" s="38"/>
      <c r="D194" s="39"/>
      <c r="E194" s="38"/>
      <c r="F194" s="146"/>
      <c r="G194" s="146"/>
      <c r="H194" s="146"/>
      <c r="I194" s="146"/>
      <c r="J194" s="146"/>
      <c r="K194" s="146"/>
      <c r="L194" s="137"/>
      <c r="M194" s="133"/>
      <c r="N194" s="155"/>
      <c r="O194" s="138"/>
      <c r="P194" s="8"/>
      <c r="Q194" s="8"/>
      <c r="R194" s="139"/>
      <c r="S194" s="139"/>
      <c r="T194" s="139"/>
      <c r="U194" s="8"/>
      <c r="V194" s="140"/>
      <c r="W194" s="141"/>
    </row>
    <row r="195" spans="2:23" ht="15.5">
      <c r="B195" s="141"/>
      <c r="C195" s="38"/>
      <c r="D195" s="39"/>
      <c r="E195" s="38"/>
      <c r="F195" s="146"/>
      <c r="G195" s="146"/>
      <c r="H195" s="146"/>
      <c r="I195" s="146"/>
      <c r="J195" s="146"/>
      <c r="K195" s="146"/>
      <c r="L195" s="137"/>
      <c r="M195" s="133"/>
      <c r="N195" s="155"/>
      <c r="O195" s="138"/>
      <c r="P195" s="8"/>
      <c r="Q195" s="8"/>
      <c r="R195" s="139"/>
      <c r="S195" s="139"/>
      <c r="T195" s="139"/>
      <c r="U195" s="8"/>
      <c r="V195" s="140"/>
      <c r="W195" s="141"/>
    </row>
    <row r="196" spans="2:23" ht="15.5">
      <c r="B196" s="141"/>
      <c r="C196" s="38"/>
      <c r="D196" s="39"/>
      <c r="E196" s="38"/>
      <c r="F196" s="146"/>
      <c r="G196" s="146"/>
      <c r="H196" s="146"/>
      <c r="I196" s="146"/>
      <c r="J196" s="146"/>
      <c r="K196" s="146"/>
      <c r="L196" s="137"/>
      <c r="M196" s="133"/>
      <c r="N196" s="155"/>
      <c r="O196" s="138"/>
      <c r="P196" s="8"/>
      <c r="Q196" s="8"/>
      <c r="R196" s="139"/>
      <c r="S196" s="139"/>
      <c r="T196" s="139"/>
      <c r="U196" s="8"/>
      <c r="V196" s="140"/>
      <c r="W196" s="141"/>
    </row>
    <row r="197" spans="2:23" ht="15.5">
      <c r="B197" s="141"/>
      <c r="C197" s="38"/>
      <c r="D197" s="39"/>
      <c r="E197" s="38"/>
      <c r="F197" s="146"/>
      <c r="G197" s="146"/>
      <c r="H197" s="146"/>
      <c r="I197" s="146"/>
      <c r="J197" s="146"/>
      <c r="K197" s="146"/>
      <c r="L197" s="137"/>
      <c r="M197" s="133"/>
      <c r="N197" s="155"/>
      <c r="O197" s="138"/>
      <c r="P197" s="8"/>
      <c r="Q197" s="8"/>
      <c r="R197" s="139"/>
      <c r="S197" s="139"/>
      <c r="T197" s="139"/>
      <c r="U197" s="8"/>
      <c r="V197" s="140"/>
      <c r="W197" s="141"/>
    </row>
    <row r="198" spans="2:23" ht="15.5">
      <c r="B198" s="141"/>
      <c r="C198" s="38"/>
      <c r="D198" s="39"/>
      <c r="E198" s="38"/>
      <c r="F198" s="146"/>
      <c r="G198" s="146"/>
      <c r="H198" s="146"/>
      <c r="I198" s="146"/>
      <c r="J198" s="146"/>
      <c r="K198" s="146"/>
      <c r="L198" s="137"/>
      <c r="M198" s="133"/>
      <c r="N198" s="155"/>
      <c r="O198" s="138"/>
      <c r="P198" s="8"/>
      <c r="Q198" s="8"/>
      <c r="R198" s="139"/>
      <c r="S198" s="139"/>
      <c r="T198" s="139"/>
      <c r="U198" s="8"/>
      <c r="V198" s="140"/>
      <c r="W198" s="141"/>
    </row>
    <row r="199" spans="2:23" ht="15.5">
      <c r="B199" s="141"/>
      <c r="C199" s="38"/>
      <c r="D199" s="39"/>
      <c r="E199" s="38"/>
      <c r="F199" s="146"/>
      <c r="G199" s="146"/>
      <c r="H199" s="146"/>
      <c r="I199" s="146"/>
      <c r="J199" s="146"/>
      <c r="K199" s="146"/>
      <c r="L199" s="137"/>
      <c r="M199" s="133"/>
      <c r="N199" s="155"/>
      <c r="O199" s="138"/>
      <c r="P199" s="8"/>
      <c r="Q199" s="8"/>
      <c r="R199" s="139"/>
      <c r="S199" s="139"/>
      <c r="T199" s="139"/>
      <c r="U199" s="8"/>
      <c r="V199" s="140"/>
      <c r="W199" s="141"/>
    </row>
    <row r="200" spans="2:23" ht="15.5">
      <c r="B200" s="141"/>
      <c r="C200" s="38"/>
      <c r="D200" s="39"/>
      <c r="E200" s="38"/>
      <c r="F200" s="146"/>
      <c r="G200" s="146"/>
      <c r="H200" s="146"/>
      <c r="I200" s="146"/>
      <c r="J200" s="146"/>
      <c r="K200" s="146"/>
      <c r="L200" s="137"/>
      <c r="M200" s="133"/>
      <c r="N200" s="155"/>
      <c r="O200" s="138"/>
      <c r="P200" s="8"/>
      <c r="Q200" s="8"/>
      <c r="R200" s="139"/>
      <c r="S200" s="139"/>
      <c r="T200" s="139"/>
      <c r="U200" s="8"/>
      <c r="V200" s="140"/>
      <c r="W200" s="141"/>
    </row>
    <row r="201" spans="2:23" ht="15.5">
      <c r="B201" s="141"/>
      <c r="C201" s="141"/>
      <c r="D201" s="156"/>
      <c r="E201" s="38"/>
      <c r="F201" s="146"/>
      <c r="G201" s="146"/>
      <c r="H201" s="146"/>
      <c r="I201" s="146"/>
      <c r="J201" s="146"/>
      <c r="K201" s="146"/>
      <c r="L201" s="137"/>
      <c r="M201" s="133"/>
      <c r="N201" s="155"/>
      <c r="O201" s="138"/>
      <c r="P201" s="8"/>
      <c r="Q201" s="8"/>
      <c r="R201" s="139"/>
      <c r="S201" s="139"/>
      <c r="T201" s="139"/>
      <c r="U201" s="8"/>
      <c r="V201" s="140"/>
      <c r="W201" s="141"/>
    </row>
    <row r="202" spans="2:23" ht="15.5">
      <c r="B202" s="141"/>
      <c r="C202" s="141"/>
      <c r="D202" s="156"/>
      <c r="E202" s="38"/>
      <c r="F202" s="146"/>
      <c r="G202" s="146"/>
      <c r="H202" s="146"/>
      <c r="I202" s="146"/>
      <c r="J202" s="146"/>
      <c r="K202" s="146"/>
      <c r="L202" s="137"/>
      <c r="M202" s="133"/>
      <c r="N202" s="155"/>
      <c r="O202" s="138"/>
      <c r="P202" s="8"/>
      <c r="Q202" s="8"/>
      <c r="R202" s="139"/>
      <c r="S202" s="139"/>
      <c r="T202" s="139"/>
      <c r="U202" s="8"/>
      <c r="V202" s="140"/>
      <c r="W202" s="141"/>
    </row>
    <row r="203" spans="2:23" ht="15.5">
      <c r="B203" s="141"/>
      <c r="C203" s="141"/>
      <c r="D203" s="156"/>
      <c r="E203" s="38"/>
      <c r="F203" s="146"/>
      <c r="G203" s="146"/>
      <c r="H203" s="146"/>
      <c r="I203" s="146"/>
      <c r="J203" s="146"/>
      <c r="K203" s="146"/>
      <c r="L203" s="137"/>
      <c r="M203" s="133"/>
      <c r="N203" s="155"/>
      <c r="O203" s="138"/>
      <c r="P203" s="8"/>
      <c r="Q203" s="8"/>
      <c r="R203" s="139"/>
      <c r="S203" s="139"/>
      <c r="T203" s="139"/>
      <c r="U203" s="8"/>
      <c r="V203" s="140"/>
      <c r="W203" s="141"/>
    </row>
    <row r="204" spans="2:23" ht="15.5">
      <c r="B204" s="141"/>
      <c r="C204" s="141"/>
      <c r="D204" s="156"/>
      <c r="E204" s="38"/>
      <c r="F204" s="146"/>
      <c r="G204" s="146"/>
      <c r="H204" s="146"/>
      <c r="I204" s="146"/>
      <c r="J204" s="146"/>
      <c r="K204" s="146"/>
      <c r="L204" s="137"/>
      <c r="M204" s="133"/>
      <c r="N204" s="155"/>
      <c r="O204" s="138"/>
      <c r="P204" s="8"/>
      <c r="Q204" s="8"/>
      <c r="R204" s="139"/>
      <c r="S204" s="139"/>
      <c r="T204" s="139"/>
      <c r="U204" s="8"/>
      <c r="V204" s="140"/>
      <c r="W204" s="141"/>
    </row>
    <row r="205" spans="2:23" ht="15.5">
      <c r="B205" s="141"/>
      <c r="C205" s="141"/>
      <c r="D205" s="156"/>
      <c r="E205" s="38"/>
      <c r="F205" s="146"/>
      <c r="G205" s="146"/>
      <c r="H205" s="146"/>
      <c r="I205" s="146"/>
      <c r="J205" s="146"/>
      <c r="K205" s="146"/>
      <c r="L205" s="137"/>
      <c r="M205" s="133"/>
      <c r="N205" s="155"/>
      <c r="O205" s="138"/>
      <c r="P205" s="8"/>
      <c r="Q205" s="8"/>
      <c r="R205" s="139"/>
      <c r="S205" s="139"/>
      <c r="T205" s="139"/>
      <c r="U205" s="8"/>
      <c r="V205" s="140"/>
      <c r="W205" s="141"/>
    </row>
    <row r="206" spans="2:23" ht="15.5">
      <c r="B206" s="141"/>
      <c r="C206" s="141"/>
      <c r="D206" s="156"/>
      <c r="E206" s="38"/>
      <c r="F206" s="146"/>
      <c r="G206" s="146"/>
      <c r="H206" s="146"/>
      <c r="I206" s="146"/>
      <c r="J206" s="146"/>
      <c r="K206" s="146"/>
      <c r="L206" s="137"/>
      <c r="M206" s="133"/>
      <c r="N206" s="155"/>
      <c r="O206" s="138"/>
      <c r="P206" s="8"/>
      <c r="Q206" s="8"/>
      <c r="R206" s="139"/>
      <c r="S206" s="139"/>
      <c r="T206" s="139"/>
      <c r="U206" s="8"/>
      <c r="V206" s="140"/>
      <c r="W206" s="141"/>
    </row>
    <row r="207" spans="2:23" ht="15.5">
      <c r="B207" s="141"/>
      <c r="C207" s="141"/>
      <c r="D207" s="156"/>
      <c r="E207" s="38"/>
      <c r="F207" s="146"/>
      <c r="G207" s="146"/>
      <c r="H207" s="146"/>
      <c r="I207" s="146"/>
      <c r="J207" s="146"/>
      <c r="K207" s="146"/>
      <c r="L207" s="137"/>
      <c r="M207" s="133"/>
      <c r="N207" s="155"/>
      <c r="O207" s="138"/>
      <c r="P207" s="8"/>
      <c r="Q207" s="8"/>
      <c r="R207" s="139"/>
      <c r="S207" s="139"/>
      <c r="T207" s="139"/>
      <c r="U207" s="8"/>
      <c r="V207" s="140"/>
      <c r="W207" s="141"/>
    </row>
    <row r="208" spans="2:23" ht="15.5">
      <c r="B208" s="141"/>
      <c r="C208" s="141"/>
      <c r="D208" s="156"/>
      <c r="E208" s="38"/>
      <c r="F208" s="146"/>
      <c r="G208" s="146"/>
      <c r="H208" s="146"/>
      <c r="I208" s="146"/>
      <c r="J208" s="146"/>
      <c r="K208" s="146"/>
      <c r="L208" s="137"/>
      <c r="M208" s="133"/>
      <c r="N208" s="155"/>
      <c r="O208" s="138"/>
      <c r="P208" s="8"/>
      <c r="Q208" s="8"/>
      <c r="R208" s="139"/>
      <c r="S208" s="139"/>
      <c r="T208" s="139"/>
      <c r="U208" s="8"/>
      <c r="V208" s="140"/>
      <c r="W208" s="141"/>
    </row>
    <row r="209" spans="2:23" ht="15.5">
      <c r="B209" s="141"/>
      <c r="C209" s="141"/>
      <c r="D209" s="156"/>
      <c r="E209" s="38"/>
      <c r="F209" s="146"/>
      <c r="G209" s="146"/>
      <c r="H209" s="146"/>
      <c r="I209" s="146"/>
      <c r="J209" s="146"/>
      <c r="K209" s="146"/>
      <c r="L209" s="137"/>
      <c r="M209" s="133"/>
      <c r="N209" s="155"/>
      <c r="O209" s="138"/>
      <c r="P209" s="8"/>
      <c r="Q209" s="8"/>
      <c r="R209" s="139"/>
      <c r="S209" s="139"/>
      <c r="T209" s="139"/>
      <c r="U209" s="8"/>
      <c r="V209" s="140"/>
      <c r="W209" s="141"/>
    </row>
    <row r="210" spans="2:23" ht="15.5">
      <c r="B210" s="141"/>
      <c r="C210" s="141"/>
      <c r="D210" s="156"/>
      <c r="E210" s="38"/>
      <c r="F210" s="146"/>
      <c r="G210" s="146"/>
      <c r="H210" s="146"/>
      <c r="I210" s="146"/>
      <c r="J210" s="146"/>
      <c r="K210" s="146"/>
      <c r="L210" s="137"/>
      <c r="M210" s="133"/>
      <c r="N210" s="155"/>
      <c r="O210" s="138"/>
      <c r="P210" s="8"/>
      <c r="Q210" s="8"/>
      <c r="R210" s="139"/>
      <c r="S210" s="139"/>
      <c r="T210" s="139"/>
      <c r="U210" s="8"/>
      <c r="V210" s="140"/>
      <c r="W210" s="141"/>
    </row>
    <row r="211" spans="2:23" ht="15.5">
      <c r="B211" s="141"/>
      <c r="C211" s="141"/>
      <c r="D211" s="156"/>
      <c r="E211" s="38"/>
      <c r="F211" s="146"/>
      <c r="G211" s="146"/>
      <c r="H211" s="146"/>
      <c r="I211" s="146"/>
      <c r="J211" s="146"/>
      <c r="K211" s="146"/>
      <c r="L211" s="137"/>
      <c r="M211" s="133"/>
      <c r="N211" s="155"/>
      <c r="O211" s="138"/>
      <c r="P211" s="8"/>
      <c r="Q211" s="8"/>
      <c r="R211" s="139"/>
      <c r="S211" s="139"/>
      <c r="T211" s="139"/>
      <c r="U211" s="8"/>
      <c r="V211" s="140"/>
      <c r="W211" s="141"/>
    </row>
    <row r="212" spans="2:23" ht="15.5">
      <c r="B212" s="141"/>
      <c r="C212" s="141"/>
      <c r="D212" s="156"/>
      <c r="E212" s="38"/>
      <c r="F212" s="146"/>
      <c r="G212" s="146"/>
      <c r="H212" s="146"/>
      <c r="I212" s="146"/>
      <c r="J212" s="146"/>
      <c r="K212" s="146"/>
      <c r="L212" s="137"/>
      <c r="M212" s="133"/>
      <c r="N212" s="155"/>
      <c r="O212" s="138"/>
      <c r="P212" s="8"/>
      <c r="Q212" s="8"/>
      <c r="R212" s="139"/>
      <c r="S212" s="139"/>
      <c r="T212" s="139"/>
      <c r="U212" s="8"/>
      <c r="V212" s="140"/>
      <c r="W212" s="141"/>
    </row>
    <row r="213" spans="2:23" ht="15.5">
      <c r="B213" s="141"/>
      <c r="C213" s="141"/>
      <c r="D213" s="156"/>
      <c r="E213" s="38"/>
      <c r="F213" s="146"/>
      <c r="G213" s="146"/>
      <c r="H213" s="146"/>
      <c r="I213" s="146"/>
      <c r="J213" s="146"/>
      <c r="K213" s="146"/>
      <c r="L213" s="137"/>
      <c r="M213" s="133"/>
      <c r="N213" s="155"/>
      <c r="O213" s="138"/>
      <c r="P213" s="8"/>
      <c r="Q213" s="8"/>
      <c r="R213" s="139"/>
      <c r="S213" s="139"/>
      <c r="T213" s="139"/>
      <c r="U213" s="8"/>
      <c r="V213" s="140"/>
      <c r="W213" s="141"/>
    </row>
    <row r="214" spans="2:23" ht="15.5">
      <c r="B214" s="141"/>
      <c r="C214" s="141"/>
      <c r="D214" s="156"/>
      <c r="E214" s="38"/>
      <c r="F214" s="146"/>
      <c r="G214" s="146"/>
      <c r="H214" s="146"/>
      <c r="I214" s="146"/>
      <c r="J214" s="146"/>
      <c r="K214" s="146"/>
      <c r="L214" s="137"/>
      <c r="M214" s="133"/>
      <c r="N214" s="155"/>
      <c r="O214" s="138"/>
      <c r="P214" s="8"/>
      <c r="Q214" s="8"/>
      <c r="R214" s="139"/>
      <c r="S214" s="139"/>
      <c r="T214" s="139"/>
      <c r="U214" s="8"/>
      <c r="V214" s="140"/>
      <c r="W214" s="141"/>
    </row>
    <row r="215" spans="2:23" ht="15.5">
      <c r="B215" s="141"/>
      <c r="C215" s="141"/>
      <c r="D215" s="156"/>
      <c r="E215" s="38"/>
      <c r="F215" s="146"/>
      <c r="G215" s="146"/>
      <c r="H215" s="146"/>
      <c r="I215" s="146"/>
      <c r="J215" s="146"/>
      <c r="K215" s="146"/>
      <c r="L215" s="137"/>
      <c r="M215" s="133"/>
      <c r="N215" s="155"/>
      <c r="O215" s="138"/>
      <c r="P215" s="8"/>
      <c r="Q215" s="8"/>
      <c r="R215" s="139"/>
      <c r="S215" s="139"/>
      <c r="T215" s="139"/>
      <c r="U215" s="8"/>
      <c r="V215" s="140"/>
      <c r="W215" s="141"/>
    </row>
    <row r="216" spans="2:23" ht="15.5">
      <c r="B216" s="141"/>
      <c r="C216" s="141"/>
      <c r="D216" s="156"/>
      <c r="E216" s="38"/>
      <c r="F216" s="146"/>
      <c r="G216" s="146"/>
      <c r="H216" s="146"/>
      <c r="I216" s="146"/>
      <c r="J216" s="146"/>
      <c r="K216" s="146"/>
      <c r="L216" s="137"/>
      <c r="M216" s="133"/>
      <c r="N216" s="155"/>
      <c r="O216" s="138"/>
      <c r="P216" s="8"/>
      <c r="Q216" s="8"/>
      <c r="R216" s="139"/>
      <c r="S216" s="139"/>
      <c r="T216" s="139"/>
      <c r="U216" s="8"/>
      <c r="V216" s="140"/>
      <c r="W216" s="141"/>
    </row>
    <row r="217" spans="2:23" ht="15.5">
      <c r="B217" s="141"/>
      <c r="C217" s="141"/>
      <c r="D217" s="156"/>
      <c r="E217" s="38"/>
      <c r="F217" s="146"/>
      <c r="G217" s="146"/>
      <c r="H217" s="146"/>
      <c r="I217" s="146"/>
      <c r="J217" s="146"/>
      <c r="K217" s="146"/>
      <c r="L217" s="137"/>
      <c r="M217" s="133"/>
      <c r="N217" s="155"/>
      <c r="O217" s="138"/>
      <c r="P217" s="8"/>
      <c r="Q217" s="8"/>
      <c r="R217" s="139"/>
      <c r="S217" s="139"/>
      <c r="T217" s="139"/>
      <c r="U217" s="8"/>
      <c r="V217" s="140"/>
      <c r="W217" s="141"/>
    </row>
    <row r="218" spans="2:23" ht="15.5">
      <c r="B218" s="141"/>
      <c r="C218" s="141"/>
      <c r="D218" s="156"/>
      <c r="E218" s="38"/>
      <c r="F218" s="146"/>
      <c r="G218" s="146"/>
      <c r="H218" s="146"/>
      <c r="I218" s="146"/>
      <c r="J218" s="146"/>
      <c r="K218" s="146"/>
      <c r="L218" s="137"/>
      <c r="M218" s="133"/>
      <c r="N218" s="155"/>
      <c r="O218" s="138"/>
      <c r="P218" s="8"/>
      <c r="Q218" s="8"/>
      <c r="R218" s="139"/>
      <c r="S218" s="139"/>
      <c r="T218" s="139"/>
      <c r="U218" s="8"/>
      <c r="V218" s="140"/>
      <c r="W218" s="141"/>
    </row>
    <row r="219" spans="2:23" ht="15.5">
      <c r="B219" s="141"/>
      <c r="C219" s="141"/>
      <c r="D219" s="156"/>
      <c r="E219" s="38"/>
      <c r="F219" s="146"/>
      <c r="G219" s="146"/>
      <c r="H219" s="146"/>
      <c r="I219" s="146"/>
      <c r="J219" s="146"/>
      <c r="K219" s="146"/>
      <c r="L219" s="137"/>
      <c r="M219" s="133"/>
      <c r="N219" s="155"/>
      <c r="O219" s="138"/>
      <c r="P219" s="8"/>
      <c r="Q219" s="8"/>
      <c r="R219" s="139"/>
      <c r="S219" s="139"/>
      <c r="T219" s="139"/>
      <c r="U219" s="8"/>
      <c r="V219" s="140"/>
      <c r="W219" s="141"/>
    </row>
    <row r="220" spans="2:23" ht="15.5">
      <c r="B220" s="141"/>
      <c r="C220" s="141"/>
      <c r="D220" s="156"/>
      <c r="E220" s="38"/>
      <c r="F220" s="146"/>
      <c r="G220" s="146"/>
      <c r="H220" s="146"/>
      <c r="I220" s="146"/>
      <c r="J220" s="146"/>
      <c r="K220" s="146"/>
      <c r="L220" s="137"/>
      <c r="M220" s="133"/>
      <c r="N220" s="155"/>
      <c r="O220" s="138"/>
      <c r="P220" s="8"/>
      <c r="Q220" s="8"/>
      <c r="R220" s="139"/>
      <c r="S220" s="139"/>
      <c r="T220" s="139"/>
      <c r="U220" s="8"/>
      <c r="V220" s="140"/>
      <c r="W220" s="141"/>
    </row>
    <row r="221" spans="2:23" ht="15.5">
      <c r="B221" s="141"/>
      <c r="C221" s="141"/>
      <c r="D221" s="156"/>
      <c r="E221" s="38"/>
      <c r="F221" s="146"/>
      <c r="G221" s="146"/>
      <c r="H221" s="146"/>
      <c r="I221" s="146"/>
      <c r="J221" s="146"/>
      <c r="K221" s="146"/>
      <c r="L221" s="137"/>
      <c r="M221" s="133"/>
      <c r="N221" s="155"/>
      <c r="O221" s="138"/>
      <c r="P221" s="8"/>
      <c r="Q221" s="8"/>
      <c r="R221" s="139"/>
      <c r="S221" s="139"/>
      <c r="T221" s="139"/>
      <c r="U221" s="8"/>
      <c r="V221" s="140"/>
      <c r="W221" s="141"/>
    </row>
    <row r="222" spans="2:23" ht="15.5">
      <c r="B222" s="141"/>
      <c r="C222" s="141"/>
      <c r="D222" s="156"/>
      <c r="E222" s="38"/>
      <c r="F222" s="146"/>
      <c r="G222" s="146"/>
      <c r="H222" s="146"/>
      <c r="I222" s="146"/>
      <c r="J222" s="146"/>
      <c r="K222" s="146"/>
      <c r="L222" s="137"/>
      <c r="M222" s="133"/>
      <c r="N222" s="155"/>
      <c r="O222" s="138"/>
      <c r="P222" s="8"/>
      <c r="Q222" s="8"/>
      <c r="R222" s="139"/>
      <c r="S222" s="139"/>
      <c r="T222" s="139"/>
      <c r="U222" s="8"/>
      <c r="V222" s="140"/>
      <c r="W222" s="141"/>
    </row>
    <row r="223" spans="2:23" ht="15.5">
      <c r="B223" s="141"/>
      <c r="C223" s="141"/>
      <c r="D223" s="156"/>
      <c r="E223" s="38"/>
      <c r="F223" s="146"/>
      <c r="G223" s="146"/>
      <c r="H223" s="146"/>
      <c r="I223" s="146"/>
      <c r="J223" s="146"/>
      <c r="K223" s="146"/>
      <c r="L223" s="137"/>
      <c r="M223" s="133"/>
      <c r="N223" s="155"/>
      <c r="O223" s="138"/>
      <c r="P223" s="8"/>
      <c r="Q223" s="8"/>
      <c r="R223" s="139"/>
      <c r="S223" s="139"/>
      <c r="T223" s="139"/>
      <c r="U223" s="8"/>
      <c r="V223" s="140"/>
      <c r="W223" s="141"/>
    </row>
    <row r="224" spans="2:23" ht="15.5">
      <c r="B224" s="141"/>
      <c r="C224" s="141"/>
      <c r="D224" s="156"/>
      <c r="E224" s="38"/>
      <c r="F224" s="146"/>
      <c r="G224" s="146"/>
      <c r="H224" s="146"/>
      <c r="I224" s="146"/>
      <c r="J224" s="146"/>
      <c r="K224" s="146"/>
      <c r="L224" s="137"/>
      <c r="M224" s="133"/>
      <c r="N224" s="155"/>
      <c r="O224" s="138"/>
      <c r="P224" s="8"/>
      <c r="Q224" s="8"/>
      <c r="R224" s="139"/>
      <c r="S224" s="139"/>
      <c r="T224" s="139"/>
      <c r="U224" s="8"/>
      <c r="V224" s="140"/>
      <c r="W224" s="141"/>
    </row>
    <row r="225" spans="2:23" ht="15.5">
      <c r="B225" s="141"/>
      <c r="C225" s="141"/>
      <c r="D225" s="156"/>
      <c r="E225" s="38"/>
      <c r="F225" s="146"/>
      <c r="G225" s="146"/>
      <c r="H225" s="146"/>
      <c r="I225" s="146"/>
      <c r="J225" s="146"/>
      <c r="K225" s="146"/>
      <c r="L225" s="137"/>
      <c r="M225" s="133"/>
      <c r="N225" s="155"/>
      <c r="O225" s="138"/>
      <c r="P225" s="8"/>
      <c r="Q225" s="8"/>
      <c r="R225" s="139"/>
      <c r="S225" s="139"/>
      <c r="T225" s="139"/>
      <c r="U225" s="8"/>
      <c r="V225" s="140"/>
      <c r="W225" s="141"/>
    </row>
    <row r="226" spans="2:23" ht="15.5">
      <c r="B226" s="141"/>
      <c r="C226" s="141"/>
      <c r="D226" s="156"/>
      <c r="E226" s="38"/>
      <c r="F226" s="146"/>
      <c r="G226" s="146"/>
      <c r="H226" s="146"/>
      <c r="I226" s="146"/>
      <c r="J226" s="146"/>
      <c r="K226" s="146"/>
      <c r="L226" s="137"/>
      <c r="M226" s="133"/>
      <c r="N226" s="155"/>
      <c r="O226" s="138"/>
      <c r="P226" s="8"/>
      <c r="Q226" s="8"/>
      <c r="R226" s="139"/>
      <c r="S226" s="139"/>
      <c r="T226" s="139"/>
      <c r="U226" s="8"/>
      <c r="V226" s="140"/>
      <c r="W226" s="141"/>
    </row>
    <row r="227" spans="2:23" ht="15.5">
      <c r="B227" s="141"/>
      <c r="C227" s="141"/>
      <c r="D227" s="156"/>
      <c r="E227" s="38"/>
      <c r="F227" s="146"/>
      <c r="G227" s="146"/>
      <c r="H227" s="146"/>
      <c r="I227" s="146"/>
      <c r="J227" s="146"/>
      <c r="K227" s="146"/>
      <c r="L227" s="137"/>
      <c r="M227" s="133"/>
      <c r="N227" s="155"/>
      <c r="O227" s="138"/>
      <c r="P227" s="8"/>
      <c r="Q227" s="8"/>
      <c r="R227" s="139"/>
      <c r="S227" s="139"/>
      <c r="T227" s="139"/>
      <c r="U227" s="8"/>
      <c r="V227" s="140"/>
      <c r="W227" s="141"/>
    </row>
    <row r="228" spans="2:23" ht="15.5">
      <c r="B228" s="141"/>
      <c r="C228" s="141"/>
      <c r="D228" s="156"/>
      <c r="E228" s="38"/>
      <c r="F228" s="146"/>
      <c r="G228" s="146"/>
      <c r="H228" s="146"/>
      <c r="I228" s="146"/>
      <c r="J228" s="146"/>
      <c r="K228" s="146"/>
      <c r="L228" s="137"/>
      <c r="M228" s="133"/>
      <c r="N228" s="155"/>
      <c r="O228" s="138"/>
      <c r="P228" s="8"/>
      <c r="Q228" s="8"/>
      <c r="R228" s="139"/>
      <c r="S228" s="139"/>
      <c r="T228" s="139"/>
      <c r="U228" s="8"/>
      <c r="V228" s="140"/>
      <c r="W228" s="141"/>
    </row>
    <row r="229" spans="2:23" ht="15.5">
      <c r="B229" s="141"/>
      <c r="C229" s="141"/>
      <c r="D229" s="156"/>
      <c r="E229" s="38"/>
      <c r="F229" s="146"/>
      <c r="G229" s="146"/>
      <c r="H229" s="146"/>
      <c r="I229" s="146"/>
      <c r="J229" s="146"/>
      <c r="K229" s="146"/>
      <c r="L229" s="137"/>
      <c r="M229" s="133"/>
      <c r="N229" s="155"/>
      <c r="O229" s="138"/>
      <c r="P229" s="8"/>
      <c r="Q229" s="8"/>
      <c r="R229" s="139"/>
      <c r="S229" s="139"/>
      <c r="T229" s="139"/>
      <c r="U229" s="8"/>
      <c r="V229" s="140"/>
      <c r="W229" s="141"/>
    </row>
    <row r="230" spans="2:23" ht="15.5">
      <c r="B230" s="141"/>
      <c r="C230" s="141"/>
      <c r="D230" s="156"/>
      <c r="E230" s="38"/>
      <c r="F230" s="146"/>
      <c r="G230" s="146"/>
      <c r="H230" s="146"/>
      <c r="I230" s="146"/>
      <c r="J230" s="146"/>
      <c r="K230" s="146"/>
      <c r="L230" s="137"/>
      <c r="M230" s="133"/>
      <c r="N230" s="155"/>
      <c r="O230" s="138"/>
      <c r="P230" s="8"/>
      <c r="Q230" s="8"/>
      <c r="R230" s="139"/>
      <c r="S230" s="139"/>
      <c r="T230" s="139"/>
      <c r="U230" s="8"/>
      <c r="V230" s="140"/>
      <c r="W230" s="141"/>
    </row>
    <row r="231" spans="2:23">
      <c r="B231" s="141"/>
      <c r="C231" s="141"/>
      <c r="D231" s="141"/>
      <c r="E231" s="38"/>
      <c r="F231" s="146"/>
      <c r="G231" s="146"/>
      <c r="H231" s="146"/>
      <c r="I231" s="146"/>
      <c r="J231" s="146"/>
      <c r="K231" s="146"/>
      <c r="L231" s="23"/>
      <c r="M231" s="133"/>
      <c r="N231" s="155"/>
      <c r="O231" s="141"/>
      <c r="P231" s="141"/>
      <c r="Q231" s="141"/>
      <c r="R231" s="141"/>
      <c r="S231" s="139"/>
      <c r="T231" s="141"/>
      <c r="U231" s="141"/>
      <c r="V231" s="23"/>
      <c r="W231" s="141"/>
    </row>
  </sheetData>
  <autoFilter ref="C10:W48" xr:uid="{7B234B50-789F-460A-B115-1B9913B30A63}">
    <filterColumn colId="0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2">
    <mergeCell ref="K10:K11"/>
    <mergeCell ref="L10:W10"/>
    <mergeCell ref="B9:B11"/>
    <mergeCell ref="C9:K9"/>
    <mergeCell ref="L9:W9"/>
    <mergeCell ref="C10:D10"/>
    <mergeCell ref="E10:E11"/>
    <mergeCell ref="F10:F11"/>
    <mergeCell ref="G10:G11"/>
    <mergeCell ref="H10:H11"/>
    <mergeCell ref="I10:I11"/>
    <mergeCell ref="J10:J1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01B9-7699-4252-AC23-664E63A45E9D}">
  <sheetPr>
    <pageSetUpPr fitToPage="1"/>
  </sheetPr>
  <dimension ref="A1:BP419"/>
  <sheetViews>
    <sheetView topLeftCell="A397" zoomScaleNormal="100" workbookViewId="0">
      <selection activeCell="D318" sqref="D318"/>
    </sheetView>
  </sheetViews>
  <sheetFormatPr defaultRowHeight="14.5"/>
  <cols>
    <col min="1" max="1" width="6.54296875" bestFit="1" customWidth="1"/>
    <col min="2" max="2" width="11.54296875" bestFit="1" customWidth="1"/>
    <col min="3" max="3" width="17.54296875" style="371" bestFit="1" customWidth="1"/>
    <col min="4" max="4" width="8.453125" bestFit="1" customWidth="1"/>
    <col min="5" max="5" width="12.1796875" style="50" customWidth="1"/>
    <col min="6" max="6" width="13.26953125" style="26" bestFit="1" customWidth="1"/>
    <col min="7" max="7" width="1.7265625" style="26" bestFit="1" customWidth="1"/>
    <col min="8" max="8" width="15.81640625" style="26" customWidth="1"/>
    <col min="9" max="9" width="16.54296875" style="26" bestFit="1" customWidth="1"/>
    <col min="10" max="10" width="9.26953125" style="26" bestFit="1" customWidth="1"/>
    <col min="11" max="12" width="7.81640625" bestFit="1" customWidth="1"/>
    <col min="13" max="13" width="7.54296875" bestFit="1" customWidth="1"/>
    <col min="14" max="14" width="6.26953125" bestFit="1" customWidth="1"/>
    <col min="15" max="16" width="6.1796875" customWidth="1"/>
    <col min="17" max="17" width="4.81640625" customWidth="1"/>
    <col min="18" max="18" width="16.81640625" style="26" customWidth="1"/>
    <col min="19" max="19" width="10.7265625" customWidth="1"/>
    <col min="20" max="20" width="9.81640625" customWidth="1"/>
    <col min="21" max="21" width="10.81640625" bestFit="1" customWidth="1"/>
    <col min="22" max="22" width="19.81640625" bestFit="1" customWidth="1"/>
    <col min="23" max="23" width="8.1796875" style="372" customWidth="1"/>
    <col min="24" max="24" width="9.26953125" style="26" bestFit="1" customWidth="1"/>
    <col min="25" max="26" width="7.7265625" bestFit="1" customWidth="1"/>
    <col min="27" max="27" width="7.54296875" bestFit="1" customWidth="1"/>
    <col min="28" max="28" width="9.7265625" bestFit="1" customWidth="1"/>
    <col min="29" max="29" width="11.26953125" bestFit="1" customWidth="1"/>
    <col min="30" max="30" width="12.81640625" bestFit="1" customWidth="1"/>
    <col min="31" max="31" width="4.81640625" bestFit="1" customWidth="1"/>
    <col min="32" max="32" width="17.7265625" style="26" bestFit="1" customWidth="1"/>
    <col min="33" max="33" width="10.1796875" bestFit="1" customWidth="1"/>
    <col min="34" max="34" width="8.81640625" bestFit="1" customWidth="1"/>
    <col min="35" max="35" width="12.81640625" style="26" bestFit="1" customWidth="1"/>
    <col min="36" max="36" width="11.7265625" style="26" bestFit="1" customWidth="1"/>
    <col min="37" max="37" width="3.81640625" style="26" bestFit="1" customWidth="1"/>
    <col min="38" max="38" width="6.26953125" style="26" bestFit="1" customWidth="1"/>
    <col min="39" max="39" width="4.1796875" style="26" bestFit="1" customWidth="1"/>
    <col min="40" max="40" width="5.7265625" style="26" bestFit="1" customWidth="1"/>
    <col min="41" max="41" width="10.1796875" bestFit="1" customWidth="1"/>
    <col min="42" max="42" width="6.54296875" bestFit="1" customWidth="1"/>
    <col min="43" max="43" width="18.1796875" bestFit="1" customWidth="1"/>
    <col min="44" max="44" width="11.81640625" bestFit="1" customWidth="1"/>
    <col min="45" max="45" width="6.453125" bestFit="1" customWidth="1"/>
    <col min="46" max="46" width="4.7265625" bestFit="1" customWidth="1"/>
    <col min="47" max="47" width="15.453125" style="26" bestFit="1" customWidth="1"/>
    <col min="48" max="48" width="12.1796875" bestFit="1" customWidth="1"/>
    <col min="49" max="49" width="6.81640625" bestFit="1" customWidth="1"/>
    <col min="50" max="50" width="8.81640625" bestFit="1" customWidth="1"/>
    <col min="51" max="51" width="12" customWidth="1"/>
    <col min="52" max="52" width="4" bestFit="1" customWidth="1"/>
    <col min="53" max="53" width="6.26953125" bestFit="1" customWidth="1"/>
    <col min="54" max="54" width="6.1796875" bestFit="1" customWidth="1"/>
    <col min="55" max="55" width="7.7265625" bestFit="1" customWidth="1"/>
    <col min="56" max="56" width="6.453125" bestFit="1" customWidth="1"/>
    <col min="57" max="57" width="11.1796875" bestFit="1" customWidth="1"/>
    <col min="58" max="59" width="11.1796875" customWidth="1"/>
    <col min="60" max="60" width="15.81640625" style="26" customWidth="1"/>
    <col min="61" max="62" width="12.7265625" customWidth="1"/>
    <col min="63" max="64" width="9.453125" style="26" customWidth="1"/>
    <col min="65" max="65" width="11.1796875" style="373" bestFit="1" customWidth="1"/>
    <col min="66" max="67" width="12.7265625" bestFit="1" customWidth="1"/>
    <col min="68" max="68" width="17.7265625" bestFit="1" customWidth="1"/>
    <col min="69" max="16384" width="8.7265625" style="548"/>
  </cols>
  <sheetData>
    <row r="1" spans="1:68" s="546" customFormat="1">
      <c r="A1" s="514" t="s">
        <v>0</v>
      </c>
      <c r="B1" s="515" t="s">
        <v>461</v>
      </c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7"/>
      <c r="V1" s="515" t="s">
        <v>462</v>
      </c>
      <c r="W1" s="516"/>
      <c r="X1" s="516"/>
      <c r="Y1" s="516"/>
      <c r="Z1" s="516"/>
      <c r="AA1" s="516"/>
      <c r="AB1" s="516"/>
      <c r="AC1" s="516"/>
      <c r="AD1" s="516"/>
      <c r="AE1" s="516"/>
      <c r="AF1" s="516"/>
      <c r="AG1" s="516"/>
      <c r="AH1" s="516"/>
      <c r="AI1" s="516"/>
      <c r="AJ1" s="516"/>
      <c r="AK1" s="516"/>
      <c r="AL1" s="516"/>
      <c r="AM1" s="516"/>
      <c r="AN1" s="516"/>
      <c r="AO1" s="516"/>
      <c r="AP1" s="516"/>
      <c r="AQ1" s="516"/>
      <c r="AR1" s="516"/>
      <c r="AS1" s="516"/>
      <c r="AT1" s="517"/>
      <c r="AU1" s="520" t="s">
        <v>248</v>
      </c>
      <c r="AV1" s="514" t="s">
        <v>463</v>
      </c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5" t="s">
        <v>464</v>
      </c>
      <c r="BI1" s="516"/>
      <c r="BJ1" s="516"/>
      <c r="BK1" s="516"/>
      <c r="BL1" s="516"/>
      <c r="BM1" s="516"/>
      <c r="BN1" s="516"/>
      <c r="BO1" s="516"/>
      <c r="BP1" s="517"/>
    </row>
    <row r="2" spans="1:68" s="546" customFormat="1" ht="14.5" customHeight="1">
      <c r="A2" s="514"/>
      <c r="B2" s="514" t="s">
        <v>49</v>
      </c>
      <c r="C2" s="526" t="s">
        <v>432</v>
      </c>
      <c r="D2" s="514" t="s">
        <v>465</v>
      </c>
      <c r="E2" s="513" t="s">
        <v>466</v>
      </c>
      <c r="F2" s="515" t="s">
        <v>437</v>
      </c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7"/>
      <c r="V2" s="516" t="s">
        <v>467</v>
      </c>
      <c r="W2" s="516"/>
      <c r="X2" s="516"/>
      <c r="Y2" s="516"/>
      <c r="Z2" s="516"/>
      <c r="AA2" s="516"/>
      <c r="AB2" s="516"/>
      <c r="AC2" s="516"/>
      <c r="AD2" s="516"/>
      <c r="AE2" s="516"/>
      <c r="AF2" s="516"/>
      <c r="AG2" s="516"/>
      <c r="AH2" s="517"/>
      <c r="AI2" s="523" t="s">
        <v>468</v>
      </c>
      <c r="AJ2" s="524"/>
      <c r="AK2" s="524"/>
      <c r="AL2" s="524"/>
      <c r="AM2" s="524"/>
      <c r="AN2" s="524"/>
      <c r="AO2" s="524"/>
      <c r="AP2" s="524"/>
      <c r="AQ2" s="524"/>
      <c r="AR2" s="524"/>
      <c r="AS2" s="524"/>
      <c r="AT2" s="525"/>
      <c r="AU2" s="521"/>
      <c r="AV2" s="514" t="s">
        <v>470</v>
      </c>
      <c r="AW2" s="514" t="s">
        <v>441</v>
      </c>
      <c r="AX2" s="514" t="s">
        <v>442</v>
      </c>
      <c r="AY2" s="514" t="s">
        <v>265</v>
      </c>
      <c r="AZ2" s="514" t="s">
        <v>426</v>
      </c>
      <c r="BA2" s="514" t="s">
        <v>471</v>
      </c>
      <c r="BB2" s="514" t="s">
        <v>472</v>
      </c>
      <c r="BC2" s="514" t="s">
        <v>473</v>
      </c>
      <c r="BD2" s="514" t="s">
        <v>248</v>
      </c>
      <c r="BE2" s="514" t="s">
        <v>249</v>
      </c>
      <c r="BF2" s="514" t="s">
        <v>474</v>
      </c>
      <c r="BG2" s="514" t="s">
        <v>475</v>
      </c>
      <c r="BH2" s="518" t="s">
        <v>722</v>
      </c>
      <c r="BI2" s="513" t="s">
        <v>476</v>
      </c>
      <c r="BJ2" s="513"/>
      <c r="BK2" s="514" t="s">
        <v>477</v>
      </c>
      <c r="BL2" s="514"/>
      <c r="BM2" s="514" t="s">
        <v>248</v>
      </c>
      <c r="BN2" s="514" t="s">
        <v>478</v>
      </c>
      <c r="BO2" s="514" t="s">
        <v>249</v>
      </c>
      <c r="BP2" s="514" t="s">
        <v>475</v>
      </c>
    </row>
    <row r="3" spans="1:68" s="546" customFormat="1">
      <c r="A3" s="514"/>
      <c r="B3" s="514"/>
      <c r="C3" s="526"/>
      <c r="D3" s="514"/>
      <c r="E3" s="513"/>
      <c r="F3" s="514" t="s">
        <v>440</v>
      </c>
      <c r="G3" s="514"/>
      <c r="H3" s="514"/>
      <c r="I3" s="157" t="s">
        <v>441</v>
      </c>
      <c r="J3" s="157" t="s">
        <v>442</v>
      </c>
      <c r="K3" s="32" t="s">
        <v>54</v>
      </c>
      <c r="L3" s="32" t="s">
        <v>417</v>
      </c>
      <c r="M3" s="32" t="s">
        <v>418</v>
      </c>
      <c r="N3" s="32" t="s">
        <v>61</v>
      </c>
      <c r="O3" s="32" t="s">
        <v>62</v>
      </c>
      <c r="P3" s="32" t="s">
        <v>63</v>
      </c>
      <c r="Q3" s="32" t="s">
        <v>419</v>
      </c>
      <c r="R3" s="32" t="s">
        <v>420</v>
      </c>
      <c r="S3" s="33" t="s">
        <v>479</v>
      </c>
      <c r="T3" s="33" t="s">
        <v>248</v>
      </c>
      <c r="U3" s="32" t="s">
        <v>249</v>
      </c>
      <c r="V3" s="130" t="s">
        <v>469</v>
      </c>
      <c r="W3" s="158" t="s">
        <v>441</v>
      </c>
      <c r="X3" s="18" t="s">
        <v>442</v>
      </c>
      <c r="Y3" s="32" t="s">
        <v>54</v>
      </c>
      <c r="Z3" s="32" t="s">
        <v>417</v>
      </c>
      <c r="AA3" s="32" t="s">
        <v>418</v>
      </c>
      <c r="AB3" s="32" t="s">
        <v>61</v>
      </c>
      <c r="AC3" s="32" t="s">
        <v>62</v>
      </c>
      <c r="AD3" s="32" t="s">
        <v>63</v>
      </c>
      <c r="AE3" s="32" t="s">
        <v>419</v>
      </c>
      <c r="AF3" s="32" t="s">
        <v>420</v>
      </c>
      <c r="AG3" s="159" t="s">
        <v>479</v>
      </c>
      <c r="AH3" s="160" t="s">
        <v>248</v>
      </c>
      <c r="AI3" s="160" t="s">
        <v>470</v>
      </c>
      <c r="AJ3" s="160" t="s">
        <v>265</v>
      </c>
      <c r="AK3" s="161" t="s">
        <v>426</v>
      </c>
      <c r="AL3" s="160" t="s">
        <v>471</v>
      </c>
      <c r="AM3" s="160" t="s">
        <v>480</v>
      </c>
      <c r="AN3" s="161" t="s">
        <v>472</v>
      </c>
      <c r="AO3" s="160" t="s">
        <v>479</v>
      </c>
      <c r="AP3" s="160" t="s">
        <v>248</v>
      </c>
      <c r="AQ3" s="160" t="s">
        <v>249</v>
      </c>
      <c r="AR3" s="160" t="s">
        <v>481</v>
      </c>
      <c r="AS3" s="19" t="s">
        <v>436</v>
      </c>
      <c r="AT3" s="19" t="s">
        <v>482</v>
      </c>
      <c r="AU3" s="32" t="s">
        <v>591</v>
      </c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BG3" s="514"/>
      <c r="BH3" s="522"/>
      <c r="BI3" s="33" t="s">
        <v>483</v>
      </c>
      <c r="BJ3" s="33" t="s">
        <v>484</v>
      </c>
      <c r="BK3" s="33" t="s">
        <v>483</v>
      </c>
      <c r="BL3" s="33" t="s">
        <v>484</v>
      </c>
      <c r="BM3" s="514"/>
      <c r="BN3" s="514"/>
      <c r="BO3" s="514"/>
      <c r="BP3" s="514"/>
    </row>
    <row r="4" spans="1:68" s="546" customFormat="1">
      <c r="A4" s="32"/>
      <c r="B4" s="163"/>
      <c r="C4" s="164"/>
      <c r="D4" s="163"/>
      <c r="E4" s="162"/>
      <c r="F4" s="165"/>
      <c r="G4" s="166"/>
      <c r="H4" s="167"/>
      <c r="I4" s="168"/>
      <c r="J4" s="168"/>
      <c r="K4" s="163"/>
      <c r="L4" s="163"/>
      <c r="M4" s="163"/>
      <c r="N4" s="163"/>
      <c r="O4" s="163"/>
      <c r="P4" s="163"/>
      <c r="Q4" s="163"/>
      <c r="R4" s="163"/>
      <c r="S4" s="162"/>
      <c r="T4" s="33"/>
      <c r="U4" s="163"/>
      <c r="V4" s="167"/>
      <c r="W4" s="158"/>
      <c r="X4" s="18"/>
      <c r="Y4" s="32"/>
      <c r="Z4" s="32"/>
      <c r="AA4" s="32"/>
      <c r="AB4" s="32"/>
      <c r="AC4" s="32"/>
      <c r="AD4" s="32"/>
      <c r="AE4" s="32"/>
      <c r="AF4" s="32"/>
      <c r="AG4" s="159"/>
      <c r="AH4" s="160"/>
      <c r="AI4" s="169"/>
      <c r="AJ4" s="160"/>
      <c r="AK4" s="161"/>
      <c r="AL4" s="160"/>
      <c r="AM4" s="160"/>
      <c r="AN4" s="161"/>
      <c r="AO4" s="169"/>
      <c r="AP4" s="160"/>
      <c r="AQ4" s="160"/>
      <c r="AR4" s="160"/>
      <c r="AS4" s="170"/>
      <c r="AT4" s="170"/>
      <c r="AU4" s="163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3"/>
      <c r="BJ4" s="33"/>
      <c r="BK4" s="33"/>
      <c r="BL4" s="33"/>
      <c r="BM4" s="32"/>
      <c r="BN4" s="32"/>
      <c r="BO4" s="32"/>
      <c r="BP4" s="32"/>
    </row>
    <row r="5" spans="1:68" s="547" customFormat="1" ht="15.5">
      <c r="A5" s="171">
        <v>27</v>
      </c>
      <c r="B5" s="172">
        <v>1</v>
      </c>
      <c r="C5" s="173">
        <v>46142</v>
      </c>
      <c r="D5" s="174">
        <f>BH5-C5</f>
        <v>-46142</v>
      </c>
      <c r="E5" s="175" t="s">
        <v>72</v>
      </c>
      <c r="F5" s="176">
        <f t="shared" ref="F5:F68" si="0">C5</f>
        <v>46142</v>
      </c>
      <c r="G5" s="177" t="s">
        <v>175</v>
      </c>
      <c r="H5" s="178">
        <f>F5+2</f>
        <v>46144</v>
      </c>
      <c r="I5" s="179">
        <v>1</v>
      </c>
      <c r="J5" s="180">
        <v>1</v>
      </c>
      <c r="K5" s="181">
        <v>0.1075</v>
      </c>
      <c r="L5" s="182">
        <v>0.28250000000000003</v>
      </c>
      <c r="M5" s="182">
        <v>0.25</v>
      </c>
      <c r="N5" s="183">
        <v>40.5</v>
      </c>
      <c r="O5" s="183">
        <f>N5*P5/100</f>
        <v>30.243375</v>
      </c>
      <c r="P5" s="183">
        <v>74.674999999999997</v>
      </c>
      <c r="Q5" s="182">
        <v>0.23</v>
      </c>
      <c r="R5" s="184">
        <v>74.5</v>
      </c>
      <c r="S5" s="185" t="s">
        <v>427</v>
      </c>
      <c r="T5" s="171" t="s">
        <v>485</v>
      </c>
      <c r="U5" s="185"/>
      <c r="V5" s="186">
        <v>46171</v>
      </c>
      <c r="W5" s="187">
        <f>I5</f>
        <v>1</v>
      </c>
      <c r="X5" s="188">
        <f>J5</f>
        <v>1</v>
      </c>
      <c r="Y5" s="189"/>
      <c r="Z5" s="190"/>
      <c r="AA5" s="190"/>
      <c r="AB5" s="191"/>
      <c r="AC5" s="191"/>
      <c r="AD5" s="191"/>
      <c r="AE5" s="190"/>
      <c r="AF5" s="192">
        <v>78.5</v>
      </c>
      <c r="AG5" s="171" t="s">
        <v>486</v>
      </c>
      <c r="AH5" s="171" t="s">
        <v>485</v>
      </c>
      <c r="AI5" s="193">
        <v>46171</v>
      </c>
      <c r="AJ5" s="194" t="s">
        <v>222</v>
      </c>
      <c r="AK5" s="171"/>
      <c r="AL5" s="194"/>
      <c r="AM5" s="194"/>
      <c r="AN5" s="171"/>
      <c r="AO5" s="195" t="str">
        <f>AG5</f>
        <v>Belshina</v>
      </c>
      <c r="AP5" s="171" t="s">
        <v>459</v>
      </c>
      <c r="AQ5" s="171" t="s">
        <v>487</v>
      </c>
      <c r="AR5" s="171" t="s">
        <v>488</v>
      </c>
      <c r="AS5" s="185"/>
      <c r="AT5" s="185"/>
      <c r="AU5" s="476" t="str">
        <f>IF(OR(T5="Reject",AH5="Reject",AP5="Reject"),"Reject",IF(OR(T5="Hold",AH5="Hold",AP2="Hold"),"Hold","Ok"))</f>
        <v>Reject</v>
      </c>
      <c r="AV5" s="196">
        <v>46171</v>
      </c>
      <c r="AW5" s="197">
        <f t="shared" ref="AW5:AW68" si="1">I5</f>
        <v>1</v>
      </c>
      <c r="AX5" s="188">
        <f t="shared" ref="AX5:AX68" si="2">J5</f>
        <v>1</v>
      </c>
      <c r="AY5" s="198" t="s">
        <v>222</v>
      </c>
      <c r="AZ5" s="198"/>
      <c r="BA5" s="198"/>
      <c r="BB5" s="198"/>
      <c r="BC5" s="198"/>
      <c r="BD5" s="171"/>
      <c r="BE5" s="171" t="s">
        <v>487</v>
      </c>
      <c r="BF5" s="141"/>
      <c r="BG5" s="141"/>
      <c r="BH5" s="23"/>
      <c r="BI5" s="187">
        <f>AW5</f>
        <v>1</v>
      </c>
      <c r="BJ5" s="188">
        <f>AX5</f>
        <v>1</v>
      </c>
      <c r="BK5" s="199"/>
      <c r="BL5" s="188"/>
      <c r="BM5" s="200"/>
      <c r="BN5" s="141"/>
      <c r="BO5" s="141"/>
      <c r="BP5" s="141"/>
    </row>
    <row r="6" spans="1:68" ht="15.5">
      <c r="A6" s="201">
        <v>27</v>
      </c>
      <c r="B6" s="202" t="s">
        <v>110</v>
      </c>
      <c r="C6" s="203">
        <v>46146</v>
      </c>
      <c r="D6" s="491">
        <f t="shared" ref="D6:D69" si="3">BH6-C6</f>
        <v>88</v>
      </c>
      <c r="E6" s="204" t="s">
        <v>72</v>
      </c>
      <c r="F6" s="205">
        <f t="shared" si="0"/>
        <v>46146</v>
      </c>
      <c r="G6" s="206" t="s">
        <v>175</v>
      </c>
      <c r="H6" s="207">
        <f>F6+2</f>
        <v>46148</v>
      </c>
      <c r="I6" s="215">
        <v>1</v>
      </c>
      <c r="J6" s="208">
        <v>2</v>
      </c>
      <c r="K6" s="209">
        <v>0.10525</v>
      </c>
      <c r="L6" s="210">
        <v>0.27500000000000002</v>
      </c>
      <c r="M6" s="210">
        <v>0.23</v>
      </c>
      <c r="N6" s="211">
        <v>41.5</v>
      </c>
      <c r="O6" s="211">
        <f t="shared" ref="O6:O69" si="4">N6*P6/100</f>
        <v>30.295000000000002</v>
      </c>
      <c r="P6" s="211">
        <v>73</v>
      </c>
      <c r="Q6" s="210">
        <v>0.23</v>
      </c>
      <c r="R6" s="212">
        <v>74.5</v>
      </c>
      <c r="S6" s="201" t="s">
        <v>427</v>
      </c>
      <c r="T6" s="201" t="s">
        <v>485</v>
      </c>
      <c r="U6" s="213"/>
      <c r="V6" s="214" t="s">
        <v>489</v>
      </c>
      <c r="W6" s="215">
        <f t="shared" ref="W6:X69" si="5">I6</f>
        <v>1</v>
      </c>
      <c r="X6" s="208">
        <f t="shared" si="5"/>
        <v>2</v>
      </c>
      <c r="Y6" s="209"/>
      <c r="Z6" s="210"/>
      <c r="AA6" s="210"/>
      <c r="AB6" s="211">
        <v>43</v>
      </c>
      <c r="AC6" s="211">
        <v>28.81</v>
      </c>
      <c r="AD6" s="211">
        <v>67</v>
      </c>
      <c r="AE6" s="210"/>
      <c r="AF6" s="216" t="s">
        <v>490</v>
      </c>
      <c r="AG6" s="201" t="s">
        <v>486</v>
      </c>
      <c r="AH6" s="201" t="s">
        <v>485</v>
      </c>
      <c r="AI6" s="217">
        <v>46171</v>
      </c>
      <c r="AJ6" s="201"/>
      <c r="AK6" s="201"/>
      <c r="AL6" s="201"/>
      <c r="AM6" s="201"/>
      <c r="AN6" s="201"/>
      <c r="AO6" s="218" t="str">
        <f>AG6</f>
        <v>Belshina</v>
      </c>
      <c r="AP6" s="201" t="s">
        <v>458</v>
      </c>
      <c r="AQ6" s="201"/>
      <c r="AR6" s="201"/>
      <c r="AS6" s="213"/>
      <c r="AT6" s="213"/>
      <c r="AU6" s="476" t="str">
        <f t="shared" ref="AU6:AU10" si="6">IF(OR(T6="Reject",AH6="Reject",AP6="Reject"),"Reject",IF(OR(T6="Hold",AH6="Hold",AP3="Hold"),"Hold","Ok"))</f>
        <v>Ok</v>
      </c>
      <c r="AV6" s="220">
        <v>46171</v>
      </c>
      <c r="AW6" s="221">
        <f t="shared" si="1"/>
        <v>1</v>
      </c>
      <c r="AX6" s="208">
        <f t="shared" si="2"/>
        <v>2</v>
      </c>
      <c r="AY6" s="222"/>
      <c r="AZ6" s="222"/>
      <c r="BA6" s="222"/>
      <c r="BB6" s="222"/>
      <c r="BC6" s="222"/>
      <c r="BD6" s="201"/>
      <c r="BE6" s="201"/>
      <c r="BF6" s="201"/>
      <c r="BG6" s="201"/>
      <c r="BH6" s="455">
        <v>46234</v>
      </c>
      <c r="BI6" s="215">
        <f t="shared" ref="BI6:BJ69" si="7">AW6</f>
        <v>1</v>
      </c>
      <c r="BJ6" s="208">
        <f t="shared" si="7"/>
        <v>2</v>
      </c>
      <c r="BK6" s="223">
        <v>1</v>
      </c>
      <c r="BL6" s="208">
        <v>1</v>
      </c>
      <c r="BM6" s="224" t="s">
        <v>222</v>
      </c>
      <c r="BN6" s="201"/>
      <c r="BO6" s="201"/>
      <c r="BP6" s="201"/>
    </row>
    <row r="7" spans="1:68" ht="15.5">
      <c r="A7" s="201">
        <v>27</v>
      </c>
      <c r="B7" s="202">
        <v>4</v>
      </c>
      <c r="C7" s="203">
        <v>46147</v>
      </c>
      <c r="D7" s="491">
        <f t="shared" si="3"/>
        <v>87</v>
      </c>
      <c r="E7" s="204" t="s">
        <v>72</v>
      </c>
      <c r="F7" s="205">
        <f t="shared" si="0"/>
        <v>46147</v>
      </c>
      <c r="G7" s="206" t="s">
        <v>175</v>
      </c>
      <c r="H7" s="207">
        <f>F7+2</f>
        <v>46149</v>
      </c>
      <c r="I7" s="215">
        <v>1</v>
      </c>
      <c r="J7" s="208">
        <v>3</v>
      </c>
      <c r="K7" s="209">
        <v>0.10875</v>
      </c>
      <c r="L7" s="210">
        <v>0.27750000000000002</v>
      </c>
      <c r="M7" s="210">
        <v>0.32</v>
      </c>
      <c r="N7" s="211">
        <v>39.25</v>
      </c>
      <c r="O7" s="211">
        <f t="shared" si="4"/>
        <v>28.240374999999993</v>
      </c>
      <c r="P7" s="211">
        <v>71.949999999999989</v>
      </c>
      <c r="Q7" s="210">
        <v>0.23</v>
      </c>
      <c r="R7" s="212">
        <v>74.5</v>
      </c>
      <c r="S7" s="201" t="s">
        <v>427</v>
      </c>
      <c r="T7" s="201" t="s">
        <v>485</v>
      </c>
      <c r="U7" s="213"/>
      <c r="V7" s="214" t="s">
        <v>489</v>
      </c>
      <c r="W7" s="215">
        <f t="shared" si="5"/>
        <v>1</v>
      </c>
      <c r="X7" s="208">
        <f t="shared" si="5"/>
        <v>3</v>
      </c>
      <c r="Y7" s="209"/>
      <c r="Z7" s="210"/>
      <c r="AA7" s="210"/>
      <c r="AB7" s="211"/>
      <c r="AC7" s="211"/>
      <c r="AD7" s="211"/>
      <c r="AE7" s="210"/>
      <c r="AF7" s="216" t="s">
        <v>491</v>
      </c>
      <c r="AG7" s="201" t="str">
        <f>S7</f>
        <v>SNI</v>
      </c>
      <c r="AH7" s="201" t="s">
        <v>485</v>
      </c>
      <c r="AI7" s="217">
        <v>46171</v>
      </c>
      <c r="AJ7" s="201"/>
      <c r="AK7" s="201"/>
      <c r="AL7" s="201"/>
      <c r="AM7" s="201"/>
      <c r="AN7" s="201"/>
      <c r="AO7" s="218" t="str">
        <f t="shared" ref="AO7:AO70" si="8">AG7</f>
        <v>SNI</v>
      </c>
      <c r="AP7" s="201" t="s">
        <v>458</v>
      </c>
      <c r="AQ7" s="201"/>
      <c r="AR7" s="201"/>
      <c r="AS7" s="213"/>
      <c r="AT7" s="213"/>
      <c r="AU7" s="476" t="str">
        <f t="shared" si="6"/>
        <v>Ok</v>
      </c>
      <c r="AV7" s="220">
        <v>46171</v>
      </c>
      <c r="AW7" s="221">
        <f t="shared" si="1"/>
        <v>1</v>
      </c>
      <c r="AX7" s="208">
        <f t="shared" si="2"/>
        <v>3</v>
      </c>
      <c r="AY7" s="222"/>
      <c r="AZ7" s="222"/>
      <c r="BA7" s="222"/>
      <c r="BB7" s="222"/>
      <c r="BC7" s="222"/>
      <c r="BD7" s="201"/>
      <c r="BE7" s="201"/>
      <c r="BF7" s="201"/>
      <c r="BG7" s="201"/>
      <c r="BH7" s="455">
        <v>46234</v>
      </c>
      <c r="BI7" s="215">
        <f t="shared" si="7"/>
        <v>1</v>
      </c>
      <c r="BJ7" s="208">
        <f t="shared" si="7"/>
        <v>3</v>
      </c>
      <c r="BK7" s="223">
        <v>1</v>
      </c>
      <c r="BL7" s="208">
        <v>2</v>
      </c>
      <c r="BM7" s="224" t="s">
        <v>222</v>
      </c>
      <c r="BN7" s="201"/>
      <c r="BO7" s="201"/>
      <c r="BP7" s="201"/>
    </row>
    <row r="8" spans="1:68" ht="15.5">
      <c r="A8" s="201">
        <v>27</v>
      </c>
      <c r="B8" s="478" t="s">
        <v>764</v>
      </c>
      <c r="C8" s="203">
        <v>46148</v>
      </c>
      <c r="D8" s="491">
        <f t="shared" si="3"/>
        <v>86</v>
      </c>
      <c r="E8" s="204" t="s">
        <v>72</v>
      </c>
      <c r="F8" s="205">
        <f t="shared" si="0"/>
        <v>46148</v>
      </c>
      <c r="G8" s="206" t="s">
        <v>175</v>
      </c>
      <c r="H8" s="207">
        <f t="shared" ref="H8:H71" si="9">F8+2</f>
        <v>46150</v>
      </c>
      <c r="I8" s="215">
        <v>1</v>
      </c>
      <c r="J8" s="208">
        <v>4</v>
      </c>
      <c r="K8" s="209">
        <v>0.10875</v>
      </c>
      <c r="L8" s="210">
        <v>0.28000000000000003</v>
      </c>
      <c r="M8" s="210">
        <v>0.27</v>
      </c>
      <c r="N8" s="211">
        <v>37.25</v>
      </c>
      <c r="O8" s="211">
        <f t="shared" si="4"/>
        <v>27.015562500000001</v>
      </c>
      <c r="P8" s="211">
        <v>72.525000000000006</v>
      </c>
      <c r="Q8" s="210">
        <v>0.23</v>
      </c>
      <c r="R8" s="212">
        <v>74.5</v>
      </c>
      <c r="S8" s="201" t="s">
        <v>427</v>
      </c>
      <c r="T8" s="201" t="s">
        <v>485</v>
      </c>
      <c r="U8" s="213"/>
      <c r="V8" s="214" t="s">
        <v>489</v>
      </c>
      <c r="W8" s="215">
        <f t="shared" si="5"/>
        <v>1</v>
      </c>
      <c r="X8" s="208">
        <f t="shared" si="5"/>
        <v>4</v>
      </c>
      <c r="Y8" s="209"/>
      <c r="Z8" s="210"/>
      <c r="AA8" s="210"/>
      <c r="AB8" s="211">
        <v>42</v>
      </c>
      <c r="AC8" s="211">
        <v>29.82</v>
      </c>
      <c r="AD8" s="211">
        <v>71</v>
      </c>
      <c r="AE8" s="210"/>
      <c r="AF8" s="216" t="s">
        <v>492</v>
      </c>
      <c r="AG8" s="201" t="s">
        <v>486</v>
      </c>
      <c r="AH8" s="201" t="s">
        <v>485</v>
      </c>
      <c r="AI8" s="217">
        <v>46171</v>
      </c>
      <c r="AJ8" s="201"/>
      <c r="AK8" s="201"/>
      <c r="AL8" s="201"/>
      <c r="AM8" s="201"/>
      <c r="AN8" s="201"/>
      <c r="AO8" s="218" t="str">
        <f t="shared" si="8"/>
        <v>Belshina</v>
      </c>
      <c r="AP8" s="201" t="s">
        <v>458</v>
      </c>
      <c r="AQ8" s="201"/>
      <c r="AR8" s="201"/>
      <c r="AS8" s="213"/>
      <c r="AT8" s="213"/>
      <c r="AU8" s="476" t="str">
        <f t="shared" si="6"/>
        <v>Ok</v>
      </c>
      <c r="AV8" s="220">
        <v>46171</v>
      </c>
      <c r="AW8" s="221">
        <f t="shared" si="1"/>
        <v>1</v>
      </c>
      <c r="AX8" s="208">
        <f t="shared" si="2"/>
        <v>4</v>
      </c>
      <c r="AY8" s="222"/>
      <c r="AZ8" s="222"/>
      <c r="BA8" s="222"/>
      <c r="BB8" s="222"/>
      <c r="BC8" s="222"/>
      <c r="BD8" s="201"/>
      <c r="BE8" s="201"/>
      <c r="BF8" s="201"/>
      <c r="BG8" s="201"/>
      <c r="BH8" s="455">
        <v>46234</v>
      </c>
      <c r="BI8" s="215">
        <f t="shared" si="7"/>
        <v>1</v>
      </c>
      <c r="BJ8" s="208">
        <f t="shared" si="7"/>
        <v>4</v>
      </c>
      <c r="BK8" s="223">
        <v>1</v>
      </c>
      <c r="BL8" s="208">
        <v>3</v>
      </c>
      <c r="BM8" s="224" t="s">
        <v>222</v>
      </c>
      <c r="BN8" s="201"/>
      <c r="BO8" s="201"/>
      <c r="BP8" s="201"/>
    </row>
    <row r="9" spans="1:68" ht="15.5">
      <c r="A9" s="225">
        <v>28</v>
      </c>
      <c r="B9" s="204">
        <v>7</v>
      </c>
      <c r="C9" s="226">
        <v>46150</v>
      </c>
      <c r="D9" s="491">
        <f t="shared" si="3"/>
        <v>84</v>
      </c>
      <c r="E9" s="204" t="s">
        <v>75</v>
      </c>
      <c r="F9" s="205">
        <f t="shared" si="0"/>
        <v>46150</v>
      </c>
      <c r="G9" s="206" t="s">
        <v>175</v>
      </c>
      <c r="H9" s="207">
        <f t="shared" si="9"/>
        <v>46152</v>
      </c>
      <c r="I9" s="215">
        <v>1</v>
      </c>
      <c r="J9" s="208">
        <v>5</v>
      </c>
      <c r="K9" s="209">
        <v>0.1065</v>
      </c>
      <c r="L9" s="210">
        <v>0.3075</v>
      </c>
      <c r="M9" s="210">
        <v>0.4</v>
      </c>
      <c r="N9" s="211">
        <v>38.75</v>
      </c>
      <c r="O9" s="211">
        <f t="shared" si="4"/>
        <v>27.241250000000001</v>
      </c>
      <c r="P9" s="211">
        <v>70.3</v>
      </c>
      <c r="Q9" s="210">
        <v>0.23</v>
      </c>
      <c r="R9" s="212">
        <v>71.5</v>
      </c>
      <c r="S9" s="201" t="s">
        <v>427</v>
      </c>
      <c r="T9" s="201" t="s">
        <v>485</v>
      </c>
      <c r="U9" s="201"/>
      <c r="V9" s="214" t="s">
        <v>493</v>
      </c>
      <c r="W9" s="215">
        <f t="shared" si="5"/>
        <v>1</v>
      </c>
      <c r="X9" s="208">
        <f t="shared" si="5"/>
        <v>5</v>
      </c>
      <c r="Y9" s="209"/>
      <c r="Z9" s="210"/>
      <c r="AA9" s="210"/>
      <c r="AB9" s="216">
        <v>38</v>
      </c>
      <c r="AC9" s="211">
        <v>25.992000000000004</v>
      </c>
      <c r="AD9" s="227">
        <v>68.400000000000006</v>
      </c>
      <c r="AE9" s="210"/>
      <c r="AF9" s="216" t="s">
        <v>494</v>
      </c>
      <c r="AG9" s="201" t="str">
        <f>S9</f>
        <v>SNI</v>
      </c>
      <c r="AH9" s="201" t="s">
        <v>485</v>
      </c>
      <c r="AI9" s="217">
        <v>46171</v>
      </c>
      <c r="AJ9" s="201"/>
      <c r="AK9" s="201"/>
      <c r="AL9" s="201"/>
      <c r="AM9" s="201"/>
      <c r="AN9" s="201"/>
      <c r="AO9" s="218" t="str">
        <f t="shared" si="8"/>
        <v>SNI</v>
      </c>
      <c r="AP9" s="201" t="s">
        <v>458</v>
      </c>
      <c r="AQ9" s="201"/>
      <c r="AR9" s="201"/>
      <c r="AS9" s="213"/>
      <c r="AT9" s="213"/>
      <c r="AU9" s="476" t="str">
        <f t="shared" si="6"/>
        <v>Ok</v>
      </c>
      <c r="AV9" s="220">
        <v>46171</v>
      </c>
      <c r="AW9" s="221">
        <f t="shared" si="1"/>
        <v>1</v>
      </c>
      <c r="AX9" s="208">
        <f t="shared" si="2"/>
        <v>5</v>
      </c>
      <c r="AY9" s="222"/>
      <c r="AZ9" s="222"/>
      <c r="BA9" s="222"/>
      <c r="BB9" s="222"/>
      <c r="BC9" s="222"/>
      <c r="BD9" s="201"/>
      <c r="BE9" s="201"/>
      <c r="BF9" s="201"/>
      <c r="BG9" s="201"/>
      <c r="BH9" s="455">
        <v>46234</v>
      </c>
      <c r="BI9" s="215">
        <f t="shared" si="7"/>
        <v>1</v>
      </c>
      <c r="BJ9" s="208">
        <f t="shared" si="7"/>
        <v>5</v>
      </c>
      <c r="BK9" s="223">
        <v>1</v>
      </c>
      <c r="BL9" s="208">
        <v>4</v>
      </c>
      <c r="BM9" s="224" t="s">
        <v>222</v>
      </c>
      <c r="BN9" s="201"/>
      <c r="BO9" s="201"/>
      <c r="BP9" s="201"/>
    </row>
    <row r="10" spans="1:68" s="549" customFormat="1" ht="15.5">
      <c r="A10" s="228">
        <v>28</v>
      </c>
      <c r="B10" s="81">
        <v>7</v>
      </c>
      <c r="C10" s="229">
        <v>46150</v>
      </c>
      <c r="D10" s="174">
        <f t="shared" si="3"/>
        <v>-46150</v>
      </c>
      <c r="E10" s="81" t="s">
        <v>75</v>
      </c>
      <c r="F10" s="230">
        <f t="shared" si="0"/>
        <v>46150</v>
      </c>
      <c r="G10" s="231" t="s">
        <v>175</v>
      </c>
      <c r="H10" s="232">
        <f t="shared" si="9"/>
        <v>46152</v>
      </c>
      <c r="I10" s="233">
        <v>1</v>
      </c>
      <c r="J10" s="234">
        <v>6</v>
      </c>
      <c r="K10" s="235">
        <v>0.10875</v>
      </c>
      <c r="L10" s="236">
        <v>0.29749999999999999</v>
      </c>
      <c r="M10" s="236">
        <v>0.34</v>
      </c>
      <c r="N10" s="237">
        <v>37.5</v>
      </c>
      <c r="O10" s="237">
        <f t="shared" si="4"/>
        <v>26.756250000000001</v>
      </c>
      <c r="P10" s="237">
        <v>71.349999999999994</v>
      </c>
      <c r="Q10" s="236">
        <v>0.23</v>
      </c>
      <c r="R10" s="238">
        <v>71.5</v>
      </c>
      <c r="S10" s="239" t="s">
        <v>427</v>
      </c>
      <c r="T10" s="239" t="s">
        <v>485</v>
      </c>
      <c r="U10" s="239"/>
      <c r="V10" s="240" t="s">
        <v>493</v>
      </c>
      <c r="W10" s="233">
        <f t="shared" si="5"/>
        <v>1</v>
      </c>
      <c r="X10" s="234">
        <f t="shared" si="5"/>
        <v>6</v>
      </c>
      <c r="Y10" s="235"/>
      <c r="Z10" s="236"/>
      <c r="AA10" s="236"/>
      <c r="AB10" s="241">
        <v>36</v>
      </c>
      <c r="AC10" s="237">
        <v>24.984000000000002</v>
      </c>
      <c r="AD10" s="81">
        <v>69.400000000000006</v>
      </c>
      <c r="AE10" s="236"/>
      <c r="AF10" s="241" t="s">
        <v>495</v>
      </c>
      <c r="AG10" s="239" t="str">
        <f>S10</f>
        <v>SNI</v>
      </c>
      <c r="AH10" s="239" t="s">
        <v>485</v>
      </c>
      <c r="AI10" s="242">
        <v>46240</v>
      </c>
      <c r="AJ10" s="239"/>
      <c r="AK10" s="239"/>
      <c r="AL10" s="243" t="s">
        <v>222</v>
      </c>
      <c r="AM10" s="239"/>
      <c r="AN10" s="239"/>
      <c r="AO10" s="244" t="str">
        <f t="shared" si="8"/>
        <v>SNI</v>
      </c>
      <c r="AP10" s="245" t="s">
        <v>459</v>
      </c>
      <c r="AQ10" s="245" t="s">
        <v>471</v>
      </c>
      <c r="AR10" s="239"/>
      <c r="AS10" s="245"/>
      <c r="AT10" s="245"/>
      <c r="AU10" s="476" t="str">
        <f t="shared" si="6"/>
        <v>Reject</v>
      </c>
      <c r="AV10" s="246">
        <v>46171</v>
      </c>
      <c r="AW10" s="247">
        <f t="shared" si="1"/>
        <v>1</v>
      </c>
      <c r="AX10" s="234">
        <f t="shared" si="2"/>
        <v>6</v>
      </c>
      <c r="AY10" s="248"/>
      <c r="AZ10" s="248"/>
      <c r="BA10" s="248" t="s">
        <v>222</v>
      </c>
      <c r="BB10" s="248"/>
      <c r="BC10" s="248"/>
      <c r="BD10" s="239" t="s">
        <v>459</v>
      </c>
      <c r="BE10" s="239" t="s">
        <v>471</v>
      </c>
      <c r="BF10" s="23" t="s">
        <v>496</v>
      </c>
      <c r="BG10" s="23" t="s">
        <v>497</v>
      </c>
      <c r="BH10" s="23"/>
      <c r="BI10" s="233">
        <f t="shared" si="7"/>
        <v>1</v>
      </c>
      <c r="BJ10" s="234">
        <f t="shared" si="7"/>
        <v>6</v>
      </c>
      <c r="BK10" s="249"/>
      <c r="BL10" s="234"/>
      <c r="BM10" s="243"/>
      <c r="BN10" s="141" t="s">
        <v>498</v>
      </c>
      <c r="BO10" s="239" t="s">
        <v>471</v>
      </c>
      <c r="BP10" s="141" t="s">
        <v>499</v>
      </c>
    </row>
    <row r="11" spans="1:68" s="549" customFormat="1" ht="15.5">
      <c r="A11" s="228">
        <v>28</v>
      </c>
      <c r="B11" s="81">
        <v>7</v>
      </c>
      <c r="C11" s="229">
        <v>46150</v>
      </c>
      <c r="D11" s="174">
        <f t="shared" si="3"/>
        <v>-46150</v>
      </c>
      <c r="E11" s="81" t="s">
        <v>75</v>
      </c>
      <c r="F11" s="230">
        <f t="shared" si="0"/>
        <v>46150</v>
      </c>
      <c r="G11" s="231" t="s">
        <v>175</v>
      </c>
      <c r="H11" s="232">
        <f t="shared" si="9"/>
        <v>46152</v>
      </c>
      <c r="I11" s="233">
        <v>1</v>
      </c>
      <c r="J11" s="234">
        <v>7</v>
      </c>
      <c r="K11" s="235">
        <v>0.105575</v>
      </c>
      <c r="L11" s="236">
        <v>0.34</v>
      </c>
      <c r="M11" s="236">
        <v>0.35</v>
      </c>
      <c r="N11" s="237">
        <v>36</v>
      </c>
      <c r="O11" s="237">
        <f t="shared" si="4"/>
        <v>26.487000000000002</v>
      </c>
      <c r="P11" s="237">
        <v>73.575000000000003</v>
      </c>
      <c r="Q11" s="236">
        <v>0.23</v>
      </c>
      <c r="R11" s="238">
        <v>71.5</v>
      </c>
      <c r="S11" s="239" t="s">
        <v>427</v>
      </c>
      <c r="T11" s="239" t="s">
        <v>485</v>
      </c>
      <c r="U11" s="239"/>
      <c r="V11" s="240" t="s">
        <v>493</v>
      </c>
      <c r="W11" s="233">
        <f t="shared" si="5"/>
        <v>1</v>
      </c>
      <c r="X11" s="234">
        <f t="shared" si="5"/>
        <v>7</v>
      </c>
      <c r="Y11" s="235"/>
      <c r="Z11" s="236"/>
      <c r="AA11" s="236"/>
      <c r="AB11" s="241">
        <v>36</v>
      </c>
      <c r="AC11" s="237">
        <v>24.984000000000002</v>
      </c>
      <c r="AD11" s="81">
        <v>69.400000000000006</v>
      </c>
      <c r="AE11" s="236"/>
      <c r="AF11" s="241" t="s">
        <v>500</v>
      </c>
      <c r="AG11" s="239" t="str">
        <f>S11</f>
        <v>SNI</v>
      </c>
      <c r="AH11" s="239" t="s">
        <v>485</v>
      </c>
      <c r="AI11" s="242">
        <v>46239</v>
      </c>
      <c r="AJ11" s="239"/>
      <c r="AK11" s="239"/>
      <c r="AL11" s="243" t="s">
        <v>222</v>
      </c>
      <c r="AM11" s="239"/>
      <c r="AN11" s="239"/>
      <c r="AO11" s="244" t="str">
        <f t="shared" si="8"/>
        <v>SNI</v>
      </c>
      <c r="AP11" s="245" t="s">
        <v>459</v>
      </c>
      <c r="AQ11" s="245" t="s">
        <v>471</v>
      </c>
      <c r="AR11" s="239"/>
      <c r="AS11" s="245"/>
      <c r="AT11" s="245"/>
      <c r="AU11" s="476" t="str">
        <f t="shared" ref="AU11:AU17" si="10">IF(OR(T11="Reject",AH11="Reject",AP11="Reject"),"Reject",IF(OR(T11="Hold",AH11="Hold",AP8="Hold"),"Hold","Ok"))</f>
        <v>Reject</v>
      </c>
      <c r="AV11" s="246">
        <v>46171</v>
      </c>
      <c r="AW11" s="247">
        <f t="shared" si="1"/>
        <v>1</v>
      </c>
      <c r="AX11" s="234">
        <f t="shared" si="2"/>
        <v>7</v>
      </c>
      <c r="AY11" s="248"/>
      <c r="AZ11" s="248"/>
      <c r="BA11" s="248" t="s">
        <v>222</v>
      </c>
      <c r="BB11" s="248"/>
      <c r="BC11" s="248"/>
      <c r="BD11" s="239" t="s">
        <v>459</v>
      </c>
      <c r="BE11" s="239" t="s">
        <v>471</v>
      </c>
      <c r="BF11" s="23" t="s">
        <v>496</v>
      </c>
      <c r="BG11" s="23" t="s">
        <v>497</v>
      </c>
      <c r="BH11" s="23"/>
      <c r="BI11" s="233">
        <f t="shared" si="7"/>
        <v>1</v>
      </c>
      <c r="BJ11" s="234">
        <f t="shared" si="7"/>
        <v>7</v>
      </c>
      <c r="BK11" s="249"/>
      <c r="BL11" s="234"/>
      <c r="BM11" s="243"/>
      <c r="BN11" s="141" t="s">
        <v>498</v>
      </c>
      <c r="BO11" s="239" t="s">
        <v>471</v>
      </c>
      <c r="BP11" s="141" t="s">
        <v>499</v>
      </c>
    </row>
    <row r="12" spans="1:68" ht="15.5">
      <c r="A12" s="225">
        <v>28</v>
      </c>
      <c r="B12" s="202" t="s">
        <v>213</v>
      </c>
      <c r="C12" s="226">
        <v>46151</v>
      </c>
      <c r="D12" s="491">
        <f t="shared" si="3"/>
        <v>84</v>
      </c>
      <c r="E12" s="204" t="s">
        <v>75</v>
      </c>
      <c r="F12" s="205">
        <f t="shared" si="0"/>
        <v>46151</v>
      </c>
      <c r="G12" s="206" t="s">
        <v>175</v>
      </c>
      <c r="H12" s="207">
        <f t="shared" si="9"/>
        <v>46153</v>
      </c>
      <c r="I12" s="215">
        <v>1</v>
      </c>
      <c r="J12" s="208">
        <v>8</v>
      </c>
      <c r="K12" s="209">
        <v>0.10925</v>
      </c>
      <c r="L12" s="210">
        <v>0.3125</v>
      </c>
      <c r="M12" s="210">
        <v>0.35</v>
      </c>
      <c r="N12" s="211">
        <v>37.25</v>
      </c>
      <c r="O12" s="211">
        <f t="shared" si="4"/>
        <v>27.490500000000008</v>
      </c>
      <c r="P12" s="211">
        <v>73.800000000000011</v>
      </c>
      <c r="Q12" s="210">
        <v>0.23</v>
      </c>
      <c r="R12" s="212">
        <v>71.5</v>
      </c>
      <c r="S12" s="201" t="s">
        <v>427</v>
      </c>
      <c r="T12" s="201" t="s">
        <v>485</v>
      </c>
      <c r="U12" s="201"/>
      <c r="V12" s="214" t="s">
        <v>493</v>
      </c>
      <c r="W12" s="215">
        <f t="shared" si="5"/>
        <v>1</v>
      </c>
      <c r="X12" s="208">
        <f t="shared" si="5"/>
        <v>8</v>
      </c>
      <c r="Y12" s="209"/>
      <c r="Z12" s="210"/>
      <c r="AA12" s="210"/>
      <c r="AB12" s="216" t="s">
        <v>501</v>
      </c>
      <c r="AC12" s="211" t="s">
        <v>502</v>
      </c>
      <c r="AD12" s="227" t="s">
        <v>503</v>
      </c>
      <c r="AE12" s="210"/>
      <c r="AF12" s="216" t="s">
        <v>504</v>
      </c>
      <c r="AG12" s="201" t="s">
        <v>486</v>
      </c>
      <c r="AH12" s="201" t="s">
        <v>485</v>
      </c>
      <c r="AI12" s="217">
        <v>46171</v>
      </c>
      <c r="AJ12" s="201"/>
      <c r="AK12" s="224"/>
      <c r="AL12" s="201"/>
      <c r="AM12" s="201"/>
      <c r="AN12" s="201"/>
      <c r="AO12" s="218" t="str">
        <f t="shared" si="8"/>
        <v>Belshina</v>
      </c>
      <c r="AP12" s="201" t="s">
        <v>458</v>
      </c>
      <c r="AQ12" s="201"/>
      <c r="AR12" s="201"/>
      <c r="AS12" s="213"/>
      <c r="AT12" s="213"/>
      <c r="AU12" s="476" t="str">
        <f t="shared" si="10"/>
        <v>Ok</v>
      </c>
      <c r="AV12" s="220">
        <v>46171</v>
      </c>
      <c r="AW12" s="221">
        <f t="shared" si="1"/>
        <v>1</v>
      </c>
      <c r="AX12" s="208">
        <f t="shared" si="2"/>
        <v>8</v>
      </c>
      <c r="AY12" s="222"/>
      <c r="AZ12" s="222"/>
      <c r="BA12" s="222"/>
      <c r="BB12" s="222"/>
      <c r="BC12" s="222"/>
      <c r="BD12" s="201"/>
      <c r="BE12" s="201"/>
      <c r="BF12" s="201"/>
      <c r="BG12" s="201"/>
      <c r="BH12" s="455">
        <v>46235</v>
      </c>
      <c r="BI12" s="215">
        <f t="shared" si="7"/>
        <v>1</v>
      </c>
      <c r="BJ12" s="208">
        <f t="shared" si="7"/>
        <v>8</v>
      </c>
      <c r="BK12" s="223">
        <v>3</v>
      </c>
      <c r="BL12" s="208">
        <v>21</v>
      </c>
      <c r="BM12" s="224" t="s">
        <v>222</v>
      </c>
      <c r="BN12" s="201"/>
      <c r="BO12" s="201"/>
      <c r="BP12" s="201"/>
    </row>
    <row r="13" spans="1:68" ht="15.5">
      <c r="A13" s="225">
        <v>28</v>
      </c>
      <c r="B13" s="202" t="s">
        <v>765</v>
      </c>
      <c r="C13" s="226">
        <v>46153</v>
      </c>
      <c r="D13" s="491">
        <f t="shared" si="3"/>
        <v>81</v>
      </c>
      <c r="E13" s="204" t="s">
        <v>75</v>
      </c>
      <c r="F13" s="205">
        <f t="shared" si="0"/>
        <v>46153</v>
      </c>
      <c r="G13" s="206" t="s">
        <v>175</v>
      </c>
      <c r="H13" s="207">
        <f t="shared" si="9"/>
        <v>46155</v>
      </c>
      <c r="I13" s="215">
        <v>2</v>
      </c>
      <c r="J13" s="208">
        <v>9</v>
      </c>
      <c r="K13" s="209">
        <v>0.11249999999999999</v>
      </c>
      <c r="L13" s="210">
        <v>0.3125</v>
      </c>
      <c r="M13" s="210">
        <v>0.31</v>
      </c>
      <c r="N13" s="211">
        <v>38.75</v>
      </c>
      <c r="O13" s="211">
        <f t="shared" si="4"/>
        <v>28.239062499999999</v>
      </c>
      <c r="P13" s="211">
        <v>72.875</v>
      </c>
      <c r="Q13" s="210">
        <v>0.21</v>
      </c>
      <c r="R13" s="212">
        <v>71</v>
      </c>
      <c r="S13" s="201" t="s">
        <v>427</v>
      </c>
      <c r="T13" s="201" t="s">
        <v>485</v>
      </c>
      <c r="U13" s="201"/>
      <c r="V13" s="214" t="s">
        <v>505</v>
      </c>
      <c r="W13" s="215">
        <f t="shared" si="5"/>
        <v>2</v>
      </c>
      <c r="X13" s="208">
        <f t="shared" si="5"/>
        <v>9</v>
      </c>
      <c r="Y13" s="209"/>
      <c r="Z13" s="210"/>
      <c r="AA13" s="210"/>
      <c r="AB13" s="211"/>
      <c r="AC13" s="211"/>
      <c r="AD13" s="211"/>
      <c r="AE13" s="210"/>
      <c r="AF13" s="212" t="s">
        <v>506</v>
      </c>
      <c r="AG13" s="201" t="str">
        <f>S13</f>
        <v>SNI</v>
      </c>
      <c r="AH13" s="201" t="s">
        <v>485</v>
      </c>
      <c r="AI13" s="217">
        <v>46171</v>
      </c>
      <c r="AJ13" s="201"/>
      <c r="AK13" s="224"/>
      <c r="AL13" s="201"/>
      <c r="AM13" s="201"/>
      <c r="AN13" s="201"/>
      <c r="AO13" s="218" t="str">
        <f t="shared" si="8"/>
        <v>SNI</v>
      </c>
      <c r="AP13" s="201" t="s">
        <v>458</v>
      </c>
      <c r="AQ13" s="201"/>
      <c r="AR13" s="201"/>
      <c r="AS13" s="213"/>
      <c r="AT13" s="213"/>
      <c r="AU13" s="476" t="str">
        <f t="shared" si="10"/>
        <v>Ok</v>
      </c>
      <c r="AV13" s="220">
        <v>46171</v>
      </c>
      <c r="AW13" s="221">
        <f t="shared" si="1"/>
        <v>2</v>
      </c>
      <c r="AX13" s="208">
        <f t="shared" si="2"/>
        <v>9</v>
      </c>
      <c r="AY13" s="222"/>
      <c r="AZ13" s="222"/>
      <c r="BA13" s="222"/>
      <c r="BB13" s="222"/>
      <c r="BC13" s="222"/>
      <c r="BD13" s="201"/>
      <c r="BE13" s="201"/>
      <c r="BF13" s="201"/>
      <c r="BG13" s="201"/>
      <c r="BH13" s="455">
        <v>46234</v>
      </c>
      <c r="BI13" s="215">
        <f t="shared" si="7"/>
        <v>2</v>
      </c>
      <c r="BJ13" s="208">
        <f t="shared" si="7"/>
        <v>9</v>
      </c>
      <c r="BK13" s="223">
        <v>1</v>
      </c>
      <c r="BL13" s="208">
        <v>5</v>
      </c>
      <c r="BM13" s="224" t="s">
        <v>222</v>
      </c>
      <c r="BN13" s="201"/>
      <c r="BO13" s="201"/>
      <c r="BP13" s="201"/>
    </row>
    <row r="14" spans="1:68" s="549" customFormat="1" ht="15.5">
      <c r="A14" s="251">
        <v>28</v>
      </c>
      <c r="B14" s="252">
        <v>9</v>
      </c>
      <c r="C14" s="253">
        <v>46153</v>
      </c>
      <c r="D14" s="491">
        <f t="shared" si="3"/>
        <v>113</v>
      </c>
      <c r="E14" s="252" t="s">
        <v>75</v>
      </c>
      <c r="F14" s="254">
        <f t="shared" si="0"/>
        <v>46153</v>
      </c>
      <c r="G14" s="255" t="s">
        <v>175</v>
      </c>
      <c r="H14" s="256">
        <f t="shared" si="9"/>
        <v>46155</v>
      </c>
      <c r="I14" s="264">
        <v>2</v>
      </c>
      <c r="J14" s="257">
        <v>10</v>
      </c>
      <c r="K14" s="258">
        <v>0.11699999999999999</v>
      </c>
      <c r="L14" s="259">
        <v>0.33750000000000002</v>
      </c>
      <c r="M14" s="259">
        <v>0.38</v>
      </c>
      <c r="N14" s="260">
        <v>37.75</v>
      </c>
      <c r="O14" s="260">
        <f t="shared" si="4"/>
        <v>26.981812499999997</v>
      </c>
      <c r="P14" s="260">
        <v>71.474999999999994</v>
      </c>
      <c r="Q14" s="259">
        <v>0.21</v>
      </c>
      <c r="R14" s="261">
        <v>71</v>
      </c>
      <c r="S14" s="262" t="s">
        <v>427</v>
      </c>
      <c r="T14" s="262" t="s">
        <v>485</v>
      </c>
      <c r="U14" s="262"/>
      <c r="V14" s="263" t="s">
        <v>505</v>
      </c>
      <c r="W14" s="264">
        <f t="shared" si="5"/>
        <v>2</v>
      </c>
      <c r="X14" s="257">
        <f t="shared" si="5"/>
        <v>10</v>
      </c>
      <c r="Y14" s="258"/>
      <c r="Z14" s="259"/>
      <c r="AA14" s="259"/>
      <c r="AB14" s="265">
        <v>42</v>
      </c>
      <c r="AC14" s="260">
        <v>28.98</v>
      </c>
      <c r="AD14" s="260">
        <v>69</v>
      </c>
      <c r="AE14" s="259"/>
      <c r="AF14" s="261" t="s">
        <v>507</v>
      </c>
      <c r="AG14" s="262" t="s">
        <v>486</v>
      </c>
      <c r="AH14" s="262" t="s">
        <v>485</v>
      </c>
      <c r="AI14" s="266">
        <v>46240</v>
      </c>
      <c r="AJ14" s="262"/>
      <c r="AK14" s="267"/>
      <c r="AL14" s="267" t="s">
        <v>222</v>
      </c>
      <c r="AM14" s="262"/>
      <c r="AN14" s="262"/>
      <c r="AO14" s="268" t="str">
        <f t="shared" si="8"/>
        <v>Belshina</v>
      </c>
      <c r="AP14" s="269" t="s">
        <v>459</v>
      </c>
      <c r="AQ14" s="269" t="s">
        <v>471</v>
      </c>
      <c r="AR14" s="262"/>
      <c r="AS14" s="269"/>
      <c r="AT14" s="269"/>
      <c r="AU14" s="476" t="str">
        <f t="shared" si="10"/>
        <v>Reject</v>
      </c>
      <c r="AV14" s="270">
        <v>46171</v>
      </c>
      <c r="AW14" s="271">
        <f t="shared" si="1"/>
        <v>2</v>
      </c>
      <c r="AX14" s="257">
        <f t="shared" si="2"/>
        <v>10</v>
      </c>
      <c r="AY14" s="272"/>
      <c r="AZ14" s="272"/>
      <c r="BA14" s="272" t="s">
        <v>222</v>
      </c>
      <c r="BB14" s="272"/>
      <c r="BC14" s="272"/>
      <c r="BD14" s="262" t="s">
        <v>459</v>
      </c>
      <c r="BE14" s="262" t="s">
        <v>471</v>
      </c>
      <c r="BF14" s="219" t="s">
        <v>496</v>
      </c>
      <c r="BG14" s="219" t="s">
        <v>497</v>
      </c>
      <c r="BH14" s="455">
        <v>46266</v>
      </c>
      <c r="BI14" s="264">
        <f t="shared" si="7"/>
        <v>2</v>
      </c>
      <c r="BJ14" s="257">
        <f t="shared" si="7"/>
        <v>10</v>
      </c>
      <c r="BK14" s="273">
        <v>19</v>
      </c>
      <c r="BL14" s="257">
        <v>160</v>
      </c>
      <c r="BM14" s="224" t="s">
        <v>222</v>
      </c>
      <c r="BN14" s="201" t="s">
        <v>498</v>
      </c>
      <c r="BO14" s="262" t="s">
        <v>471</v>
      </c>
      <c r="BP14" s="201" t="s">
        <v>499</v>
      </c>
    </row>
    <row r="15" spans="1:68" s="550" customFormat="1" ht="15.5">
      <c r="A15" s="274">
        <v>28</v>
      </c>
      <c r="B15" s="275">
        <v>9</v>
      </c>
      <c r="C15" s="276">
        <v>46153</v>
      </c>
      <c r="D15" s="491">
        <f t="shared" si="3"/>
        <v>91</v>
      </c>
      <c r="E15" s="275" t="s">
        <v>75</v>
      </c>
      <c r="F15" s="277">
        <f t="shared" si="0"/>
        <v>46153</v>
      </c>
      <c r="G15" s="278" t="s">
        <v>175</v>
      </c>
      <c r="H15" s="279">
        <f t="shared" si="9"/>
        <v>46155</v>
      </c>
      <c r="I15" s="287">
        <v>2</v>
      </c>
      <c r="J15" s="280">
        <v>11</v>
      </c>
      <c r="K15" s="281">
        <v>0.114</v>
      </c>
      <c r="L15" s="282">
        <v>0.35249999999999998</v>
      </c>
      <c r="M15" s="282">
        <v>0.4</v>
      </c>
      <c r="N15" s="283">
        <v>37.25</v>
      </c>
      <c r="O15" s="283">
        <f t="shared" si="4"/>
        <v>27.490499999999997</v>
      </c>
      <c r="P15" s="283">
        <v>73.8</v>
      </c>
      <c r="Q15" s="282">
        <v>0.21</v>
      </c>
      <c r="R15" s="284">
        <v>71</v>
      </c>
      <c r="S15" s="285" t="s">
        <v>427</v>
      </c>
      <c r="T15" s="285" t="s">
        <v>485</v>
      </c>
      <c r="U15" s="285"/>
      <c r="V15" s="286" t="s">
        <v>505</v>
      </c>
      <c r="W15" s="287">
        <f t="shared" si="5"/>
        <v>2</v>
      </c>
      <c r="X15" s="280">
        <f t="shared" si="5"/>
        <v>11</v>
      </c>
      <c r="Y15" s="281"/>
      <c r="Z15" s="282"/>
      <c r="AA15" s="282"/>
      <c r="AB15" s="283"/>
      <c r="AC15" s="283"/>
      <c r="AD15" s="283"/>
      <c r="AE15" s="282"/>
      <c r="AF15" s="284" t="s">
        <v>508</v>
      </c>
      <c r="AG15" s="285" t="str">
        <f>S15</f>
        <v>SNI</v>
      </c>
      <c r="AH15" s="285" t="s">
        <v>485</v>
      </c>
      <c r="AI15" s="288">
        <v>46239</v>
      </c>
      <c r="AJ15" s="285"/>
      <c r="AK15" s="289"/>
      <c r="AL15" s="289" t="s">
        <v>222</v>
      </c>
      <c r="AM15" s="285"/>
      <c r="AN15" s="285"/>
      <c r="AO15" s="290" t="str">
        <f t="shared" si="8"/>
        <v>SNI</v>
      </c>
      <c r="AP15" s="291" t="s">
        <v>459</v>
      </c>
      <c r="AQ15" s="291" t="s">
        <v>471</v>
      </c>
      <c r="AR15" s="285"/>
      <c r="AS15" s="291"/>
      <c r="AT15" s="291"/>
      <c r="AU15" s="476" t="str">
        <f t="shared" si="10"/>
        <v>Reject</v>
      </c>
      <c r="AV15" s="292">
        <v>46171</v>
      </c>
      <c r="AW15" s="293">
        <f t="shared" si="1"/>
        <v>2</v>
      </c>
      <c r="AX15" s="280">
        <f t="shared" si="2"/>
        <v>11</v>
      </c>
      <c r="AY15" s="294"/>
      <c r="AZ15" s="294"/>
      <c r="BA15" s="294" t="s">
        <v>222</v>
      </c>
      <c r="BB15" s="294"/>
      <c r="BC15" s="294"/>
      <c r="BD15" s="285" t="s">
        <v>459</v>
      </c>
      <c r="BE15" s="285" t="s">
        <v>471</v>
      </c>
      <c r="BF15" s="219" t="s">
        <v>496</v>
      </c>
      <c r="BG15" s="219" t="s">
        <v>497</v>
      </c>
      <c r="BH15" s="455">
        <v>46244</v>
      </c>
      <c r="BI15" s="287">
        <f t="shared" si="7"/>
        <v>2</v>
      </c>
      <c r="BJ15" s="280">
        <f t="shared" si="7"/>
        <v>11</v>
      </c>
      <c r="BK15" s="295">
        <v>11</v>
      </c>
      <c r="BL15" s="280">
        <v>85</v>
      </c>
      <c r="BM15" s="224" t="s">
        <v>222</v>
      </c>
      <c r="BN15" s="201" t="s">
        <v>498</v>
      </c>
      <c r="BO15" s="285" t="s">
        <v>458</v>
      </c>
      <c r="BP15" s="201" t="s">
        <v>499</v>
      </c>
    </row>
    <row r="16" spans="1:68" ht="15.5">
      <c r="A16" s="225">
        <v>28</v>
      </c>
      <c r="B16" s="204">
        <v>9</v>
      </c>
      <c r="C16" s="226">
        <v>46153</v>
      </c>
      <c r="D16" s="491">
        <f t="shared" si="3"/>
        <v>81</v>
      </c>
      <c r="E16" s="204" t="s">
        <v>75</v>
      </c>
      <c r="F16" s="205">
        <f t="shared" si="0"/>
        <v>46153</v>
      </c>
      <c r="G16" s="206" t="s">
        <v>175</v>
      </c>
      <c r="H16" s="207">
        <f t="shared" si="9"/>
        <v>46155</v>
      </c>
      <c r="I16" s="215">
        <v>2</v>
      </c>
      <c r="J16" s="208">
        <v>12</v>
      </c>
      <c r="K16" s="209">
        <v>0.11399999999999999</v>
      </c>
      <c r="L16" s="210">
        <v>0.3175</v>
      </c>
      <c r="M16" s="210">
        <v>0.37</v>
      </c>
      <c r="N16" s="211">
        <v>41</v>
      </c>
      <c r="O16" s="211">
        <f t="shared" si="4"/>
        <v>28.997249999999998</v>
      </c>
      <c r="P16" s="211">
        <v>70.724999999999994</v>
      </c>
      <c r="Q16" s="210">
        <v>0.21</v>
      </c>
      <c r="R16" s="212">
        <v>71</v>
      </c>
      <c r="S16" s="201" t="s">
        <v>427</v>
      </c>
      <c r="T16" s="201" t="s">
        <v>485</v>
      </c>
      <c r="U16" s="213"/>
      <c r="V16" s="214" t="s">
        <v>489</v>
      </c>
      <c r="W16" s="215">
        <f t="shared" si="5"/>
        <v>2</v>
      </c>
      <c r="X16" s="208">
        <f t="shared" si="5"/>
        <v>12</v>
      </c>
      <c r="Y16" s="209"/>
      <c r="Z16" s="210"/>
      <c r="AA16" s="210"/>
      <c r="AB16" s="211"/>
      <c r="AC16" s="211"/>
      <c r="AD16" s="211"/>
      <c r="AE16" s="210"/>
      <c r="AF16" s="212" t="s">
        <v>509</v>
      </c>
      <c r="AG16" s="201" t="str">
        <f>S16</f>
        <v>SNI</v>
      </c>
      <c r="AH16" s="201" t="s">
        <v>485</v>
      </c>
      <c r="AI16" s="217">
        <v>46171</v>
      </c>
      <c r="AJ16" s="201"/>
      <c r="AK16" s="224"/>
      <c r="AL16" s="224"/>
      <c r="AM16" s="224"/>
      <c r="AN16" s="201"/>
      <c r="AO16" s="218" t="str">
        <f t="shared" si="8"/>
        <v>SNI</v>
      </c>
      <c r="AP16" s="201" t="s">
        <v>458</v>
      </c>
      <c r="AQ16" s="201"/>
      <c r="AR16" s="201"/>
      <c r="AS16" s="213"/>
      <c r="AT16" s="213"/>
      <c r="AU16" s="476" t="str">
        <f t="shared" si="10"/>
        <v>Ok</v>
      </c>
      <c r="AV16" s="220">
        <v>46171</v>
      </c>
      <c r="AW16" s="221">
        <f t="shared" si="1"/>
        <v>2</v>
      </c>
      <c r="AX16" s="208">
        <f t="shared" si="2"/>
        <v>12</v>
      </c>
      <c r="AY16" s="222"/>
      <c r="AZ16" s="222"/>
      <c r="BA16" s="222"/>
      <c r="BB16" s="222"/>
      <c r="BC16" s="222"/>
      <c r="BD16" s="201"/>
      <c r="BE16" s="201"/>
      <c r="BF16" s="201"/>
      <c r="BG16" s="201"/>
      <c r="BH16" s="455">
        <v>46234</v>
      </c>
      <c r="BI16" s="215">
        <f t="shared" si="7"/>
        <v>2</v>
      </c>
      <c r="BJ16" s="208">
        <f t="shared" si="7"/>
        <v>12</v>
      </c>
      <c r="BK16" s="223">
        <v>1</v>
      </c>
      <c r="BL16" s="208">
        <v>6</v>
      </c>
      <c r="BM16" s="224" t="s">
        <v>222</v>
      </c>
      <c r="BN16" s="201"/>
      <c r="BO16" s="201"/>
      <c r="BP16" s="201"/>
    </row>
    <row r="17" spans="1:68" ht="15.5">
      <c r="A17" s="225">
        <v>28</v>
      </c>
      <c r="B17" s="204">
        <v>9</v>
      </c>
      <c r="C17" s="226">
        <v>46153</v>
      </c>
      <c r="D17" s="491">
        <f t="shared" si="3"/>
        <v>81</v>
      </c>
      <c r="E17" s="204" t="s">
        <v>75</v>
      </c>
      <c r="F17" s="205">
        <f t="shared" si="0"/>
        <v>46153</v>
      </c>
      <c r="G17" s="206" t="s">
        <v>175</v>
      </c>
      <c r="H17" s="207">
        <f t="shared" si="9"/>
        <v>46155</v>
      </c>
      <c r="I17" s="215">
        <v>2</v>
      </c>
      <c r="J17" s="208">
        <v>13</v>
      </c>
      <c r="K17" s="209">
        <v>0.11549999999999999</v>
      </c>
      <c r="L17" s="210">
        <v>0.31</v>
      </c>
      <c r="M17" s="210">
        <v>0.39</v>
      </c>
      <c r="N17" s="211">
        <v>40.25</v>
      </c>
      <c r="O17" s="211">
        <f t="shared" si="4"/>
        <v>29.000124999999997</v>
      </c>
      <c r="P17" s="211">
        <v>72.05</v>
      </c>
      <c r="Q17" s="210">
        <v>0.21</v>
      </c>
      <c r="R17" s="212">
        <v>73</v>
      </c>
      <c r="S17" s="201" t="s">
        <v>427</v>
      </c>
      <c r="T17" s="201" t="s">
        <v>485</v>
      </c>
      <c r="U17" s="213"/>
      <c r="V17" s="214" t="s">
        <v>489</v>
      </c>
      <c r="W17" s="215">
        <f t="shared" si="5"/>
        <v>2</v>
      </c>
      <c r="X17" s="208">
        <f t="shared" si="5"/>
        <v>13</v>
      </c>
      <c r="Y17" s="209"/>
      <c r="Z17" s="210"/>
      <c r="AA17" s="210"/>
      <c r="AB17" s="211"/>
      <c r="AC17" s="211"/>
      <c r="AD17" s="211"/>
      <c r="AE17" s="210"/>
      <c r="AF17" s="212" t="s">
        <v>510</v>
      </c>
      <c r="AG17" s="201" t="str">
        <f>S17</f>
        <v>SNI</v>
      </c>
      <c r="AH17" s="201" t="s">
        <v>485</v>
      </c>
      <c r="AI17" s="217">
        <v>46171</v>
      </c>
      <c r="AJ17" s="201"/>
      <c r="AK17" s="224"/>
      <c r="AL17" s="201"/>
      <c r="AM17" s="201"/>
      <c r="AN17" s="201"/>
      <c r="AO17" s="218" t="str">
        <f t="shared" si="8"/>
        <v>SNI</v>
      </c>
      <c r="AP17" s="201" t="s">
        <v>458</v>
      </c>
      <c r="AQ17" s="201"/>
      <c r="AR17" s="201"/>
      <c r="AS17" s="213"/>
      <c r="AT17" s="213"/>
      <c r="AU17" s="476" t="str">
        <f t="shared" si="10"/>
        <v>Ok</v>
      </c>
      <c r="AV17" s="220">
        <v>46171</v>
      </c>
      <c r="AW17" s="221">
        <f t="shared" si="1"/>
        <v>2</v>
      </c>
      <c r="AX17" s="208">
        <f t="shared" si="2"/>
        <v>13</v>
      </c>
      <c r="AY17" s="222"/>
      <c r="AZ17" s="222"/>
      <c r="BA17" s="222"/>
      <c r="BB17" s="222"/>
      <c r="BC17" s="222"/>
      <c r="BD17" s="201"/>
      <c r="BE17" s="201"/>
      <c r="BF17" s="201"/>
      <c r="BG17" s="201"/>
      <c r="BH17" s="455">
        <v>46234</v>
      </c>
      <c r="BI17" s="215">
        <f t="shared" si="7"/>
        <v>2</v>
      </c>
      <c r="BJ17" s="208">
        <f t="shared" si="7"/>
        <v>13</v>
      </c>
      <c r="BK17" s="223">
        <v>1</v>
      </c>
      <c r="BL17" s="208">
        <v>7</v>
      </c>
      <c r="BM17" s="224" t="s">
        <v>222</v>
      </c>
      <c r="BN17" s="201"/>
      <c r="BO17" s="201"/>
      <c r="BP17" s="201"/>
    </row>
    <row r="18" spans="1:68" ht="15.5">
      <c r="A18" s="225">
        <v>28</v>
      </c>
      <c r="B18" s="204">
        <v>9</v>
      </c>
      <c r="C18" s="226">
        <v>46153</v>
      </c>
      <c r="D18" s="491">
        <f t="shared" si="3"/>
        <v>81</v>
      </c>
      <c r="E18" s="204" t="s">
        <v>75</v>
      </c>
      <c r="F18" s="205">
        <f t="shared" si="0"/>
        <v>46153</v>
      </c>
      <c r="G18" s="206" t="s">
        <v>175</v>
      </c>
      <c r="H18" s="207">
        <f t="shared" si="9"/>
        <v>46155</v>
      </c>
      <c r="I18" s="215">
        <v>2</v>
      </c>
      <c r="J18" s="208">
        <v>14</v>
      </c>
      <c r="K18" s="209">
        <v>0.113</v>
      </c>
      <c r="L18" s="210">
        <v>0.3175</v>
      </c>
      <c r="M18" s="210">
        <v>0.32</v>
      </c>
      <c r="N18" s="211">
        <v>40.75</v>
      </c>
      <c r="O18" s="211">
        <f t="shared" si="4"/>
        <v>29.747499999999999</v>
      </c>
      <c r="P18" s="211">
        <v>73</v>
      </c>
      <c r="Q18" s="210">
        <v>0.21</v>
      </c>
      <c r="R18" s="212">
        <v>73</v>
      </c>
      <c r="S18" s="201" t="s">
        <v>427</v>
      </c>
      <c r="T18" s="201" t="s">
        <v>485</v>
      </c>
      <c r="U18" s="213"/>
      <c r="V18" s="214" t="s">
        <v>489</v>
      </c>
      <c r="W18" s="215">
        <f t="shared" si="5"/>
        <v>2</v>
      </c>
      <c r="X18" s="208">
        <f t="shared" si="5"/>
        <v>14</v>
      </c>
      <c r="Y18" s="209"/>
      <c r="Z18" s="210"/>
      <c r="AA18" s="210"/>
      <c r="AB18" s="216">
        <v>40</v>
      </c>
      <c r="AC18" s="211">
        <v>28</v>
      </c>
      <c r="AD18" s="211">
        <v>70</v>
      </c>
      <c r="AE18" s="210"/>
      <c r="AF18" s="212" t="s">
        <v>511</v>
      </c>
      <c r="AG18" s="201" t="s">
        <v>486</v>
      </c>
      <c r="AH18" s="201" t="s">
        <v>485</v>
      </c>
      <c r="AI18" s="217">
        <v>46171</v>
      </c>
      <c r="AJ18" s="201"/>
      <c r="AK18" s="224"/>
      <c r="AL18" s="224"/>
      <c r="AM18" s="224"/>
      <c r="AN18" s="201"/>
      <c r="AO18" s="218" t="str">
        <f t="shared" si="8"/>
        <v>Belshina</v>
      </c>
      <c r="AP18" s="201" t="s">
        <v>458</v>
      </c>
      <c r="AQ18" s="201"/>
      <c r="AR18" s="201"/>
      <c r="AS18" s="213"/>
      <c r="AT18" s="213"/>
      <c r="AU18" s="476" t="str">
        <f t="shared" ref="AU18:AU81" si="11">IF(OR(T18="Reject",AH18="Reject",AP18="Reject"),"Reject",IF(OR(T18="Hold",AH18="Hold",AP15="Hold"),"Hold","Ok"))</f>
        <v>Ok</v>
      </c>
      <c r="AV18" s="220">
        <v>46171</v>
      </c>
      <c r="AW18" s="221">
        <f t="shared" si="1"/>
        <v>2</v>
      </c>
      <c r="AX18" s="208">
        <f t="shared" si="2"/>
        <v>14</v>
      </c>
      <c r="AY18" s="222"/>
      <c r="AZ18" s="222"/>
      <c r="BA18" s="222"/>
      <c r="BB18" s="222"/>
      <c r="BC18" s="222"/>
      <c r="BD18" s="201"/>
      <c r="BE18" s="201"/>
      <c r="BF18" s="201"/>
      <c r="BG18" s="201"/>
      <c r="BH18" s="455">
        <v>46234</v>
      </c>
      <c r="BI18" s="215">
        <f t="shared" si="7"/>
        <v>2</v>
      </c>
      <c r="BJ18" s="208">
        <f t="shared" si="7"/>
        <v>14</v>
      </c>
      <c r="BK18" s="223">
        <v>1</v>
      </c>
      <c r="BL18" s="208">
        <v>8</v>
      </c>
      <c r="BM18" s="224" t="s">
        <v>222</v>
      </c>
      <c r="BN18" s="201"/>
      <c r="BO18" s="201"/>
      <c r="BP18" s="201"/>
    </row>
    <row r="19" spans="1:68" ht="15.5">
      <c r="A19" s="225">
        <v>28</v>
      </c>
      <c r="B19" s="204">
        <v>9</v>
      </c>
      <c r="C19" s="226">
        <v>46153</v>
      </c>
      <c r="D19" s="491">
        <f t="shared" si="3"/>
        <v>81</v>
      </c>
      <c r="E19" s="204" t="s">
        <v>75</v>
      </c>
      <c r="F19" s="205">
        <f t="shared" si="0"/>
        <v>46153</v>
      </c>
      <c r="G19" s="206" t="s">
        <v>175</v>
      </c>
      <c r="H19" s="207">
        <f t="shared" si="9"/>
        <v>46155</v>
      </c>
      <c r="I19" s="215">
        <v>2</v>
      </c>
      <c r="J19" s="208">
        <v>15</v>
      </c>
      <c r="K19" s="209">
        <v>0.115</v>
      </c>
      <c r="L19" s="210">
        <v>0.33250000000000002</v>
      </c>
      <c r="M19" s="210">
        <v>0.28000000000000003</v>
      </c>
      <c r="N19" s="211">
        <v>39.5</v>
      </c>
      <c r="O19" s="211">
        <f t="shared" si="4"/>
        <v>28.943625000000001</v>
      </c>
      <c r="P19" s="211">
        <v>73.275000000000006</v>
      </c>
      <c r="Q19" s="210">
        <v>0.21</v>
      </c>
      <c r="R19" s="212">
        <v>73</v>
      </c>
      <c r="S19" s="201" t="s">
        <v>427</v>
      </c>
      <c r="T19" s="201" t="s">
        <v>485</v>
      </c>
      <c r="U19" s="213"/>
      <c r="V19" s="214" t="s">
        <v>489</v>
      </c>
      <c r="W19" s="215">
        <f t="shared" si="5"/>
        <v>2</v>
      </c>
      <c r="X19" s="208">
        <f t="shared" si="5"/>
        <v>15</v>
      </c>
      <c r="Y19" s="209"/>
      <c r="Z19" s="210"/>
      <c r="AA19" s="210"/>
      <c r="AB19" s="211"/>
      <c r="AC19" s="211"/>
      <c r="AD19" s="211"/>
      <c r="AE19" s="210"/>
      <c r="AF19" s="212" t="s">
        <v>512</v>
      </c>
      <c r="AG19" s="201" t="str">
        <f>S19</f>
        <v>SNI</v>
      </c>
      <c r="AH19" s="201" t="s">
        <v>485</v>
      </c>
      <c r="AI19" s="217">
        <v>46171</v>
      </c>
      <c r="AJ19" s="201"/>
      <c r="AK19" s="224"/>
      <c r="AL19" s="201"/>
      <c r="AM19" s="201"/>
      <c r="AN19" s="201"/>
      <c r="AO19" s="218" t="str">
        <f t="shared" si="8"/>
        <v>SNI</v>
      </c>
      <c r="AP19" s="201" t="s">
        <v>458</v>
      </c>
      <c r="AQ19" s="201"/>
      <c r="AR19" s="201"/>
      <c r="AS19" s="213"/>
      <c r="AT19" s="213"/>
      <c r="AU19" s="476" t="str">
        <f t="shared" si="11"/>
        <v>Ok</v>
      </c>
      <c r="AV19" s="220">
        <v>46171</v>
      </c>
      <c r="AW19" s="221">
        <f t="shared" si="1"/>
        <v>2</v>
      </c>
      <c r="AX19" s="208">
        <f t="shared" si="2"/>
        <v>15</v>
      </c>
      <c r="AY19" s="222"/>
      <c r="AZ19" s="222"/>
      <c r="BA19" s="222"/>
      <c r="BB19" s="222"/>
      <c r="BC19" s="222"/>
      <c r="BD19" s="201"/>
      <c r="BE19" s="201"/>
      <c r="BF19" s="201"/>
      <c r="BG19" s="201"/>
      <c r="BH19" s="455">
        <v>46234</v>
      </c>
      <c r="BI19" s="215">
        <f t="shared" si="7"/>
        <v>2</v>
      </c>
      <c r="BJ19" s="208">
        <f t="shared" si="7"/>
        <v>15</v>
      </c>
      <c r="BK19" s="223">
        <v>2</v>
      </c>
      <c r="BL19" s="208">
        <v>9</v>
      </c>
      <c r="BM19" s="224" t="s">
        <v>222</v>
      </c>
      <c r="BN19" s="201"/>
      <c r="BO19" s="201"/>
      <c r="BP19" s="201"/>
    </row>
    <row r="20" spans="1:68" ht="15.5">
      <c r="A20" s="225">
        <v>28</v>
      </c>
      <c r="B20" s="204">
        <v>10</v>
      </c>
      <c r="C20" s="226">
        <v>46154</v>
      </c>
      <c r="D20" s="491">
        <f t="shared" si="3"/>
        <v>80</v>
      </c>
      <c r="E20" s="204" t="s">
        <v>75</v>
      </c>
      <c r="F20" s="205">
        <f t="shared" si="0"/>
        <v>46154</v>
      </c>
      <c r="G20" s="206" t="s">
        <v>175</v>
      </c>
      <c r="H20" s="207">
        <f t="shared" si="9"/>
        <v>46156</v>
      </c>
      <c r="I20" s="215">
        <v>2</v>
      </c>
      <c r="J20" s="208">
        <v>16</v>
      </c>
      <c r="K20" s="209">
        <v>0.11175</v>
      </c>
      <c r="L20" s="210">
        <v>0.30499999999999999</v>
      </c>
      <c r="M20" s="210">
        <v>0.34</v>
      </c>
      <c r="N20" s="211">
        <v>38</v>
      </c>
      <c r="O20" s="211">
        <f t="shared" si="4"/>
        <v>31.0365</v>
      </c>
      <c r="P20" s="211">
        <v>81.674999999999997</v>
      </c>
      <c r="Q20" s="210">
        <v>0.21</v>
      </c>
      <c r="R20" s="212">
        <v>73</v>
      </c>
      <c r="S20" s="201" t="s">
        <v>427</v>
      </c>
      <c r="T20" s="201" t="s">
        <v>485</v>
      </c>
      <c r="U20" s="213"/>
      <c r="V20" s="214" t="s">
        <v>489</v>
      </c>
      <c r="W20" s="215">
        <f t="shared" si="5"/>
        <v>2</v>
      </c>
      <c r="X20" s="208">
        <f t="shared" si="5"/>
        <v>16</v>
      </c>
      <c r="Y20" s="209"/>
      <c r="Z20" s="210"/>
      <c r="AA20" s="210"/>
      <c r="AB20" s="211"/>
      <c r="AC20" s="211"/>
      <c r="AD20" s="211"/>
      <c r="AE20" s="210"/>
      <c r="AF20" s="212" t="s">
        <v>513</v>
      </c>
      <c r="AG20" s="201" t="str">
        <f>S20</f>
        <v>SNI</v>
      </c>
      <c r="AH20" s="201" t="s">
        <v>485</v>
      </c>
      <c r="AI20" s="217">
        <v>46171</v>
      </c>
      <c r="AJ20" s="201"/>
      <c r="AK20" s="201"/>
      <c r="AL20" s="201"/>
      <c r="AM20" s="201"/>
      <c r="AN20" s="201"/>
      <c r="AO20" s="218" t="str">
        <f t="shared" si="8"/>
        <v>SNI</v>
      </c>
      <c r="AP20" s="201" t="s">
        <v>458</v>
      </c>
      <c r="AQ20" s="201"/>
      <c r="AR20" s="201"/>
      <c r="AS20" s="213"/>
      <c r="AT20" s="213"/>
      <c r="AU20" s="476" t="str">
        <f t="shared" si="11"/>
        <v>Ok</v>
      </c>
      <c r="AV20" s="220">
        <v>46171</v>
      </c>
      <c r="AW20" s="221">
        <f t="shared" si="1"/>
        <v>2</v>
      </c>
      <c r="AX20" s="208">
        <f t="shared" si="2"/>
        <v>16</v>
      </c>
      <c r="AY20" s="222"/>
      <c r="AZ20" s="222"/>
      <c r="BA20" s="222"/>
      <c r="BB20" s="222"/>
      <c r="BC20" s="222"/>
      <c r="BD20" s="201"/>
      <c r="BE20" s="201"/>
      <c r="BF20" s="201"/>
      <c r="BG20" s="201"/>
      <c r="BH20" s="455">
        <v>46234</v>
      </c>
      <c r="BI20" s="215">
        <f t="shared" si="7"/>
        <v>2</v>
      </c>
      <c r="BJ20" s="208">
        <f t="shared" si="7"/>
        <v>16</v>
      </c>
      <c r="BK20" s="223">
        <v>2</v>
      </c>
      <c r="BL20" s="208">
        <v>10</v>
      </c>
      <c r="BM20" s="224" t="s">
        <v>222</v>
      </c>
      <c r="BN20" s="201"/>
      <c r="BO20" s="201"/>
      <c r="BP20" s="201"/>
    </row>
    <row r="21" spans="1:68" ht="15.5">
      <c r="A21" s="225">
        <v>28</v>
      </c>
      <c r="B21" s="204">
        <v>10</v>
      </c>
      <c r="C21" s="226">
        <v>46154</v>
      </c>
      <c r="D21" s="491">
        <f t="shared" si="3"/>
        <v>80</v>
      </c>
      <c r="E21" s="204" t="s">
        <v>75</v>
      </c>
      <c r="F21" s="205">
        <f t="shared" si="0"/>
        <v>46154</v>
      </c>
      <c r="G21" s="206" t="s">
        <v>175</v>
      </c>
      <c r="H21" s="207">
        <f t="shared" si="9"/>
        <v>46156</v>
      </c>
      <c r="I21" s="215">
        <v>3</v>
      </c>
      <c r="J21" s="208">
        <v>17</v>
      </c>
      <c r="K21" s="209">
        <v>0.11125</v>
      </c>
      <c r="L21" s="210">
        <v>0.3</v>
      </c>
      <c r="M21" s="210">
        <v>0.28999999999999998</v>
      </c>
      <c r="N21" s="211">
        <v>38.5</v>
      </c>
      <c r="O21" s="211">
        <f t="shared" si="4"/>
        <v>27.989500000000003</v>
      </c>
      <c r="P21" s="211">
        <v>72.7</v>
      </c>
      <c r="Q21" s="210">
        <v>0.22</v>
      </c>
      <c r="R21" s="212">
        <v>73</v>
      </c>
      <c r="S21" s="201" t="s">
        <v>427</v>
      </c>
      <c r="T21" s="201" t="s">
        <v>485</v>
      </c>
      <c r="U21" s="213"/>
      <c r="V21" s="214" t="s">
        <v>489</v>
      </c>
      <c r="W21" s="215">
        <f t="shared" si="5"/>
        <v>3</v>
      </c>
      <c r="X21" s="208">
        <f t="shared" si="5"/>
        <v>17</v>
      </c>
      <c r="Y21" s="209"/>
      <c r="Z21" s="210"/>
      <c r="AA21" s="210"/>
      <c r="AB21" s="211"/>
      <c r="AC21" s="211"/>
      <c r="AD21" s="211"/>
      <c r="AE21" s="210"/>
      <c r="AF21" s="212" t="s">
        <v>514</v>
      </c>
      <c r="AG21" s="201" t="str">
        <f>S21</f>
        <v>SNI</v>
      </c>
      <c r="AH21" s="201" t="s">
        <v>485</v>
      </c>
      <c r="AI21" s="217">
        <v>46171</v>
      </c>
      <c r="AJ21" s="201"/>
      <c r="AK21" s="201"/>
      <c r="AL21" s="201"/>
      <c r="AM21" s="201"/>
      <c r="AN21" s="201"/>
      <c r="AO21" s="218" t="str">
        <f t="shared" si="8"/>
        <v>SNI</v>
      </c>
      <c r="AP21" s="201" t="s">
        <v>458</v>
      </c>
      <c r="AQ21" s="201"/>
      <c r="AR21" s="201"/>
      <c r="AS21" s="213"/>
      <c r="AT21" s="213"/>
      <c r="AU21" s="476" t="str">
        <f t="shared" si="11"/>
        <v>Ok</v>
      </c>
      <c r="AV21" s="220">
        <v>46171</v>
      </c>
      <c r="AW21" s="221">
        <f t="shared" si="1"/>
        <v>3</v>
      </c>
      <c r="AX21" s="208">
        <f t="shared" si="2"/>
        <v>17</v>
      </c>
      <c r="AY21" s="222"/>
      <c r="AZ21" s="222"/>
      <c r="BA21" s="222"/>
      <c r="BB21" s="222"/>
      <c r="BC21" s="222"/>
      <c r="BD21" s="201"/>
      <c r="BE21" s="201"/>
      <c r="BF21" s="201"/>
      <c r="BG21" s="201"/>
      <c r="BH21" s="455">
        <v>46234</v>
      </c>
      <c r="BI21" s="215">
        <f t="shared" si="7"/>
        <v>3</v>
      </c>
      <c r="BJ21" s="208">
        <f t="shared" si="7"/>
        <v>17</v>
      </c>
      <c r="BK21" s="223">
        <v>2</v>
      </c>
      <c r="BL21" s="208">
        <v>11</v>
      </c>
      <c r="BM21" s="224" t="s">
        <v>222</v>
      </c>
      <c r="BN21" s="201"/>
      <c r="BO21" s="201"/>
      <c r="BP21" s="201"/>
    </row>
    <row r="22" spans="1:68" ht="15.5">
      <c r="A22" s="225">
        <v>28</v>
      </c>
      <c r="B22" s="204">
        <v>10</v>
      </c>
      <c r="C22" s="226">
        <v>46154</v>
      </c>
      <c r="D22" s="491">
        <f t="shared" si="3"/>
        <v>80</v>
      </c>
      <c r="E22" s="204" t="s">
        <v>75</v>
      </c>
      <c r="F22" s="205">
        <f t="shared" si="0"/>
        <v>46154</v>
      </c>
      <c r="G22" s="206" t="s">
        <v>175</v>
      </c>
      <c r="H22" s="207">
        <f t="shared" si="9"/>
        <v>46156</v>
      </c>
      <c r="I22" s="215">
        <v>3</v>
      </c>
      <c r="J22" s="208">
        <v>18</v>
      </c>
      <c r="K22" s="209">
        <v>0.113</v>
      </c>
      <c r="L22" s="210">
        <v>0.28750000000000003</v>
      </c>
      <c r="M22" s="210">
        <v>0.26</v>
      </c>
      <c r="N22" s="211">
        <v>37.75</v>
      </c>
      <c r="O22" s="211">
        <f t="shared" si="4"/>
        <v>27.472562500000002</v>
      </c>
      <c r="P22" s="211">
        <v>72.775000000000006</v>
      </c>
      <c r="Q22" s="210">
        <v>0.22</v>
      </c>
      <c r="R22" s="212">
        <v>73</v>
      </c>
      <c r="S22" s="201" t="s">
        <v>427</v>
      </c>
      <c r="T22" s="201" t="s">
        <v>485</v>
      </c>
      <c r="U22" s="213"/>
      <c r="V22" s="214" t="s">
        <v>489</v>
      </c>
      <c r="W22" s="215">
        <f t="shared" si="5"/>
        <v>3</v>
      </c>
      <c r="X22" s="208">
        <f t="shared" si="5"/>
        <v>18</v>
      </c>
      <c r="Y22" s="209"/>
      <c r="Z22" s="210"/>
      <c r="AA22" s="210"/>
      <c r="AB22" s="216">
        <v>41</v>
      </c>
      <c r="AC22" s="211">
        <v>27.88</v>
      </c>
      <c r="AD22" s="211">
        <v>68</v>
      </c>
      <c r="AE22" s="210"/>
      <c r="AF22" s="212" t="s">
        <v>515</v>
      </c>
      <c r="AG22" s="201" t="s">
        <v>486</v>
      </c>
      <c r="AH22" s="201" t="s">
        <v>485</v>
      </c>
      <c r="AI22" s="217">
        <v>46171</v>
      </c>
      <c r="AJ22" s="201"/>
      <c r="AK22" s="201"/>
      <c r="AL22" s="201"/>
      <c r="AM22" s="201"/>
      <c r="AN22" s="201"/>
      <c r="AO22" s="218" t="str">
        <f t="shared" si="8"/>
        <v>Belshina</v>
      </c>
      <c r="AP22" s="201" t="s">
        <v>458</v>
      </c>
      <c r="AQ22" s="201"/>
      <c r="AR22" s="201"/>
      <c r="AS22" s="213"/>
      <c r="AT22" s="213"/>
      <c r="AU22" s="476" t="str">
        <f t="shared" si="11"/>
        <v>Ok</v>
      </c>
      <c r="AV22" s="220">
        <v>46171</v>
      </c>
      <c r="AW22" s="221">
        <f t="shared" si="1"/>
        <v>3</v>
      </c>
      <c r="AX22" s="208">
        <f t="shared" si="2"/>
        <v>18</v>
      </c>
      <c r="AY22" s="222"/>
      <c r="AZ22" s="222"/>
      <c r="BA22" s="222"/>
      <c r="BB22" s="222"/>
      <c r="BC22" s="222"/>
      <c r="BD22" s="201"/>
      <c r="BE22" s="201"/>
      <c r="BF22" s="201"/>
      <c r="BG22" s="201"/>
      <c r="BH22" s="455">
        <v>46234</v>
      </c>
      <c r="BI22" s="215">
        <f t="shared" si="7"/>
        <v>3</v>
      </c>
      <c r="BJ22" s="208">
        <f t="shared" si="7"/>
        <v>18</v>
      </c>
      <c r="BK22" s="223">
        <v>2</v>
      </c>
      <c r="BL22" s="208">
        <v>12</v>
      </c>
      <c r="BM22" s="224" t="s">
        <v>222</v>
      </c>
      <c r="BN22" s="201"/>
      <c r="BO22" s="201"/>
      <c r="BP22" s="201"/>
    </row>
    <row r="23" spans="1:68" ht="15.5">
      <c r="A23" s="225">
        <v>28</v>
      </c>
      <c r="B23" s="204">
        <v>10</v>
      </c>
      <c r="C23" s="226">
        <v>46154</v>
      </c>
      <c r="D23" s="491">
        <f t="shared" si="3"/>
        <v>80</v>
      </c>
      <c r="E23" s="204" t="s">
        <v>75</v>
      </c>
      <c r="F23" s="205">
        <f t="shared" si="0"/>
        <v>46154</v>
      </c>
      <c r="G23" s="206" t="s">
        <v>175</v>
      </c>
      <c r="H23" s="207">
        <f t="shared" si="9"/>
        <v>46156</v>
      </c>
      <c r="I23" s="215">
        <v>3</v>
      </c>
      <c r="J23" s="208">
        <v>19</v>
      </c>
      <c r="K23" s="209">
        <v>0.11549999999999999</v>
      </c>
      <c r="L23" s="210">
        <v>0.29000000000000004</v>
      </c>
      <c r="M23" s="210">
        <v>0.3</v>
      </c>
      <c r="N23" s="211">
        <v>39.75</v>
      </c>
      <c r="O23" s="211">
        <f t="shared" si="4"/>
        <v>27.258562500000004</v>
      </c>
      <c r="P23" s="211">
        <v>68.575000000000003</v>
      </c>
      <c r="Q23" s="210">
        <v>0.22</v>
      </c>
      <c r="R23" s="212">
        <v>73</v>
      </c>
      <c r="S23" s="201" t="s">
        <v>427</v>
      </c>
      <c r="T23" s="201" t="s">
        <v>485</v>
      </c>
      <c r="U23" s="213"/>
      <c r="V23" s="214" t="s">
        <v>489</v>
      </c>
      <c r="W23" s="215">
        <f t="shared" si="5"/>
        <v>3</v>
      </c>
      <c r="X23" s="208">
        <f t="shared" si="5"/>
        <v>19</v>
      </c>
      <c r="Y23" s="209"/>
      <c r="Z23" s="210"/>
      <c r="AA23" s="210"/>
      <c r="AB23" s="211"/>
      <c r="AC23" s="211"/>
      <c r="AD23" s="211"/>
      <c r="AE23" s="210"/>
      <c r="AF23" s="212" t="s">
        <v>516</v>
      </c>
      <c r="AG23" s="201" t="str">
        <f>S23</f>
        <v>SNI</v>
      </c>
      <c r="AH23" s="201" t="s">
        <v>485</v>
      </c>
      <c r="AI23" s="217">
        <v>46171</v>
      </c>
      <c r="AJ23" s="201"/>
      <c r="AK23" s="201"/>
      <c r="AL23" s="201"/>
      <c r="AM23" s="201"/>
      <c r="AN23" s="201"/>
      <c r="AO23" s="218" t="str">
        <f t="shared" si="8"/>
        <v>SNI</v>
      </c>
      <c r="AP23" s="201" t="s">
        <v>458</v>
      </c>
      <c r="AQ23" s="201"/>
      <c r="AR23" s="201"/>
      <c r="AS23" s="213"/>
      <c r="AT23" s="213"/>
      <c r="AU23" s="476" t="str">
        <f t="shared" si="11"/>
        <v>Ok</v>
      </c>
      <c r="AV23" s="220">
        <v>46171</v>
      </c>
      <c r="AW23" s="221">
        <f t="shared" si="1"/>
        <v>3</v>
      </c>
      <c r="AX23" s="208">
        <f t="shared" si="2"/>
        <v>19</v>
      </c>
      <c r="AY23" s="222"/>
      <c r="AZ23" s="222"/>
      <c r="BA23" s="222"/>
      <c r="BB23" s="222"/>
      <c r="BC23" s="222"/>
      <c r="BD23" s="201"/>
      <c r="BE23" s="201"/>
      <c r="BF23" s="201"/>
      <c r="BG23" s="201"/>
      <c r="BH23" s="455">
        <v>46234</v>
      </c>
      <c r="BI23" s="215">
        <f t="shared" si="7"/>
        <v>3</v>
      </c>
      <c r="BJ23" s="208">
        <f t="shared" si="7"/>
        <v>19</v>
      </c>
      <c r="BK23" s="223">
        <v>2</v>
      </c>
      <c r="BL23" s="208">
        <v>13</v>
      </c>
      <c r="BM23" s="224" t="s">
        <v>222</v>
      </c>
      <c r="BN23" s="201"/>
      <c r="BO23" s="201"/>
      <c r="BP23" s="201"/>
    </row>
    <row r="24" spans="1:68" ht="15.5">
      <c r="A24" s="225">
        <v>28</v>
      </c>
      <c r="B24" s="204">
        <v>10</v>
      </c>
      <c r="C24" s="226">
        <v>46154</v>
      </c>
      <c r="D24" s="491">
        <f t="shared" si="3"/>
        <v>80</v>
      </c>
      <c r="E24" s="204" t="s">
        <v>75</v>
      </c>
      <c r="F24" s="205">
        <f t="shared" si="0"/>
        <v>46154</v>
      </c>
      <c r="G24" s="206" t="s">
        <v>175</v>
      </c>
      <c r="H24" s="207">
        <f t="shared" si="9"/>
        <v>46156</v>
      </c>
      <c r="I24" s="215">
        <v>3</v>
      </c>
      <c r="J24" s="208">
        <v>20</v>
      </c>
      <c r="K24" s="209">
        <v>0.11475</v>
      </c>
      <c r="L24" s="210">
        <v>0.3</v>
      </c>
      <c r="M24" s="210">
        <v>0.27</v>
      </c>
      <c r="N24" s="211">
        <v>38.5</v>
      </c>
      <c r="O24" s="211">
        <f t="shared" si="4"/>
        <v>25.997125</v>
      </c>
      <c r="P24" s="211">
        <v>67.525000000000006</v>
      </c>
      <c r="Q24" s="210">
        <v>0.22</v>
      </c>
      <c r="R24" s="212">
        <v>73</v>
      </c>
      <c r="S24" s="201" t="s">
        <v>427</v>
      </c>
      <c r="T24" s="201" t="s">
        <v>485</v>
      </c>
      <c r="U24" s="213"/>
      <c r="V24" s="214" t="s">
        <v>489</v>
      </c>
      <c r="W24" s="215">
        <f t="shared" si="5"/>
        <v>3</v>
      </c>
      <c r="X24" s="208">
        <f t="shared" si="5"/>
        <v>20</v>
      </c>
      <c r="Y24" s="209"/>
      <c r="Z24" s="210"/>
      <c r="AA24" s="210"/>
      <c r="AB24" s="216">
        <v>38</v>
      </c>
      <c r="AC24" s="211">
        <v>28.12</v>
      </c>
      <c r="AD24" s="211">
        <v>74</v>
      </c>
      <c r="AE24" s="210"/>
      <c r="AF24" s="212" t="s">
        <v>517</v>
      </c>
      <c r="AG24" s="201" t="s">
        <v>486</v>
      </c>
      <c r="AH24" s="201" t="s">
        <v>485</v>
      </c>
      <c r="AI24" s="217">
        <v>46171</v>
      </c>
      <c r="AJ24" s="201"/>
      <c r="AK24" s="201"/>
      <c r="AL24" s="201"/>
      <c r="AM24" s="201"/>
      <c r="AN24" s="201"/>
      <c r="AO24" s="218" t="str">
        <f t="shared" si="8"/>
        <v>Belshina</v>
      </c>
      <c r="AP24" s="201" t="s">
        <v>458</v>
      </c>
      <c r="AQ24" s="201"/>
      <c r="AR24" s="201"/>
      <c r="AS24" s="213"/>
      <c r="AT24" s="213"/>
      <c r="AU24" s="476" t="str">
        <f t="shared" si="11"/>
        <v>Ok</v>
      </c>
      <c r="AV24" s="220">
        <v>46171</v>
      </c>
      <c r="AW24" s="221">
        <f t="shared" si="1"/>
        <v>3</v>
      </c>
      <c r="AX24" s="208">
        <f t="shared" si="2"/>
        <v>20</v>
      </c>
      <c r="AY24" s="222"/>
      <c r="AZ24" s="222"/>
      <c r="BA24" s="222"/>
      <c r="BB24" s="222"/>
      <c r="BC24" s="222"/>
      <c r="BD24" s="201"/>
      <c r="BE24" s="201"/>
      <c r="BF24" s="201"/>
      <c r="BG24" s="201"/>
      <c r="BH24" s="455">
        <v>46234</v>
      </c>
      <c r="BI24" s="215">
        <f t="shared" si="7"/>
        <v>3</v>
      </c>
      <c r="BJ24" s="208">
        <f t="shared" si="7"/>
        <v>20</v>
      </c>
      <c r="BK24" s="223">
        <v>2</v>
      </c>
      <c r="BL24" s="208">
        <v>14</v>
      </c>
      <c r="BM24" s="224" t="s">
        <v>222</v>
      </c>
      <c r="BN24" s="201"/>
      <c r="BO24" s="201"/>
      <c r="BP24" s="201"/>
    </row>
    <row r="25" spans="1:68" ht="15.5">
      <c r="A25" s="225">
        <v>28</v>
      </c>
      <c r="B25" s="204">
        <v>10</v>
      </c>
      <c r="C25" s="226">
        <v>46154</v>
      </c>
      <c r="D25" s="491">
        <f t="shared" si="3"/>
        <v>80</v>
      </c>
      <c r="E25" s="204" t="s">
        <v>75</v>
      </c>
      <c r="F25" s="205">
        <f t="shared" si="0"/>
        <v>46154</v>
      </c>
      <c r="G25" s="206" t="s">
        <v>175</v>
      </c>
      <c r="H25" s="207">
        <f t="shared" si="9"/>
        <v>46156</v>
      </c>
      <c r="I25" s="215">
        <v>3</v>
      </c>
      <c r="J25" s="208">
        <v>21</v>
      </c>
      <c r="K25" s="209">
        <v>0.11749999999999999</v>
      </c>
      <c r="L25" s="210">
        <v>0.31</v>
      </c>
      <c r="M25" s="210">
        <v>0.37</v>
      </c>
      <c r="N25" s="211">
        <v>38.25</v>
      </c>
      <c r="O25" s="211">
        <f t="shared" si="4"/>
        <v>26.794124999999998</v>
      </c>
      <c r="P25" s="211">
        <v>70.05</v>
      </c>
      <c r="Q25" s="210">
        <v>0.22</v>
      </c>
      <c r="R25" s="212">
        <v>74</v>
      </c>
      <c r="S25" s="201" t="s">
        <v>427</v>
      </c>
      <c r="T25" s="201" t="s">
        <v>485</v>
      </c>
      <c r="U25" s="213"/>
      <c r="V25" s="214" t="s">
        <v>489</v>
      </c>
      <c r="W25" s="215">
        <f t="shared" si="5"/>
        <v>3</v>
      </c>
      <c r="X25" s="208">
        <f t="shared" si="5"/>
        <v>21</v>
      </c>
      <c r="Y25" s="209"/>
      <c r="Z25" s="210"/>
      <c r="AA25" s="210"/>
      <c r="AB25" s="211"/>
      <c r="AC25" s="211"/>
      <c r="AD25" s="211"/>
      <c r="AE25" s="210"/>
      <c r="AF25" s="212" t="s">
        <v>518</v>
      </c>
      <c r="AG25" s="201" t="str">
        <f>S25</f>
        <v>SNI</v>
      </c>
      <c r="AH25" s="201" t="s">
        <v>485</v>
      </c>
      <c r="AI25" s="217">
        <v>46171</v>
      </c>
      <c r="AJ25" s="201"/>
      <c r="AK25" s="201"/>
      <c r="AL25" s="201"/>
      <c r="AM25" s="201"/>
      <c r="AN25" s="201"/>
      <c r="AO25" s="218" t="str">
        <f t="shared" si="8"/>
        <v>SNI</v>
      </c>
      <c r="AP25" s="201" t="s">
        <v>458</v>
      </c>
      <c r="AQ25" s="201"/>
      <c r="AR25" s="201"/>
      <c r="AS25" s="213"/>
      <c r="AT25" s="213"/>
      <c r="AU25" s="476" t="str">
        <f t="shared" si="11"/>
        <v>Ok</v>
      </c>
      <c r="AV25" s="220">
        <v>46171</v>
      </c>
      <c r="AW25" s="221">
        <f t="shared" si="1"/>
        <v>3</v>
      </c>
      <c r="AX25" s="208">
        <f t="shared" si="2"/>
        <v>21</v>
      </c>
      <c r="AY25" s="222"/>
      <c r="AZ25" s="222"/>
      <c r="BA25" s="222"/>
      <c r="BB25" s="222"/>
      <c r="BC25" s="222"/>
      <c r="BD25" s="201"/>
      <c r="BE25" s="201"/>
      <c r="BF25" s="201"/>
      <c r="BG25" s="201"/>
      <c r="BH25" s="455">
        <v>46234</v>
      </c>
      <c r="BI25" s="215">
        <f t="shared" si="7"/>
        <v>3</v>
      </c>
      <c r="BJ25" s="208">
        <f t="shared" si="7"/>
        <v>21</v>
      </c>
      <c r="BK25" s="223">
        <v>2</v>
      </c>
      <c r="BL25" s="208">
        <v>15</v>
      </c>
      <c r="BM25" s="224" t="s">
        <v>222</v>
      </c>
      <c r="BN25" s="201"/>
      <c r="BO25" s="201"/>
      <c r="BP25" s="201"/>
    </row>
    <row r="26" spans="1:68" s="549" customFormat="1" ht="15.5">
      <c r="A26" s="251">
        <v>28</v>
      </c>
      <c r="B26" s="479" t="s">
        <v>766</v>
      </c>
      <c r="C26" s="253">
        <v>46155</v>
      </c>
      <c r="D26" s="491">
        <f t="shared" si="3"/>
        <v>127</v>
      </c>
      <c r="E26" s="252" t="s">
        <v>75</v>
      </c>
      <c r="F26" s="254">
        <f t="shared" si="0"/>
        <v>46155</v>
      </c>
      <c r="G26" s="255" t="s">
        <v>175</v>
      </c>
      <c r="H26" s="256">
        <f t="shared" si="9"/>
        <v>46157</v>
      </c>
      <c r="I26" s="264">
        <v>3</v>
      </c>
      <c r="J26" s="257">
        <v>22</v>
      </c>
      <c r="K26" s="258">
        <v>0.11225</v>
      </c>
      <c r="L26" s="259">
        <v>0.315</v>
      </c>
      <c r="M26" s="259">
        <v>0.35</v>
      </c>
      <c r="N26" s="260">
        <v>35.5</v>
      </c>
      <c r="O26" s="260">
        <f t="shared" si="4"/>
        <v>24.992000000000004</v>
      </c>
      <c r="P26" s="260">
        <v>70.400000000000006</v>
      </c>
      <c r="Q26" s="259">
        <v>0.22</v>
      </c>
      <c r="R26" s="261">
        <v>74</v>
      </c>
      <c r="S26" s="262" t="s">
        <v>427</v>
      </c>
      <c r="T26" s="262" t="s">
        <v>485</v>
      </c>
      <c r="U26" s="269"/>
      <c r="V26" s="263" t="s">
        <v>489</v>
      </c>
      <c r="W26" s="264">
        <f t="shared" si="5"/>
        <v>3</v>
      </c>
      <c r="X26" s="257">
        <f t="shared" si="5"/>
        <v>22</v>
      </c>
      <c r="Y26" s="258"/>
      <c r="Z26" s="259"/>
      <c r="AA26" s="259"/>
      <c r="AB26" s="260"/>
      <c r="AC26" s="260"/>
      <c r="AD26" s="260"/>
      <c r="AE26" s="259"/>
      <c r="AF26" s="261" t="s">
        <v>519</v>
      </c>
      <c r="AG26" s="262" t="str">
        <f>S26</f>
        <v>SNI</v>
      </c>
      <c r="AH26" s="262" t="s">
        <v>485</v>
      </c>
      <c r="AI26" s="266">
        <v>46240</v>
      </c>
      <c r="AJ26" s="262"/>
      <c r="AK26" s="262"/>
      <c r="AL26" s="267" t="s">
        <v>222</v>
      </c>
      <c r="AM26" s="262"/>
      <c r="AN26" s="262"/>
      <c r="AO26" s="268" t="str">
        <f t="shared" si="8"/>
        <v>SNI</v>
      </c>
      <c r="AP26" s="269" t="s">
        <v>459</v>
      </c>
      <c r="AQ26" s="269" t="s">
        <v>471</v>
      </c>
      <c r="AR26" s="262"/>
      <c r="AS26" s="269"/>
      <c r="AT26" s="269"/>
      <c r="AU26" s="476" t="str">
        <f t="shared" si="11"/>
        <v>Reject</v>
      </c>
      <c r="AV26" s="270">
        <v>46171</v>
      </c>
      <c r="AW26" s="271">
        <f t="shared" si="1"/>
        <v>3</v>
      </c>
      <c r="AX26" s="257">
        <f t="shared" si="2"/>
        <v>22</v>
      </c>
      <c r="AY26" s="272"/>
      <c r="AZ26" s="272"/>
      <c r="BA26" s="272" t="s">
        <v>222</v>
      </c>
      <c r="BB26" s="272"/>
      <c r="BC26" s="272"/>
      <c r="BD26" s="262" t="s">
        <v>459</v>
      </c>
      <c r="BE26" s="262" t="s">
        <v>471</v>
      </c>
      <c r="BF26" s="219" t="s">
        <v>496</v>
      </c>
      <c r="BG26" s="219" t="s">
        <v>497</v>
      </c>
      <c r="BH26" s="455">
        <v>46282</v>
      </c>
      <c r="BI26" s="264">
        <f t="shared" si="7"/>
        <v>3</v>
      </c>
      <c r="BJ26" s="257">
        <f t="shared" si="7"/>
        <v>22</v>
      </c>
      <c r="BK26" s="273">
        <v>23</v>
      </c>
      <c r="BL26" s="257">
        <v>192</v>
      </c>
      <c r="BM26" s="267" t="s">
        <v>222</v>
      </c>
      <c r="BN26" s="201" t="s">
        <v>520</v>
      </c>
      <c r="BO26" s="262" t="s">
        <v>471</v>
      </c>
      <c r="BP26" s="201" t="s">
        <v>499</v>
      </c>
    </row>
    <row r="27" spans="1:68" s="549" customFormat="1" ht="15.5">
      <c r="A27" s="228">
        <v>28</v>
      </c>
      <c r="B27" s="480" t="s">
        <v>589</v>
      </c>
      <c r="C27" s="229">
        <v>46157</v>
      </c>
      <c r="D27" s="174">
        <f t="shared" si="3"/>
        <v>-46157</v>
      </c>
      <c r="E27" s="81" t="s">
        <v>75</v>
      </c>
      <c r="F27" s="230">
        <f t="shared" si="0"/>
        <v>46157</v>
      </c>
      <c r="G27" s="231" t="s">
        <v>175</v>
      </c>
      <c r="H27" s="232">
        <f t="shared" si="9"/>
        <v>46159</v>
      </c>
      <c r="I27" s="233">
        <v>3</v>
      </c>
      <c r="J27" s="234">
        <v>23</v>
      </c>
      <c r="K27" s="235">
        <v>0.11075</v>
      </c>
      <c r="L27" s="236">
        <v>0.33250000000000002</v>
      </c>
      <c r="M27" s="236">
        <v>0.35</v>
      </c>
      <c r="N27" s="237">
        <v>38.25</v>
      </c>
      <c r="O27" s="237">
        <f t="shared" si="4"/>
        <v>27.090562500000001</v>
      </c>
      <c r="P27" s="237">
        <v>70.825000000000003</v>
      </c>
      <c r="Q27" s="236">
        <v>0.22</v>
      </c>
      <c r="R27" s="238">
        <v>74</v>
      </c>
      <c r="S27" s="239" t="s">
        <v>427</v>
      </c>
      <c r="T27" s="239" t="s">
        <v>485</v>
      </c>
      <c r="U27" s="245"/>
      <c r="V27" s="240" t="s">
        <v>489</v>
      </c>
      <c r="W27" s="233">
        <f t="shared" si="5"/>
        <v>3</v>
      </c>
      <c r="X27" s="234">
        <f t="shared" si="5"/>
        <v>23</v>
      </c>
      <c r="Y27" s="235"/>
      <c r="Z27" s="236"/>
      <c r="AA27" s="236"/>
      <c r="AB27" s="237"/>
      <c r="AC27" s="237"/>
      <c r="AD27" s="237"/>
      <c r="AE27" s="236"/>
      <c r="AF27" s="238" t="s">
        <v>521</v>
      </c>
      <c r="AG27" s="239" t="str">
        <f>S27</f>
        <v>SNI</v>
      </c>
      <c r="AH27" s="239" t="s">
        <v>485</v>
      </c>
      <c r="AI27" s="242">
        <v>46240</v>
      </c>
      <c r="AJ27" s="239"/>
      <c r="AK27" s="239"/>
      <c r="AL27" s="243" t="s">
        <v>222</v>
      </c>
      <c r="AM27" s="239"/>
      <c r="AN27" s="239"/>
      <c r="AO27" s="244" t="str">
        <f t="shared" si="8"/>
        <v>SNI</v>
      </c>
      <c r="AP27" s="245" t="s">
        <v>459</v>
      </c>
      <c r="AQ27" s="245" t="s">
        <v>471</v>
      </c>
      <c r="AR27" s="239"/>
      <c r="AS27" s="245"/>
      <c r="AT27" s="245"/>
      <c r="AU27" s="476" t="str">
        <f t="shared" si="11"/>
        <v>Reject</v>
      </c>
      <c r="AV27" s="246">
        <v>46171</v>
      </c>
      <c r="AW27" s="247">
        <f t="shared" si="1"/>
        <v>3</v>
      </c>
      <c r="AX27" s="234">
        <f t="shared" si="2"/>
        <v>23</v>
      </c>
      <c r="AY27" s="248"/>
      <c r="AZ27" s="248"/>
      <c r="BA27" s="248" t="s">
        <v>222</v>
      </c>
      <c r="BB27" s="248"/>
      <c r="BC27" s="248"/>
      <c r="BD27" s="239" t="s">
        <v>459</v>
      </c>
      <c r="BE27" s="239" t="s">
        <v>471</v>
      </c>
      <c r="BF27" s="23" t="s">
        <v>496</v>
      </c>
      <c r="BG27" s="23" t="s">
        <v>497</v>
      </c>
      <c r="BH27" s="23"/>
      <c r="BI27" s="233">
        <f t="shared" si="7"/>
        <v>3</v>
      </c>
      <c r="BJ27" s="234">
        <f t="shared" si="7"/>
        <v>23</v>
      </c>
      <c r="BK27" s="249"/>
      <c r="BL27" s="234"/>
      <c r="BM27" s="243"/>
      <c r="BN27" s="141" t="s">
        <v>498</v>
      </c>
      <c r="BO27" s="239" t="s">
        <v>471</v>
      </c>
      <c r="BP27" s="141" t="s">
        <v>499</v>
      </c>
    </row>
    <row r="28" spans="1:68" s="549" customFormat="1" ht="15.5">
      <c r="A28" s="251">
        <v>28</v>
      </c>
      <c r="B28" s="252">
        <v>12</v>
      </c>
      <c r="C28" s="253">
        <v>46157</v>
      </c>
      <c r="D28" s="491">
        <f t="shared" si="3"/>
        <v>131</v>
      </c>
      <c r="E28" s="252" t="s">
        <v>75</v>
      </c>
      <c r="F28" s="254">
        <f t="shared" si="0"/>
        <v>46157</v>
      </c>
      <c r="G28" s="255" t="s">
        <v>175</v>
      </c>
      <c r="H28" s="256">
        <f t="shared" si="9"/>
        <v>46159</v>
      </c>
      <c r="I28" s="264">
        <v>3</v>
      </c>
      <c r="J28" s="257">
        <v>24</v>
      </c>
      <c r="K28" s="258">
        <v>0.10925</v>
      </c>
      <c r="L28" s="259">
        <v>0.33500000000000002</v>
      </c>
      <c r="M28" s="259">
        <v>0.38</v>
      </c>
      <c r="N28" s="260">
        <v>40.5</v>
      </c>
      <c r="O28" s="260">
        <f t="shared" si="4"/>
        <v>28.258875000000003</v>
      </c>
      <c r="P28" s="260">
        <v>69.775000000000006</v>
      </c>
      <c r="Q28" s="259">
        <v>0.22</v>
      </c>
      <c r="R28" s="261">
        <v>74</v>
      </c>
      <c r="S28" s="262" t="s">
        <v>427</v>
      </c>
      <c r="T28" s="262" t="s">
        <v>485</v>
      </c>
      <c r="U28" s="269"/>
      <c r="V28" s="263" t="s">
        <v>489</v>
      </c>
      <c r="W28" s="264">
        <f t="shared" si="5"/>
        <v>3</v>
      </c>
      <c r="X28" s="257">
        <f t="shared" si="5"/>
        <v>24</v>
      </c>
      <c r="Y28" s="258"/>
      <c r="Z28" s="259"/>
      <c r="AA28" s="259"/>
      <c r="AB28" s="260"/>
      <c r="AC28" s="260"/>
      <c r="AD28" s="260"/>
      <c r="AE28" s="259"/>
      <c r="AF28" s="261" t="s">
        <v>522</v>
      </c>
      <c r="AG28" s="262" t="str">
        <f>S28</f>
        <v>SNI</v>
      </c>
      <c r="AH28" s="262" t="s">
        <v>485</v>
      </c>
      <c r="AI28" s="266">
        <v>46240</v>
      </c>
      <c r="AJ28" s="262"/>
      <c r="AK28" s="262"/>
      <c r="AL28" s="267" t="s">
        <v>222</v>
      </c>
      <c r="AM28" s="262"/>
      <c r="AN28" s="262"/>
      <c r="AO28" s="268" t="str">
        <f t="shared" si="8"/>
        <v>SNI</v>
      </c>
      <c r="AP28" s="269" t="s">
        <v>459</v>
      </c>
      <c r="AQ28" s="269" t="s">
        <v>471</v>
      </c>
      <c r="AR28" s="262"/>
      <c r="AS28" s="269"/>
      <c r="AT28" s="269"/>
      <c r="AU28" s="476" t="str">
        <f t="shared" si="11"/>
        <v>Reject</v>
      </c>
      <c r="AV28" s="270">
        <v>46171</v>
      </c>
      <c r="AW28" s="271">
        <f t="shared" si="1"/>
        <v>3</v>
      </c>
      <c r="AX28" s="257">
        <f t="shared" si="2"/>
        <v>24</v>
      </c>
      <c r="AY28" s="272"/>
      <c r="AZ28" s="272"/>
      <c r="BA28" s="272" t="s">
        <v>222</v>
      </c>
      <c r="BB28" s="272"/>
      <c r="BC28" s="272"/>
      <c r="BD28" s="262" t="s">
        <v>459</v>
      </c>
      <c r="BE28" s="262" t="s">
        <v>471</v>
      </c>
      <c r="BF28" s="219" t="s">
        <v>496</v>
      </c>
      <c r="BG28" s="219" t="s">
        <v>497</v>
      </c>
      <c r="BH28" s="455">
        <v>46288</v>
      </c>
      <c r="BI28" s="264">
        <f t="shared" si="7"/>
        <v>3</v>
      </c>
      <c r="BJ28" s="257">
        <f t="shared" si="7"/>
        <v>24</v>
      </c>
      <c r="BK28" s="273">
        <v>27</v>
      </c>
      <c r="BL28" s="257">
        <v>237</v>
      </c>
      <c r="BM28" s="267"/>
      <c r="BN28" s="201" t="s">
        <v>520</v>
      </c>
      <c r="BO28" s="262" t="s">
        <v>471</v>
      </c>
      <c r="BP28" s="201" t="s">
        <v>499</v>
      </c>
    </row>
    <row r="29" spans="1:68" ht="15.5">
      <c r="A29" s="225">
        <v>28</v>
      </c>
      <c r="B29" s="204">
        <v>12</v>
      </c>
      <c r="C29" s="226">
        <v>46157</v>
      </c>
      <c r="D29" s="491">
        <f t="shared" si="3"/>
        <v>77</v>
      </c>
      <c r="E29" s="204" t="s">
        <v>75</v>
      </c>
      <c r="F29" s="205">
        <f t="shared" si="0"/>
        <v>46157</v>
      </c>
      <c r="G29" s="206" t="s">
        <v>175</v>
      </c>
      <c r="H29" s="207">
        <f t="shared" si="9"/>
        <v>46159</v>
      </c>
      <c r="I29" s="215">
        <v>4</v>
      </c>
      <c r="J29" s="208">
        <v>25</v>
      </c>
      <c r="K29" s="209">
        <v>0.113</v>
      </c>
      <c r="L29" s="210">
        <v>0.35499999999999998</v>
      </c>
      <c r="M29" s="210">
        <v>0.27</v>
      </c>
      <c r="N29" s="211">
        <v>43</v>
      </c>
      <c r="O29" s="211">
        <f t="shared" si="4"/>
        <v>28.261749999999996</v>
      </c>
      <c r="P29" s="211">
        <v>65.724999999999994</v>
      </c>
      <c r="Q29" s="210">
        <v>0.22</v>
      </c>
      <c r="R29" s="212">
        <v>74</v>
      </c>
      <c r="S29" s="201" t="s">
        <v>427</v>
      </c>
      <c r="T29" s="201" t="s">
        <v>485</v>
      </c>
      <c r="U29" s="213"/>
      <c r="V29" s="214" t="s">
        <v>489</v>
      </c>
      <c r="W29" s="215">
        <f t="shared" si="5"/>
        <v>4</v>
      </c>
      <c r="X29" s="208">
        <f t="shared" si="5"/>
        <v>25</v>
      </c>
      <c r="Y29" s="209"/>
      <c r="Z29" s="210"/>
      <c r="AA29" s="210"/>
      <c r="AB29" s="216">
        <v>44</v>
      </c>
      <c r="AC29" s="211">
        <v>29.04</v>
      </c>
      <c r="AD29" s="211">
        <v>66</v>
      </c>
      <c r="AE29" s="210"/>
      <c r="AF29" s="212" t="s">
        <v>523</v>
      </c>
      <c r="AG29" s="201" t="s">
        <v>486</v>
      </c>
      <c r="AH29" s="201" t="s">
        <v>485</v>
      </c>
      <c r="AI29" s="217">
        <v>46171</v>
      </c>
      <c r="AJ29" s="201"/>
      <c r="AK29" s="201"/>
      <c r="AL29" s="201"/>
      <c r="AM29" s="201"/>
      <c r="AN29" s="201"/>
      <c r="AO29" s="218" t="str">
        <f t="shared" si="8"/>
        <v>Belshina</v>
      </c>
      <c r="AP29" s="201" t="s">
        <v>458</v>
      </c>
      <c r="AQ29" s="201"/>
      <c r="AR29" s="201"/>
      <c r="AS29" s="213"/>
      <c r="AT29" s="213"/>
      <c r="AU29" s="476" t="str">
        <f t="shared" si="11"/>
        <v>Ok</v>
      </c>
      <c r="AV29" s="220">
        <v>46171</v>
      </c>
      <c r="AW29" s="221">
        <f t="shared" si="1"/>
        <v>4</v>
      </c>
      <c r="AX29" s="208">
        <f t="shared" si="2"/>
        <v>25</v>
      </c>
      <c r="AY29" s="222"/>
      <c r="AZ29" s="222"/>
      <c r="BA29" s="222"/>
      <c r="BB29" s="222"/>
      <c r="BC29" s="222"/>
      <c r="BD29" s="201"/>
      <c r="BE29" s="201"/>
      <c r="BF29" s="201"/>
      <c r="BG29" s="201"/>
      <c r="BH29" s="455">
        <v>46234</v>
      </c>
      <c r="BI29" s="215">
        <f t="shared" si="7"/>
        <v>4</v>
      </c>
      <c r="BJ29" s="208">
        <f t="shared" si="7"/>
        <v>25</v>
      </c>
      <c r="BK29" s="223">
        <v>2</v>
      </c>
      <c r="BL29" s="208">
        <v>16</v>
      </c>
      <c r="BM29" s="224" t="s">
        <v>222</v>
      </c>
      <c r="BN29" s="201"/>
      <c r="BO29" s="201"/>
      <c r="BP29" s="201"/>
    </row>
    <row r="30" spans="1:68" ht="15.5">
      <c r="A30" s="225">
        <v>28</v>
      </c>
      <c r="B30" s="204">
        <v>12</v>
      </c>
      <c r="C30" s="226">
        <v>46157</v>
      </c>
      <c r="D30" s="491">
        <f t="shared" si="3"/>
        <v>77</v>
      </c>
      <c r="E30" s="204" t="s">
        <v>75</v>
      </c>
      <c r="F30" s="205">
        <f t="shared" si="0"/>
        <v>46157</v>
      </c>
      <c r="G30" s="206" t="s">
        <v>175</v>
      </c>
      <c r="H30" s="207">
        <f t="shared" si="9"/>
        <v>46159</v>
      </c>
      <c r="I30" s="215">
        <v>4</v>
      </c>
      <c r="J30" s="208">
        <v>26</v>
      </c>
      <c r="K30" s="209">
        <v>0.1135</v>
      </c>
      <c r="L30" s="210">
        <v>0.315</v>
      </c>
      <c r="M30" s="210">
        <v>0.28999999999999998</v>
      </c>
      <c r="N30" s="211">
        <v>42.25</v>
      </c>
      <c r="O30" s="211">
        <f t="shared" si="4"/>
        <v>28.751125000000005</v>
      </c>
      <c r="P30" s="211">
        <v>68.050000000000011</v>
      </c>
      <c r="Q30" s="210">
        <v>0.22</v>
      </c>
      <c r="R30" s="212">
        <v>74</v>
      </c>
      <c r="S30" s="201" t="s">
        <v>427</v>
      </c>
      <c r="T30" s="201" t="s">
        <v>485</v>
      </c>
      <c r="U30" s="213"/>
      <c r="V30" s="214" t="s">
        <v>489</v>
      </c>
      <c r="W30" s="215">
        <f t="shared" si="5"/>
        <v>4</v>
      </c>
      <c r="X30" s="208">
        <f t="shared" si="5"/>
        <v>26</v>
      </c>
      <c r="Y30" s="209"/>
      <c r="Z30" s="210"/>
      <c r="AA30" s="210"/>
      <c r="AB30" s="216">
        <v>45</v>
      </c>
      <c r="AC30" s="211">
        <v>32.85</v>
      </c>
      <c r="AD30" s="211">
        <v>73</v>
      </c>
      <c r="AE30" s="210"/>
      <c r="AF30" s="212" t="s">
        <v>524</v>
      </c>
      <c r="AG30" s="201" t="s">
        <v>486</v>
      </c>
      <c r="AH30" s="201" t="s">
        <v>485</v>
      </c>
      <c r="AI30" s="217">
        <v>46171</v>
      </c>
      <c r="AJ30" s="201"/>
      <c r="AK30" s="201"/>
      <c r="AL30" s="201"/>
      <c r="AM30" s="201"/>
      <c r="AN30" s="201"/>
      <c r="AO30" s="218" t="str">
        <f t="shared" si="8"/>
        <v>Belshina</v>
      </c>
      <c r="AP30" s="201" t="s">
        <v>458</v>
      </c>
      <c r="AQ30" s="201"/>
      <c r="AR30" s="201"/>
      <c r="AS30" s="213"/>
      <c r="AT30" s="213"/>
      <c r="AU30" s="476" t="str">
        <f t="shared" si="11"/>
        <v>Ok</v>
      </c>
      <c r="AV30" s="220">
        <v>46171</v>
      </c>
      <c r="AW30" s="221">
        <f t="shared" si="1"/>
        <v>4</v>
      </c>
      <c r="AX30" s="208">
        <f t="shared" si="2"/>
        <v>26</v>
      </c>
      <c r="AY30" s="222"/>
      <c r="AZ30" s="222"/>
      <c r="BA30" s="222"/>
      <c r="BB30" s="222"/>
      <c r="BC30" s="222"/>
      <c r="BD30" s="201"/>
      <c r="BE30" s="201"/>
      <c r="BF30" s="201"/>
      <c r="BG30" s="201"/>
      <c r="BH30" s="455">
        <v>46234</v>
      </c>
      <c r="BI30" s="215">
        <f t="shared" si="7"/>
        <v>4</v>
      </c>
      <c r="BJ30" s="208">
        <f t="shared" si="7"/>
        <v>26</v>
      </c>
      <c r="BK30" s="223">
        <v>3</v>
      </c>
      <c r="BL30" s="208">
        <v>17</v>
      </c>
      <c r="BM30" s="224" t="s">
        <v>222</v>
      </c>
      <c r="BN30" s="201"/>
      <c r="BO30" s="201"/>
      <c r="BP30" s="201"/>
    </row>
    <row r="31" spans="1:68" ht="15.5">
      <c r="A31" s="225">
        <v>28</v>
      </c>
      <c r="B31" s="204">
        <v>12</v>
      </c>
      <c r="C31" s="226">
        <v>46157</v>
      </c>
      <c r="D31" s="491">
        <f t="shared" si="3"/>
        <v>77</v>
      </c>
      <c r="E31" s="204" t="s">
        <v>75</v>
      </c>
      <c r="F31" s="205">
        <f t="shared" si="0"/>
        <v>46157</v>
      </c>
      <c r="G31" s="206" t="s">
        <v>175</v>
      </c>
      <c r="H31" s="207">
        <f t="shared" si="9"/>
        <v>46159</v>
      </c>
      <c r="I31" s="215">
        <v>4</v>
      </c>
      <c r="J31" s="208">
        <v>27</v>
      </c>
      <c r="K31" s="209">
        <v>0.11549999999999999</v>
      </c>
      <c r="L31" s="210">
        <v>0.315</v>
      </c>
      <c r="M31" s="210">
        <v>0.28000000000000003</v>
      </c>
      <c r="N31" s="211">
        <v>41.75</v>
      </c>
      <c r="O31" s="211">
        <f t="shared" si="4"/>
        <v>27.774187499999996</v>
      </c>
      <c r="P31" s="211">
        <v>66.524999999999991</v>
      </c>
      <c r="Q31" s="210">
        <v>0.22</v>
      </c>
      <c r="R31" s="212">
        <v>74</v>
      </c>
      <c r="S31" s="201" t="s">
        <v>427</v>
      </c>
      <c r="T31" s="201" t="s">
        <v>485</v>
      </c>
      <c r="U31" s="213"/>
      <c r="V31" s="214" t="s">
        <v>489</v>
      </c>
      <c r="W31" s="215">
        <f t="shared" si="5"/>
        <v>4</v>
      </c>
      <c r="X31" s="208">
        <f t="shared" si="5"/>
        <v>27</v>
      </c>
      <c r="Y31" s="209"/>
      <c r="Z31" s="210"/>
      <c r="AA31" s="210"/>
      <c r="AB31" s="216">
        <v>42</v>
      </c>
      <c r="AC31" s="211">
        <v>31.08</v>
      </c>
      <c r="AD31" s="211">
        <v>74</v>
      </c>
      <c r="AE31" s="210"/>
      <c r="AF31" s="212" t="s">
        <v>525</v>
      </c>
      <c r="AG31" s="201" t="s">
        <v>486</v>
      </c>
      <c r="AH31" s="201" t="s">
        <v>485</v>
      </c>
      <c r="AI31" s="217">
        <v>46171</v>
      </c>
      <c r="AJ31" s="201"/>
      <c r="AK31" s="201"/>
      <c r="AL31" s="201"/>
      <c r="AM31" s="201"/>
      <c r="AN31" s="201"/>
      <c r="AO31" s="218" t="str">
        <f t="shared" si="8"/>
        <v>Belshina</v>
      </c>
      <c r="AP31" s="201" t="s">
        <v>458</v>
      </c>
      <c r="AQ31" s="201"/>
      <c r="AR31" s="201"/>
      <c r="AS31" s="213"/>
      <c r="AT31" s="213"/>
      <c r="AU31" s="476" t="str">
        <f t="shared" si="11"/>
        <v>Ok</v>
      </c>
      <c r="AV31" s="220">
        <v>46171</v>
      </c>
      <c r="AW31" s="221">
        <f t="shared" si="1"/>
        <v>4</v>
      </c>
      <c r="AX31" s="208">
        <f t="shared" si="2"/>
        <v>27</v>
      </c>
      <c r="AY31" s="222"/>
      <c r="AZ31" s="222"/>
      <c r="BA31" s="222"/>
      <c r="BB31" s="222"/>
      <c r="BC31" s="222"/>
      <c r="BD31" s="201"/>
      <c r="BE31" s="201"/>
      <c r="BF31" s="201"/>
      <c r="BG31" s="201"/>
      <c r="BH31" s="455">
        <v>46234</v>
      </c>
      <c r="BI31" s="215">
        <f t="shared" si="7"/>
        <v>4</v>
      </c>
      <c r="BJ31" s="208">
        <f t="shared" si="7"/>
        <v>27</v>
      </c>
      <c r="BK31" s="223">
        <v>3</v>
      </c>
      <c r="BL31" s="208">
        <v>18</v>
      </c>
      <c r="BM31" s="224" t="s">
        <v>222</v>
      </c>
      <c r="BN31" s="201"/>
      <c r="BO31" s="201"/>
      <c r="BP31" s="201"/>
    </row>
    <row r="32" spans="1:68" s="549" customFormat="1" ht="15.5">
      <c r="A32" s="251">
        <v>28</v>
      </c>
      <c r="B32" s="252">
        <v>12</v>
      </c>
      <c r="C32" s="253">
        <v>46157</v>
      </c>
      <c r="D32" s="491">
        <f t="shared" si="3"/>
        <v>87</v>
      </c>
      <c r="E32" s="252" t="s">
        <v>75</v>
      </c>
      <c r="F32" s="254">
        <f t="shared" si="0"/>
        <v>46157</v>
      </c>
      <c r="G32" s="255" t="s">
        <v>175</v>
      </c>
      <c r="H32" s="256">
        <f t="shared" si="9"/>
        <v>46159</v>
      </c>
      <c r="I32" s="264">
        <v>4</v>
      </c>
      <c r="J32" s="257">
        <v>28</v>
      </c>
      <c r="K32" s="258">
        <v>0.1085</v>
      </c>
      <c r="L32" s="259">
        <v>0.32</v>
      </c>
      <c r="M32" s="259">
        <v>0.27</v>
      </c>
      <c r="N32" s="260">
        <v>40.5</v>
      </c>
      <c r="O32" s="260">
        <f t="shared" si="4"/>
        <v>27.246375000000004</v>
      </c>
      <c r="P32" s="260">
        <v>67.275000000000006</v>
      </c>
      <c r="Q32" s="259">
        <v>0.22</v>
      </c>
      <c r="R32" s="261">
        <v>74</v>
      </c>
      <c r="S32" s="262" t="s">
        <v>427</v>
      </c>
      <c r="T32" s="262" t="s">
        <v>485</v>
      </c>
      <c r="U32" s="269"/>
      <c r="V32" s="263" t="s">
        <v>489</v>
      </c>
      <c r="W32" s="264">
        <f t="shared" si="5"/>
        <v>4</v>
      </c>
      <c r="X32" s="257">
        <f t="shared" si="5"/>
        <v>28</v>
      </c>
      <c r="Y32" s="258"/>
      <c r="Z32" s="259"/>
      <c r="AA32" s="259"/>
      <c r="AB32" s="265">
        <v>41</v>
      </c>
      <c r="AC32" s="260">
        <v>29.11</v>
      </c>
      <c r="AD32" s="260">
        <v>71</v>
      </c>
      <c r="AE32" s="259"/>
      <c r="AF32" s="261" t="s">
        <v>526</v>
      </c>
      <c r="AG32" s="262" t="s">
        <v>486</v>
      </c>
      <c r="AH32" s="262" t="s">
        <v>485</v>
      </c>
      <c r="AI32" s="266">
        <v>46239</v>
      </c>
      <c r="AJ32" s="262"/>
      <c r="AK32" s="262"/>
      <c r="AL32" s="267" t="s">
        <v>222</v>
      </c>
      <c r="AM32" s="262"/>
      <c r="AN32" s="262"/>
      <c r="AO32" s="268" t="str">
        <f t="shared" si="8"/>
        <v>Belshina</v>
      </c>
      <c r="AP32" s="269" t="s">
        <v>459</v>
      </c>
      <c r="AQ32" s="269" t="s">
        <v>471</v>
      </c>
      <c r="AR32" s="262"/>
      <c r="AS32" s="269"/>
      <c r="AT32" s="269"/>
      <c r="AU32" s="476" t="str">
        <f t="shared" si="11"/>
        <v>Reject</v>
      </c>
      <c r="AV32" s="270">
        <v>46171</v>
      </c>
      <c r="AW32" s="271">
        <f t="shared" si="1"/>
        <v>4</v>
      </c>
      <c r="AX32" s="257">
        <f t="shared" si="2"/>
        <v>28</v>
      </c>
      <c r="AY32" s="272"/>
      <c r="AZ32" s="272"/>
      <c r="BA32" s="272" t="s">
        <v>222</v>
      </c>
      <c r="BB32" s="272"/>
      <c r="BC32" s="272"/>
      <c r="BD32" s="262" t="s">
        <v>459</v>
      </c>
      <c r="BE32" s="262" t="s">
        <v>471</v>
      </c>
      <c r="BF32" s="219" t="s">
        <v>496</v>
      </c>
      <c r="BG32" s="219" t="s">
        <v>497</v>
      </c>
      <c r="BH32" s="455">
        <v>46244</v>
      </c>
      <c r="BI32" s="264">
        <f t="shared" si="7"/>
        <v>4</v>
      </c>
      <c r="BJ32" s="257">
        <f t="shared" si="7"/>
        <v>28</v>
      </c>
      <c r="BK32" s="273">
        <v>9</v>
      </c>
      <c r="BL32" s="257">
        <v>69</v>
      </c>
      <c r="BM32" s="224" t="s">
        <v>222</v>
      </c>
      <c r="BN32" s="201" t="s">
        <v>520</v>
      </c>
      <c r="BO32" s="262" t="s">
        <v>458</v>
      </c>
      <c r="BP32" s="201" t="s">
        <v>499</v>
      </c>
    </row>
    <row r="33" spans="1:68" ht="15.5">
      <c r="A33" s="225">
        <v>28</v>
      </c>
      <c r="B33" s="204">
        <v>12</v>
      </c>
      <c r="C33" s="226">
        <v>46157</v>
      </c>
      <c r="D33" s="491">
        <f t="shared" si="3"/>
        <v>77</v>
      </c>
      <c r="E33" s="204" t="s">
        <v>75</v>
      </c>
      <c r="F33" s="205">
        <f t="shared" si="0"/>
        <v>46157</v>
      </c>
      <c r="G33" s="206" t="s">
        <v>175</v>
      </c>
      <c r="H33" s="207">
        <f t="shared" si="9"/>
        <v>46159</v>
      </c>
      <c r="I33" s="215">
        <v>4</v>
      </c>
      <c r="J33" s="208">
        <v>29</v>
      </c>
      <c r="K33" s="209">
        <v>0.1105</v>
      </c>
      <c r="L33" s="210">
        <v>0.32750000000000001</v>
      </c>
      <c r="M33" s="210">
        <v>0.27</v>
      </c>
      <c r="N33" s="211">
        <v>40.5</v>
      </c>
      <c r="O33" s="211">
        <f t="shared" si="4"/>
        <v>27.469124999999998</v>
      </c>
      <c r="P33" s="211">
        <v>67.825000000000003</v>
      </c>
      <c r="Q33" s="210">
        <v>0.22</v>
      </c>
      <c r="R33" s="212">
        <v>77</v>
      </c>
      <c r="S33" s="201" t="s">
        <v>486</v>
      </c>
      <c r="T33" s="201" t="s">
        <v>485</v>
      </c>
      <c r="U33" s="201"/>
      <c r="V33" s="214">
        <v>46226</v>
      </c>
      <c r="W33" s="215">
        <f t="shared" si="5"/>
        <v>4</v>
      </c>
      <c r="X33" s="208">
        <f t="shared" si="5"/>
        <v>29</v>
      </c>
      <c r="Y33" s="209"/>
      <c r="Z33" s="210"/>
      <c r="AA33" s="210"/>
      <c r="AB33" s="216">
        <v>43</v>
      </c>
      <c r="AC33" s="211">
        <v>28.81</v>
      </c>
      <c r="AD33" s="211">
        <v>67</v>
      </c>
      <c r="AE33" s="210"/>
      <c r="AF33" s="212">
        <v>82</v>
      </c>
      <c r="AG33" s="201" t="str">
        <f>S33</f>
        <v>Belshina</v>
      </c>
      <c r="AH33" s="201" t="s">
        <v>485</v>
      </c>
      <c r="AI33" s="297">
        <v>46179</v>
      </c>
      <c r="AJ33" s="201"/>
      <c r="AK33" s="201"/>
      <c r="AL33" s="201"/>
      <c r="AM33" s="201"/>
      <c r="AN33" s="201"/>
      <c r="AO33" s="218" t="str">
        <f t="shared" si="8"/>
        <v>Belshina</v>
      </c>
      <c r="AP33" s="201" t="s">
        <v>458</v>
      </c>
      <c r="AQ33" s="201"/>
      <c r="AR33" s="201"/>
      <c r="AS33" s="213"/>
      <c r="AT33" s="213"/>
      <c r="AU33" s="476" t="str">
        <f t="shared" si="11"/>
        <v>Ok</v>
      </c>
      <c r="AV33" s="220">
        <v>46179</v>
      </c>
      <c r="AW33" s="221">
        <f t="shared" si="1"/>
        <v>4</v>
      </c>
      <c r="AX33" s="208">
        <f t="shared" si="2"/>
        <v>29</v>
      </c>
      <c r="AY33" s="222"/>
      <c r="AZ33" s="222"/>
      <c r="BA33" s="222"/>
      <c r="BB33" s="222"/>
      <c r="BC33" s="222"/>
      <c r="BD33" s="201"/>
      <c r="BE33" s="201"/>
      <c r="BF33" s="201"/>
      <c r="BG33" s="201"/>
      <c r="BH33" s="455">
        <v>46234</v>
      </c>
      <c r="BI33" s="215">
        <f t="shared" si="7"/>
        <v>4</v>
      </c>
      <c r="BJ33" s="208">
        <f t="shared" si="7"/>
        <v>29</v>
      </c>
      <c r="BK33" s="223">
        <v>3</v>
      </c>
      <c r="BL33" s="208">
        <v>19</v>
      </c>
      <c r="BM33" s="224" t="s">
        <v>222</v>
      </c>
      <c r="BN33" s="201"/>
      <c r="BO33" s="201"/>
      <c r="BP33" s="201"/>
    </row>
    <row r="34" spans="1:68" ht="15.5">
      <c r="A34" s="225">
        <v>28</v>
      </c>
      <c r="B34" s="204">
        <v>12</v>
      </c>
      <c r="C34" s="226">
        <v>46157</v>
      </c>
      <c r="D34" s="491">
        <f t="shared" si="3"/>
        <v>77</v>
      </c>
      <c r="E34" s="204" t="s">
        <v>75</v>
      </c>
      <c r="F34" s="205">
        <f t="shared" si="0"/>
        <v>46157</v>
      </c>
      <c r="G34" s="206" t="s">
        <v>175</v>
      </c>
      <c r="H34" s="207">
        <f t="shared" si="9"/>
        <v>46159</v>
      </c>
      <c r="I34" s="215">
        <v>4</v>
      </c>
      <c r="J34" s="208">
        <v>30</v>
      </c>
      <c r="K34" s="209">
        <v>0.1075</v>
      </c>
      <c r="L34" s="210">
        <v>0.32500000000000001</v>
      </c>
      <c r="M34" s="210">
        <v>0.28000000000000003</v>
      </c>
      <c r="N34" s="211">
        <v>41.25</v>
      </c>
      <c r="O34" s="211">
        <f t="shared" si="4"/>
        <v>27.2971875</v>
      </c>
      <c r="P34" s="211">
        <v>66.174999999999997</v>
      </c>
      <c r="Q34" s="210">
        <v>0.22</v>
      </c>
      <c r="R34" s="212">
        <v>77</v>
      </c>
      <c r="S34" s="201" t="s">
        <v>486</v>
      </c>
      <c r="T34" s="201" t="s">
        <v>485</v>
      </c>
      <c r="U34" s="201"/>
      <c r="V34" s="214">
        <v>46226</v>
      </c>
      <c r="W34" s="215">
        <f t="shared" si="5"/>
        <v>4</v>
      </c>
      <c r="X34" s="208">
        <f t="shared" si="5"/>
        <v>30</v>
      </c>
      <c r="Y34" s="209"/>
      <c r="Z34" s="210"/>
      <c r="AA34" s="210"/>
      <c r="AB34" s="211"/>
      <c r="AC34" s="211"/>
      <c r="AD34" s="211"/>
      <c r="AE34" s="210"/>
      <c r="AF34" s="212">
        <v>83</v>
      </c>
      <c r="AG34" s="201" t="s">
        <v>427</v>
      </c>
      <c r="AH34" s="201" t="s">
        <v>485</v>
      </c>
      <c r="AI34" s="217">
        <v>46171</v>
      </c>
      <c r="AJ34" s="201"/>
      <c r="AK34" s="201"/>
      <c r="AL34" s="201"/>
      <c r="AM34" s="201"/>
      <c r="AN34" s="201"/>
      <c r="AO34" s="218" t="str">
        <f t="shared" si="8"/>
        <v>SNI</v>
      </c>
      <c r="AP34" s="201" t="s">
        <v>458</v>
      </c>
      <c r="AQ34" s="201" t="s">
        <v>527</v>
      </c>
      <c r="AR34" s="201" t="s">
        <v>488</v>
      </c>
      <c r="AS34" s="213"/>
      <c r="AT34" s="213"/>
      <c r="AU34" s="476" t="str">
        <f t="shared" si="11"/>
        <v>Ok</v>
      </c>
      <c r="AV34" s="220">
        <v>46171</v>
      </c>
      <c r="AW34" s="221">
        <f t="shared" si="1"/>
        <v>4</v>
      </c>
      <c r="AX34" s="208">
        <f t="shared" si="2"/>
        <v>30</v>
      </c>
      <c r="AY34" s="222"/>
      <c r="AZ34" s="222"/>
      <c r="BA34" s="222"/>
      <c r="BB34" s="222"/>
      <c r="BC34" s="222"/>
      <c r="BD34" s="201"/>
      <c r="BE34" s="201"/>
      <c r="BF34" s="201"/>
      <c r="BG34" s="201"/>
      <c r="BH34" s="455">
        <v>46234</v>
      </c>
      <c r="BI34" s="215">
        <f t="shared" si="7"/>
        <v>4</v>
      </c>
      <c r="BJ34" s="208">
        <f t="shared" si="7"/>
        <v>30</v>
      </c>
      <c r="BK34" s="223">
        <v>3</v>
      </c>
      <c r="BL34" s="208">
        <v>20</v>
      </c>
      <c r="BM34" s="224" t="s">
        <v>222</v>
      </c>
      <c r="BN34" s="201"/>
      <c r="BO34" s="201"/>
      <c r="BP34" s="201"/>
    </row>
    <row r="35" spans="1:68" ht="15.5">
      <c r="A35" s="225">
        <v>28</v>
      </c>
      <c r="B35" s="204">
        <v>12</v>
      </c>
      <c r="C35" s="226">
        <v>46160</v>
      </c>
      <c r="D35" s="491">
        <f t="shared" si="3"/>
        <v>75</v>
      </c>
      <c r="E35" s="204" t="s">
        <v>75</v>
      </c>
      <c r="F35" s="205">
        <f t="shared" si="0"/>
        <v>46160</v>
      </c>
      <c r="G35" s="206" t="s">
        <v>175</v>
      </c>
      <c r="H35" s="207">
        <f t="shared" si="9"/>
        <v>46162</v>
      </c>
      <c r="I35" s="215">
        <v>4</v>
      </c>
      <c r="J35" s="208">
        <v>31</v>
      </c>
      <c r="K35" s="209">
        <v>0.11499999999999999</v>
      </c>
      <c r="L35" s="210">
        <v>0.315</v>
      </c>
      <c r="M35" s="210">
        <v>0.28999999999999998</v>
      </c>
      <c r="N35" s="211">
        <v>38.25</v>
      </c>
      <c r="O35" s="211">
        <f t="shared" si="4"/>
        <v>23.055187499999999</v>
      </c>
      <c r="P35" s="211">
        <v>60.274999999999999</v>
      </c>
      <c r="Q35" s="210">
        <v>0.22</v>
      </c>
      <c r="R35" s="212">
        <v>77</v>
      </c>
      <c r="S35" s="201" t="s">
        <v>486</v>
      </c>
      <c r="T35" s="201" t="s">
        <v>485</v>
      </c>
      <c r="U35" s="201"/>
      <c r="V35" s="214">
        <v>46226</v>
      </c>
      <c r="W35" s="215">
        <f t="shared" si="5"/>
        <v>4</v>
      </c>
      <c r="X35" s="208">
        <f t="shared" si="5"/>
        <v>31</v>
      </c>
      <c r="Y35" s="209"/>
      <c r="Z35" s="210"/>
      <c r="AA35" s="210"/>
      <c r="AB35" s="216">
        <v>37</v>
      </c>
      <c r="AC35" s="211">
        <v>24.05</v>
      </c>
      <c r="AD35" s="211">
        <v>65</v>
      </c>
      <c r="AE35" s="210"/>
      <c r="AF35" s="212">
        <v>79</v>
      </c>
      <c r="AG35" s="201" t="str">
        <f>S35</f>
        <v>Belshina</v>
      </c>
      <c r="AH35" s="201" t="s">
        <v>485</v>
      </c>
      <c r="AI35" s="217">
        <v>46171</v>
      </c>
      <c r="AJ35" s="201"/>
      <c r="AK35" s="201"/>
      <c r="AL35" s="201"/>
      <c r="AM35" s="201"/>
      <c r="AN35" s="201"/>
      <c r="AO35" s="218" t="str">
        <f t="shared" si="8"/>
        <v>Belshina</v>
      </c>
      <c r="AP35" s="201" t="s">
        <v>458</v>
      </c>
      <c r="AQ35" s="201"/>
      <c r="AR35" s="201"/>
      <c r="AS35" s="213"/>
      <c r="AT35" s="213"/>
      <c r="AU35" s="476" t="str">
        <f t="shared" si="11"/>
        <v>Ok</v>
      </c>
      <c r="AV35" s="220">
        <v>46171</v>
      </c>
      <c r="AW35" s="221">
        <f t="shared" si="1"/>
        <v>4</v>
      </c>
      <c r="AX35" s="208">
        <f t="shared" si="2"/>
        <v>31</v>
      </c>
      <c r="AY35" s="222"/>
      <c r="AZ35" s="222"/>
      <c r="BA35" s="222"/>
      <c r="BB35" s="222"/>
      <c r="BC35" s="222"/>
      <c r="BD35" s="201"/>
      <c r="BE35" s="201"/>
      <c r="BF35" s="201"/>
      <c r="BG35" s="201"/>
      <c r="BH35" s="455">
        <v>46235</v>
      </c>
      <c r="BI35" s="215">
        <f t="shared" si="7"/>
        <v>4</v>
      </c>
      <c r="BJ35" s="208">
        <f t="shared" si="7"/>
        <v>31</v>
      </c>
      <c r="BK35" s="223">
        <v>3</v>
      </c>
      <c r="BL35" s="208">
        <v>22</v>
      </c>
      <c r="BM35" s="224" t="s">
        <v>222</v>
      </c>
      <c r="BN35" s="201"/>
      <c r="BO35" s="201"/>
      <c r="BP35" s="201"/>
    </row>
    <row r="36" spans="1:68" ht="15.5">
      <c r="A36" s="225">
        <v>28</v>
      </c>
      <c r="B36" s="202" t="s">
        <v>767</v>
      </c>
      <c r="C36" s="226">
        <v>46160</v>
      </c>
      <c r="D36" s="491">
        <f t="shared" si="3"/>
        <v>122</v>
      </c>
      <c r="E36" s="204" t="s">
        <v>75</v>
      </c>
      <c r="F36" s="205">
        <f t="shared" si="0"/>
        <v>46160</v>
      </c>
      <c r="G36" s="206" t="s">
        <v>175</v>
      </c>
      <c r="H36" s="207">
        <f t="shared" si="9"/>
        <v>46162</v>
      </c>
      <c r="I36" s="215">
        <v>4</v>
      </c>
      <c r="J36" s="208">
        <v>32</v>
      </c>
      <c r="K36" s="209">
        <v>0.11225</v>
      </c>
      <c r="L36" s="210">
        <v>0.315</v>
      </c>
      <c r="M36" s="210">
        <v>0.28000000000000003</v>
      </c>
      <c r="N36" s="211">
        <v>41</v>
      </c>
      <c r="O36" s="211">
        <f t="shared" si="4"/>
        <v>25.502000000000002</v>
      </c>
      <c r="P36" s="211">
        <v>62.2</v>
      </c>
      <c r="Q36" s="210">
        <v>0.22</v>
      </c>
      <c r="R36" s="212">
        <v>77</v>
      </c>
      <c r="S36" s="201" t="s">
        <v>486</v>
      </c>
      <c r="T36" s="201" t="s">
        <v>485</v>
      </c>
      <c r="U36" s="213"/>
      <c r="V36" s="217"/>
      <c r="W36" s="215">
        <f t="shared" si="5"/>
        <v>4</v>
      </c>
      <c r="X36" s="208">
        <f t="shared" si="5"/>
        <v>32</v>
      </c>
      <c r="Y36" s="209"/>
      <c r="Z36" s="210"/>
      <c r="AA36" s="298">
        <v>0.36</v>
      </c>
      <c r="AB36" s="227">
        <v>43</v>
      </c>
      <c r="AC36" s="211">
        <v>31.002999999999997</v>
      </c>
      <c r="AD36" s="227">
        <v>72.099999999999994</v>
      </c>
      <c r="AE36" s="210"/>
      <c r="AF36" s="216">
        <v>77</v>
      </c>
      <c r="AG36" s="201" t="str">
        <f>S36</f>
        <v>Belshina</v>
      </c>
      <c r="AH36" s="201" t="s">
        <v>485</v>
      </c>
      <c r="AI36" s="217">
        <v>46171</v>
      </c>
      <c r="AJ36" s="201"/>
      <c r="AK36" s="201"/>
      <c r="AL36" s="201"/>
      <c r="AM36" s="201"/>
      <c r="AN36" s="201"/>
      <c r="AO36" s="218" t="str">
        <f t="shared" si="8"/>
        <v>Belshina</v>
      </c>
      <c r="AP36" s="201" t="s">
        <v>458</v>
      </c>
      <c r="AQ36" s="201" t="s">
        <v>528</v>
      </c>
      <c r="AR36" s="201" t="s">
        <v>488</v>
      </c>
      <c r="AS36" s="213"/>
      <c r="AT36" s="213"/>
      <c r="AU36" s="476" t="str">
        <f t="shared" si="11"/>
        <v>Ok</v>
      </c>
      <c r="AV36" s="220">
        <v>46171</v>
      </c>
      <c r="AW36" s="221">
        <f t="shared" si="1"/>
        <v>4</v>
      </c>
      <c r="AX36" s="208">
        <f t="shared" si="2"/>
        <v>32</v>
      </c>
      <c r="AY36" s="222"/>
      <c r="AZ36" s="222"/>
      <c r="BA36" s="222"/>
      <c r="BB36" s="222"/>
      <c r="BC36" s="222"/>
      <c r="BD36" s="201"/>
      <c r="BE36" s="201"/>
      <c r="BF36" s="201"/>
      <c r="BG36" s="201"/>
      <c r="BH36" s="455">
        <v>46282</v>
      </c>
      <c r="BI36" s="215">
        <f t="shared" si="7"/>
        <v>4</v>
      </c>
      <c r="BJ36" s="208">
        <f t="shared" si="7"/>
        <v>32</v>
      </c>
      <c r="BK36" s="223">
        <v>23</v>
      </c>
      <c r="BL36" s="208">
        <v>193</v>
      </c>
      <c r="BM36" s="267" t="s">
        <v>222</v>
      </c>
      <c r="BN36" s="201"/>
      <c r="BO36" s="201"/>
      <c r="BP36" s="201"/>
    </row>
    <row r="37" spans="1:68" ht="15.5">
      <c r="A37" s="225">
        <v>28</v>
      </c>
      <c r="B37" s="204">
        <v>13</v>
      </c>
      <c r="C37" s="226">
        <v>46160</v>
      </c>
      <c r="D37" s="491">
        <f t="shared" si="3"/>
        <v>75</v>
      </c>
      <c r="E37" s="204" t="s">
        <v>75</v>
      </c>
      <c r="F37" s="205">
        <f t="shared" si="0"/>
        <v>46160</v>
      </c>
      <c r="G37" s="206" t="s">
        <v>175</v>
      </c>
      <c r="H37" s="207">
        <f t="shared" si="9"/>
        <v>46162</v>
      </c>
      <c r="I37" s="215">
        <v>5</v>
      </c>
      <c r="J37" s="208">
        <v>33</v>
      </c>
      <c r="K37" s="209">
        <v>0.11749999999999999</v>
      </c>
      <c r="L37" s="210">
        <v>0.315</v>
      </c>
      <c r="M37" s="210">
        <v>0.27</v>
      </c>
      <c r="N37" s="211">
        <v>40.75</v>
      </c>
      <c r="O37" s="211">
        <f t="shared" si="4"/>
        <v>26.725042682926826</v>
      </c>
      <c r="P37" s="211">
        <v>65.582926829268288</v>
      </c>
      <c r="Q37" s="210">
        <v>0.23</v>
      </c>
      <c r="R37" s="212">
        <v>76</v>
      </c>
      <c r="S37" s="201" t="s">
        <v>486</v>
      </c>
      <c r="T37" s="201" t="s">
        <v>485</v>
      </c>
      <c r="U37" s="213"/>
      <c r="V37" s="214" t="s">
        <v>489</v>
      </c>
      <c r="W37" s="215">
        <f t="shared" si="5"/>
        <v>5</v>
      </c>
      <c r="X37" s="208">
        <f t="shared" si="5"/>
        <v>33</v>
      </c>
      <c r="Y37" s="209"/>
      <c r="Z37" s="210"/>
      <c r="AA37" s="210"/>
      <c r="AB37" s="212" t="s">
        <v>529</v>
      </c>
      <c r="AC37" s="211" t="s">
        <v>530</v>
      </c>
      <c r="AD37" s="212" t="s">
        <v>531</v>
      </c>
      <c r="AE37" s="210"/>
      <c r="AF37" s="212" t="s">
        <v>532</v>
      </c>
      <c r="AG37" s="201" t="str">
        <f>S37</f>
        <v>Belshina</v>
      </c>
      <c r="AH37" s="201" t="s">
        <v>485</v>
      </c>
      <c r="AI37" s="217">
        <v>46171</v>
      </c>
      <c r="AJ37" s="201"/>
      <c r="AK37" s="201"/>
      <c r="AL37" s="201"/>
      <c r="AM37" s="201"/>
      <c r="AN37" s="201"/>
      <c r="AO37" s="218" t="str">
        <f t="shared" si="8"/>
        <v>Belshina</v>
      </c>
      <c r="AP37" s="201" t="s">
        <v>458</v>
      </c>
      <c r="AQ37" s="201"/>
      <c r="AR37" s="201"/>
      <c r="AS37" s="213"/>
      <c r="AT37" s="213"/>
      <c r="AU37" s="476" t="str">
        <f t="shared" si="11"/>
        <v>Ok</v>
      </c>
      <c r="AV37" s="220">
        <v>46171</v>
      </c>
      <c r="AW37" s="221">
        <f t="shared" si="1"/>
        <v>5</v>
      </c>
      <c r="AX37" s="208">
        <f t="shared" si="2"/>
        <v>33</v>
      </c>
      <c r="AY37" s="222"/>
      <c r="AZ37" s="222"/>
      <c r="BA37" s="222"/>
      <c r="BB37" s="222"/>
      <c r="BC37" s="222"/>
      <c r="BD37" s="201"/>
      <c r="BE37" s="201"/>
      <c r="BF37" s="201"/>
      <c r="BG37" s="201"/>
      <c r="BH37" s="455">
        <v>46235</v>
      </c>
      <c r="BI37" s="215">
        <f t="shared" si="7"/>
        <v>5</v>
      </c>
      <c r="BJ37" s="208">
        <f t="shared" si="7"/>
        <v>33</v>
      </c>
      <c r="BK37" s="223">
        <v>3</v>
      </c>
      <c r="BL37" s="208">
        <v>23</v>
      </c>
      <c r="BM37" s="224" t="s">
        <v>222</v>
      </c>
      <c r="BN37" s="201"/>
      <c r="BO37" s="201"/>
      <c r="BP37" s="201"/>
    </row>
    <row r="38" spans="1:68" ht="15.5">
      <c r="A38" s="225">
        <v>28</v>
      </c>
      <c r="B38" s="202" t="s">
        <v>120</v>
      </c>
      <c r="C38" s="226">
        <v>46161</v>
      </c>
      <c r="D38" s="491">
        <f t="shared" si="3"/>
        <v>74</v>
      </c>
      <c r="E38" s="204" t="s">
        <v>75</v>
      </c>
      <c r="F38" s="205">
        <f t="shared" si="0"/>
        <v>46161</v>
      </c>
      <c r="G38" s="206" t="s">
        <v>175</v>
      </c>
      <c r="H38" s="207">
        <f t="shared" si="9"/>
        <v>46163</v>
      </c>
      <c r="I38" s="215">
        <v>5</v>
      </c>
      <c r="J38" s="208">
        <v>34</v>
      </c>
      <c r="K38" s="209">
        <v>0.11175</v>
      </c>
      <c r="L38" s="210">
        <v>0.3175</v>
      </c>
      <c r="M38" s="210">
        <v>0.28999999999999998</v>
      </c>
      <c r="N38" s="211">
        <v>39.75</v>
      </c>
      <c r="O38" s="211">
        <f t="shared" si="4"/>
        <v>24.431359365179134</v>
      </c>
      <c r="P38" s="211">
        <v>61.462539283469518</v>
      </c>
      <c r="Q38" s="210">
        <v>0.23</v>
      </c>
      <c r="R38" s="212">
        <v>76</v>
      </c>
      <c r="S38" s="201" t="s">
        <v>486</v>
      </c>
      <c r="T38" s="201" t="s">
        <v>485</v>
      </c>
      <c r="U38" s="201"/>
      <c r="V38" s="214">
        <v>46226</v>
      </c>
      <c r="W38" s="215">
        <f t="shared" si="5"/>
        <v>5</v>
      </c>
      <c r="X38" s="208">
        <f t="shared" si="5"/>
        <v>34</v>
      </c>
      <c r="Y38" s="209"/>
      <c r="Z38" s="210"/>
      <c r="AA38" s="210"/>
      <c r="AB38" s="216">
        <v>46</v>
      </c>
      <c r="AC38" s="211">
        <v>28.98</v>
      </c>
      <c r="AD38" s="211">
        <v>63</v>
      </c>
      <c r="AE38" s="210"/>
      <c r="AF38" s="212">
        <v>85</v>
      </c>
      <c r="AG38" s="201" t="str">
        <f>S38</f>
        <v>Belshina</v>
      </c>
      <c r="AH38" s="201" t="s">
        <v>485</v>
      </c>
      <c r="AI38" s="297">
        <v>46178</v>
      </c>
      <c r="AJ38" s="201"/>
      <c r="AK38" s="201"/>
      <c r="AL38" s="201"/>
      <c r="AM38" s="201"/>
      <c r="AN38" s="201"/>
      <c r="AO38" s="218" t="str">
        <f t="shared" si="8"/>
        <v>Belshina</v>
      </c>
      <c r="AP38" s="201" t="s">
        <v>458</v>
      </c>
      <c r="AQ38" s="201"/>
      <c r="AR38" s="201"/>
      <c r="AS38" s="213"/>
      <c r="AT38" s="213"/>
      <c r="AU38" s="476" t="str">
        <f t="shared" si="11"/>
        <v>Ok</v>
      </c>
      <c r="AV38" s="220">
        <v>46178</v>
      </c>
      <c r="AW38" s="221">
        <f t="shared" si="1"/>
        <v>5</v>
      </c>
      <c r="AX38" s="208">
        <f t="shared" si="2"/>
        <v>34</v>
      </c>
      <c r="AY38" s="222"/>
      <c r="AZ38" s="222"/>
      <c r="BA38" s="222"/>
      <c r="BB38" s="222"/>
      <c r="BC38" s="222"/>
      <c r="BD38" s="201"/>
      <c r="BE38" s="201"/>
      <c r="BF38" s="201"/>
      <c r="BG38" s="201"/>
      <c r="BH38" s="455">
        <v>46235</v>
      </c>
      <c r="BI38" s="215">
        <f t="shared" si="7"/>
        <v>5</v>
      </c>
      <c r="BJ38" s="208">
        <f t="shared" si="7"/>
        <v>34</v>
      </c>
      <c r="BK38" s="223">
        <v>3</v>
      </c>
      <c r="BL38" s="208">
        <v>24</v>
      </c>
      <c r="BM38" s="224" t="s">
        <v>222</v>
      </c>
      <c r="BN38" s="201"/>
      <c r="BO38" s="201"/>
      <c r="BP38" s="201"/>
    </row>
    <row r="39" spans="1:68" ht="15.5">
      <c r="A39" s="225">
        <v>28</v>
      </c>
      <c r="B39" s="204">
        <v>14</v>
      </c>
      <c r="C39" s="226">
        <v>46161</v>
      </c>
      <c r="D39" s="491">
        <f t="shared" si="3"/>
        <v>83</v>
      </c>
      <c r="E39" s="204" t="s">
        <v>75</v>
      </c>
      <c r="F39" s="205">
        <f t="shared" si="0"/>
        <v>46161</v>
      </c>
      <c r="G39" s="206" t="s">
        <v>175</v>
      </c>
      <c r="H39" s="207">
        <f t="shared" si="9"/>
        <v>46163</v>
      </c>
      <c r="I39" s="215">
        <v>5</v>
      </c>
      <c r="J39" s="208">
        <v>35</v>
      </c>
      <c r="K39" s="209">
        <v>0.1065</v>
      </c>
      <c r="L39" s="210">
        <v>0.34</v>
      </c>
      <c r="M39" s="210">
        <v>0.4</v>
      </c>
      <c r="N39" s="211">
        <v>39.75</v>
      </c>
      <c r="O39" s="211">
        <f t="shared" si="4"/>
        <v>24.754567307692305</v>
      </c>
      <c r="P39" s="211">
        <v>62.275641025641022</v>
      </c>
      <c r="Q39" s="210">
        <v>0.23</v>
      </c>
      <c r="R39" s="212">
        <v>76</v>
      </c>
      <c r="S39" s="201" t="s">
        <v>486</v>
      </c>
      <c r="T39" s="201" t="s">
        <v>485</v>
      </c>
      <c r="U39" s="201"/>
      <c r="V39" s="214">
        <v>46226</v>
      </c>
      <c r="W39" s="215">
        <f t="shared" si="5"/>
        <v>5</v>
      </c>
      <c r="X39" s="208">
        <f t="shared" si="5"/>
        <v>35</v>
      </c>
      <c r="Y39" s="209"/>
      <c r="Z39" s="210"/>
      <c r="AA39" s="210"/>
      <c r="AB39" s="216">
        <v>45</v>
      </c>
      <c r="AC39" s="211">
        <v>28.8</v>
      </c>
      <c r="AD39" s="211">
        <v>64</v>
      </c>
      <c r="AE39" s="210"/>
      <c r="AF39" s="212">
        <v>82</v>
      </c>
      <c r="AG39" s="201" t="str">
        <f>S39</f>
        <v>Belshina</v>
      </c>
      <c r="AH39" s="201" t="s">
        <v>485</v>
      </c>
      <c r="AI39" s="297">
        <v>46239</v>
      </c>
      <c r="AJ39" s="201"/>
      <c r="AK39" s="201"/>
      <c r="AL39" s="201"/>
      <c r="AM39" s="201"/>
      <c r="AN39" s="201"/>
      <c r="AO39" s="218" t="str">
        <f t="shared" si="8"/>
        <v>Belshina</v>
      </c>
      <c r="AP39" s="201" t="s">
        <v>458</v>
      </c>
      <c r="AQ39" s="201"/>
      <c r="AR39" s="201"/>
      <c r="AS39" s="213"/>
      <c r="AT39" s="213"/>
      <c r="AU39" s="476" t="str">
        <f t="shared" si="11"/>
        <v>Ok</v>
      </c>
      <c r="AV39" s="220">
        <v>46178</v>
      </c>
      <c r="AW39" s="221">
        <f t="shared" si="1"/>
        <v>5</v>
      </c>
      <c r="AX39" s="208">
        <f t="shared" si="2"/>
        <v>35</v>
      </c>
      <c r="AY39" s="222"/>
      <c r="AZ39" s="222"/>
      <c r="BA39" s="222"/>
      <c r="BB39" s="222"/>
      <c r="BC39" s="222"/>
      <c r="BD39" s="201"/>
      <c r="BE39" s="201"/>
      <c r="BF39" s="219" t="s">
        <v>496</v>
      </c>
      <c r="BG39" s="219" t="s">
        <v>497</v>
      </c>
      <c r="BH39" s="455">
        <v>46244</v>
      </c>
      <c r="BI39" s="215">
        <f t="shared" si="7"/>
        <v>5</v>
      </c>
      <c r="BJ39" s="208">
        <f t="shared" si="7"/>
        <v>35</v>
      </c>
      <c r="BK39" s="223">
        <v>9</v>
      </c>
      <c r="BL39" s="208">
        <v>70</v>
      </c>
      <c r="BM39" s="224" t="s">
        <v>222</v>
      </c>
      <c r="BN39" s="201" t="s">
        <v>498</v>
      </c>
      <c r="BO39" s="262" t="s">
        <v>458</v>
      </c>
      <c r="BP39" s="201" t="s">
        <v>499</v>
      </c>
    </row>
    <row r="40" spans="1:68" ht="15.5">
      <c r="A40" s="225">
        <v>28</v>
      </c>
      <c r="B40" s="204">
        <v>14</v>
      </c>
      <c r="C40" s="226">
        <v>46161</v>
      </c>
      <c r="D40" s="491">
        <f t="shared" si="3"/>
        <v>77</v>
      </c>
      <c r="E40" s="204" t="s">
        <v>75</v>
      </c>
      <c r="F40" s="205">
        <f t="shared" si="0"/>
        <v>46161</v>
      </c>
      <c r="G40" s="206" t="s">
        <v>175</v>
      </c>
      <c r="H40" s="207">
        <f t="shared" si="9"/>
        <v>46163</v>
      </c>
      <c r="I40" s="215">
        <v>5</v>
      </c>
      <c r="J40" s="208">
        <v>36</v>
      </c>
      <c r="K40" s="209">
        <v>0.10525</v>
      </c>
      <c r="L40" s="210">
        <v>0.3125</v>
      </c>
      <c r="M40" s="210">
        <v>0.35</v>
      </c>
      <c r="N40" s="211">
        <v>39</v>
      </c>
      <c r="O40" s="211">
        <f t="shared" si="4"/>
        <v>25.448626444159178</v>
      </c>
      <c r="P40" s="211">
        <v>65.252888318356867</v>
      </c>
      <c r="Q40" s="210">
        <v>0.23</v>
      </c>
      <c r="R40" s="212">
        <v>76</v>
      </c>
      <c r="S40" s="201" t="s">
        <v>486</v>
      </c>
      <c r="T40" s="201" t="s">
        <v>485</v>
      </c>
      <c r="U40" s="201"/>
      <c r="V40" s="214">
        <v>46226</v>
      </c>
      <c r="W40" s="215">
        <f t="shared" si="5"/>
        <v>5</v>
      </c>
      <c r="X40" s="208">
        <f t="shared" si="5"/>
        <v>36</v>
      </c>
      <c r="Y40" s="209"/>
      <c r="Z40" s="210"/>
      <c r="AA40" s="210"/>
      <c r="AB40" s="211"/>
      <c r="AC40" s="211"/>
      <c r="AD40" s="211"/>
      <c r="AE40" s="210"/>
      <c r="AF40" s="212">
        <v>82</v>
      </c>
      <c r="AG40" s="201" t="s">
        <v>427</v>
      </c>
      <c r="AH40" s="201" t="s">
        <v>485</v>
      </c>
      <c r="AI40" s="297">
        <v>46238</v>
      </c>
      <c r="AJ40" s="201"/>
      <c r="AK40" s="201"/>
      <c r="AL40" s="201"/>
      <c r="AM40" s="201"/>
      <c r="AN40" s="201"/>
      <c r="AO40" s="218" t="str">
        <f t="shared" si="8"/>
        <v>SNI</v>
      </c>
      <c r="AP40" s="201" t="s">
        <v>458</v>
      </c>
      <c r="AQ40" s="201" t="s">
        <v>527</v>
      </c>
      <c r="AR40" s="201" t="s">
        <v>488</v>
      </c>
      <c r="AS40" s="213"/>
      <c r="AT40" s="213"/>
      <c r="AU40" s="476" t="str">
        <f t="shared" si="11"/>
        <v>Ok</v>
      </c>
      <c r="AV40" s="220">
        <v>46238</v>
      </c>
      <c r="AW40" s="221">
        <f t="shared" si="1"/>
        <v>5</v>
      </c>
      <c r="AX40" s="208">
        <f t="shared" si="2"/>
        <v>36</v>
      </c>
      <c r="AY40" s="222"/>
      <c r="AZ40" s="222"/>
      <c r="BA40" s="222"/>
      <c r="BB40" s="222"/>
      <c r="BC40" s="222"/>
      <c r="BD40" s="201"/>
      <c r="BE40" s="201"/>
      <c r="BF40" s="201"/>
      <c r="BG40" s="201"/>
      <c r="BH40" s="455">
        <v>46238</v>
      </c>
      <c r="BI40" s="215">
        <f t="shared" si="7"/>
        <v>5</v>
      </c>
      <c r="BJ40" s="208">
        <f t="shared" si="7"/>
        <v>36</v>
      </c>
      <c r="BK40" s="223">
        <v>7</v>
      </c>
      <c r="BL40" s="208">
        <v>53</v>
      </c>
      <c r="BM40" s="224" t="s">
        <v>222</v>
      </c>
      <c r="BN40" s="201" t="s">
        <v>533</v>
      </c>
      <c r="BO40" s="201"/>
      <c r="BP40" s="201"/>
    </row>
    <row r="41" spans="1:68" s="549" customFormat="1" ht="15.5">
      <c r="A41" s="228">
        <v>28</v>
      </c>
      <c r="B41" s="81">
        <v>14</v>
      </c>
      <c r="C41" s="229">
        <v>46161</v>
      </c>
      <c r="D41" s="174">
        <f t="shared" si="3"/>
        <v>-46161</v>
      </c>
      <c r="E41" s="81" t="s">
        <v>75</v>
      </c>
      <c r="F41" s="230">
        <f t="shared" si="0"/>
        <v>46161</v>
      </c>
      <c r="G41" s="231" t="s">
        <v>175</v>
      </c>
      <c r="H41" s="232">
        <f t="shared" si="9"/>
        <v>46163</v>
      </c>
      <c r="I41" s="233">
        <v>5</v>
      </c>
      <c r="J41" s="234">
        <v>37</v>
      </c>
      <c r="K41" s="235">
        <v>0.11474999999999999</v>
      </c>
      <c r="L41" s="236">
        <v>0.3175</v>
      </c>
      <c r="M41" s="236">
        <v>0.39</v>
      </c>
      <c r="N41" s="237">
        <v>40.25</v>
      </c>
      <c r="O41" s="237">
        <f t="shared" si="4"/>
        <v>28.283346505628518</v>
      </c>
      <c r="P41" s="237">
        <v>70.269183864915576</v>
      </c>
      <c r="Q41" s="236">
        <v>0.23</v>
      </c>
      <c r="R41" s="238">
        <v>76.5</v>
      </c>
      <c r="S41" s="239" t="s">
        <v>486</v>
      </c>
      <c r="T41" s="239" t="s">
        <v>485</v>
      </c>
      <c r="U41" s="239"/>
      <c r="V41" s="240">
        <v>46226</v>
      </c>
      <c r="W41" s="233">
        <f t="shared" si="5"/>
        <v>5</v>
      </c>
      <c r="X41" s="234">
        <f t="shared" si="5"/>
        <v>37</v>
      </c>
      <c r="Y41" s="235"/>
      <c r="Z41" s="236"/>
      <c r="AA41" s="236"/>
      <c r="AB41" s="241">
        <v>44</v>
      </c>
      <c r="AC41" s="237">
        <v>30.8</v>
      </c>
      <c r="AD41" s="237">
        <v>70</v>
      </c>
      <c r="AE41" s="236"/>
      <c r="AF41" s="238">
        <v>81</v>
      </c>
      <c r="AG41" s="239" t="str">
        <f>S41</f>
        <v>Belshina</v>
      </c>
      <c r="AH41" s="239" t="s">
        <v>485</v>
      </c>
      <c r="AI41" s="299">
        <v>46240</v>
      </c>
      <c r="AJ41" s="239"/>
      <c r="AK41" s="239"/>
      <c r="AL41" s="243" t="s">
        <v>222</v>
      </c>
      <c r="AM41" s="239"/>
      <c r="AN41" s="239"/>
      <c r="AO41" s="244" t="str">
        <f t="shared" si="8"/>
        <v>Belshina</v>
      </c>
      <c r="AP41" s="245" t="s">
        <v>459</v>
      </c>
      <c r="AQ41" s="245" t="s">
        <v>471</v>
      </c>
      <c r="AR41" s="239"/>
      <c r="AS41" s="245"/>
      <c r="AT41" s="245"/>
      <c r="AU41" s="476" t="str">
        <f t="shared" si="11"/>
        <v>Reject</v>
      </c>
      <c r="AV41" s="246">
        <v>46178</v>
      </c>
      <c r="AW41" s="247">
        <f t="shared" si="1"/>
        <v>5</v>
      </c>
      <c r="AX41" s="234">
        <f t="shared" si="2"/>
        <v>37</v>
      </c>
      <c r="AY41" s="248"/>
      <c r="AZ41" s="248"/>
      <c r="BA41" s="248" t="s">
        <v>222</v>
      </c>
      <c r="BB41" s="248"/>
      <c r="BC41" s="248"/>
      <c r="BD41" s="239" t="s">
        <v>459</v>
      </c>
      <c r="BE41" s="239" t="s">
        <v>471</v>
      </c>
      <c r="BF41" s="23" t="s">
        <v>496</v>
      </c>
      <c r="BG41" s="23" t="s">
        <v>497</v>
      </c>
      <c r="BH41" s="23"/>
      <c r="BI41" s="233">
        <f t="shared" si="7"/>
        <v>5</v>
      </c>
      <c r="BJ41" s="234">
        <f t="shared" si="7"/>
        <v>37</v>
      </c>
      <c r="BK41" s="249"/>
      <c r="BL41" s="234"/>
      <c r="BM41" s="243"/>
      <c r="BN41" s="141" t="s">
        <v>498</v>
      </c>
      <c r="BO41" s="239" t="s">
        <v>471</v>
      </c>
      <c r="BP41" s="141" t="s">
        <v>499</v>
      </c>
    </row>
    <row r="42" spans="1:68" ht="15.5">
      <c r="A42" s="225">
        <v>28</v>
      </c>
      <c r="B42" s="202" t="s">
        <v>768</v>
      </c>
      <c r="C42" s="226">
        <v>46162</v>
      </c>
      <c r="D42" s="491">
        <f t="shared" si="3"/>
        <v>76</v>
      </c>
      <c r="E42" s="204" t="s">
        <v>75</v>
      </c>
      <c r="F42" s="205">
        <f t="shared" si="0"/>
        <v>46162</v>
      </c>
      <c r="G42" s="206" t="s">
        <v>175</v>
      </c>
      <c r="H42" s="207">
        <f t="shared" si="9"/>
        <v>46164</v>
      </c>
      <c r="I42" s="215">
        <v>5</v>
      </c>
      <c r="J42" s="208">
        <v>38</v>
      </c>
      <c r="K42" s="209">
        <v>0.11824999999999999</v>
      </c>
      <c r="L42" s="210">
        <v>0.31</v>
      </c>
      <c r="M42" s="210">
        <v>0.38</v>
      </c>
      <c r="N42" s="211">
        <v>40</v>
      </c>
      <c r="O42" s="211">
        <f t="shared" si="4"/>
        <v>27.976666666666667</v>
      </c>
      <c r="P42" s="211">
        <v>69.941666666666663</v>
      </c>
      <c r="Q42" s="210">
        <v>0.23</v>
      </c>
      <c r="R42" s="212">
        <v>76.5</v>
      </c>
      <c r="S42" s="201" t="s">
        <v>486</v>
      </c>
      <c r="T42" s="201" t="s">
        <v>485</v>
      </c>
      <c r="U42" s="201"/>
      <c r="V42" s="214">
        <v>46226</v>
      </c>
      <c r="W42" s="215">
        <f t="shared" si="5"/>
        <v>5</v>
      </c>
      <c r="X42" s="208">
        <f t="shared" si="5"/>
        <v>38</v>
      </c>
      <c r="Y42" s="209"/>
      <c r="Z42" s="210"/>
      <c r="AA42" s="210"/>
      <c r="AB42" s="216">
        <v>43</v>
      </c>
      <c r="AC42" s="211">
        <v>30.1</v>
      </c>
      <c r="AD42" s="211">
        <v>70</v>
      </c>
      <c r="AE42" s="210"/>
      <c r="AF42" s="212">
        <v>85</v>
      </c>
      <c r="AG42" s="201" t="str">
        <f>S42</f>
        <v>Belshina</v>
      </c>
      <c r="AH42" s="201" t="s">
        <v>485</v>
      </c>
      <c r="AI42" s="297">
        <v>46178</v>
      </c>
      <c r="AJ42" s="201"/>
      <c r="AK42" s="201"/>
      <c r="AL42" s="201"/>
      <c r="AM42" s="201"/>
      <c r="AN42" s="201"/>
      <c r="AO42" s="218" t="str">
        <f t="shared" si="8"/>
        <v>Belshina</v>
      </c>
      <c r="AP42" s="201" t="s">
        <v>458</v>
      </c>
      <c r="AQ42" s="201"/>
      <c r="AR42" s="201"/>
      <c r="AS42" s="213"/>
      <c r="AT42" s="213"/>
      <c r="AU42" s="476" t="str">
        <f t="shared" si="11"/>
        <v>Ok</v>
      </c>
      <c r="AV42" s="220">
        <v>46178</v>
      </c>
      <c r="AW42" s="221">
        <f t="shared" si="1"/>
        <v>5</v>
      </c>
      <c r="AX42" s="208">
        <f t="shared" si="2"/>
        <v>38</v>
      </c>
      <c r="AY42" s="222"/>
      <c r="AZ42" s="222"/>
      <c r="BA42" s="222"/>
      <c r="BB42" s="222"/>
      <c r="BC42" s="222"/>
      <c r="BD42" s="201"/>
      <c r="BE42" s="201"/>
      <c r="BF42" s="201"/>
      <c r="BG42" s="201"/>
      <c r="BH42" s="455">
        <v>46238</v>
      </c>
      <c r="BI42" s="215">
        <f t="shared" si="7"/>
        <v>5</v>
      </c>
      <c r="BJ42" s="208">
        <f t="shared" si="7"/>
        <v>38</v>
      </c>
      <c r="BK42" s="223">
        <v>5</v>
      </c>
      <c r="BL42" s="208">
        <v>37</v>
      </c>
      <c r="BM42" s="224" t="s">
        <v>222</v>
      </c>
      <c r="BN42" s="201" t="s">
        <v>520</v>
      </c>
      <c r="BO42" s="262" t="s">
        <v>458</v>
      </c>
      <c r="BP42" s="201" t="s">
        <v>499</v>
      </c>
    </row>
    <row r="43" spans="1:68" ht="15.5">
      <c r="A43" s="225">
        <v>28</v>
      </c>
      <c r="B43" s="204">
        <v>15</v>
      </c>
      <c r="C43" s="226">
        <v>46162</v>
      </c>
      <c r="D43" s="491">
        <f t="shared" si="3"/>
        <v>73</v>
      </c>
      <c r="E43" s="204" t="s">
        <v>75</v>
      </c>
      <c r="F43" s="205">
        <f t="shared" si="0"/>
        <v>46162</v>
      </c>
      <c r="G43" s="206" t="s">
        <v>175</v>
      </c>
      <c r="H43" s="207">
        <f t="shared" si="9"/>
        <v>46164</v>
      </c>
      <c r="I43" s="215">
        <v>5</v>
      </c>
      <c r="J43" s="208">
        <v>39</v>
      </c>
      <c r="K43" s="209">
        <v>0.1065</v>
      </c>
      <c r="L43" s="210">
        <v>0.29499999999999998</v>
      </c>
      <c r="M43" s="210">
        <v>0.28999999999999998</v>
      </c>
      <c r="N43" s="211">
        <v>42</v>
      </c>
      <c r="O43" s="211">
        <f t="shared" si="4"/>
        <v>26.725332594235034</v>
      </c>
      <c r="P43" s="211">
        <v>63.631744271988175</v>
      </c>
      <c r="Q43" s="210">
        <v>0.23</v>
      </c>
      <c r="R43" s="212">
        <v>76.5</v>
      </c>
      <c r="S43" s="201" t="s">
        <v>486</v>
      </c>
      <c r="T43" s="201" t="s">
        <v>485</v>
      </c>
      <c r="U43" s="201"/>
      <c r="V43" s="214">
        <v>46226</v>
      </c>
      <c r="W43" s="215">
        <f t="shared" si="5"/>
        <v>5</v>
      </c>
      <c r="X43" s="208">
        <f t="shared" si="5"/>
        <v>39</v>
      </c>
      <c r="Y43" s="209"/>
      <c r="Z43" s="210"/>
      <c r="AA43" s="210"/>
      <c r="AB43" s="216">
        <v>45</v>
      </c>
      <c r="AC43" s="211">
        <v>31.05</v>
      </c>
      <c r="AD43" s="211">
        <v>69</v>
      </c>
      <c r="AE43" s="210"/>
      <c r="AF43" s="212">
        <v>84</v>
      </c>
      <c r="AG43" s="201" t="str">
        <f>S43</f>
        <v>Belshina</v>
      </c>
      <c r="AH43" s="201" t="s">
        <v>485</v>
      </c>
      <c r="AI43" s="217">
        <v>46171</v>
      </c>
      <c r="AJ43" s="201"/>
      <c r="AK43" s="201"/>
      <c r="AL43" s="201"/>
      <c r="AM43" s="201"/>
      <c r="AN43" s="201"/>
      <c r="AO43" s="218" t="str">
        <f t="shared" si="8"/>
        <v>Belshina</v>
      </c>
      <c r="AP43" s="201" t="s">
        <v>458</v>
      </c>
      <c r="AQ43" s="201"/>
      <c r="AR43" s="201"/>
      <c r="AS43" s="213"/>
      <c r="AT43" s="213"/>
      <c r="AU43" s="476" t="str">
        <f t="shared" si="11"/>
        <v>Ok</v>
      </c>
      <c r="AV43" s="220">
        <v>46171</v>
      </c>
      <c r="AW43" s="221">
        <f t="shared" si="1"/>
        <v>5</v>
      </c>
      <c r="AX43" s="208">
        <f t="shared" si="2"/>
        <v>39</v>
      </c>
      <c r="AY43" s="222"/>
      <c r="AZ43" s="222"/>
      <c r="BA43" s="222"/>
      <c r="BB43" s="222"/>
      <c r="BC43" s="222"/>
      <c r="BD43" s="201"/>
      <c r="BE43" s="201"/>
      <c r="BF43" s="201"/>
      <c r="BG43" s="201"/>
      <c r="BH43" s="455">
        <v>46235</v>
      </c>
      <c r="BI43" s="215">
        <f t="shared" si="7"/>
        <v>5</v>
      </c>
      <c r="BJ43" s="208">
        <f t="shared" si="7"/>
        <v>39</v>
      </c>
      <c r="BK43" s="223">
        <v>4</v>
      </c>
      <c r="BL43" s="208">
        <v>25</v>
      </c>
      <c r="BM43" s="224" t="s">
        <v>222</v>
      </c>
      <c r="BN43" s="201"/>
      <c r="BO43" s="201"/>
      <c r="BP43" s="201"/>
    </row>
    <row r="44" spans="1:68" ht="15.5">
      <c r="A44" s="225">
        <v>28</v>
      </c>
      <c r="B44" s="204">
        <v>15</v>
      </c>
      <c r="C44" s="226">
        <v>46162</v>
      </c>
      <c r="D44" s="491">
        <f t="shared" si="3"/>
        <v>73</v>
      </c>
      <c r="E44" s="204" t="s">
        <v>75</v>
      </c>
      <c r="F44" s="205">
        <f t="shared" si="0"/>
        <v>46162</v>
      </c>
      <c r="G44" s="206" t="s">
        <v>175</v>
      </c>
      <c r="H44" s="207">
        <f t="shared" si="9"/>
        <v>46164</v>
      </c>
      <c r="I44" s="215">
        <v>5</v>
      </c>
      <c r="J44" s="208">
        <v>40</v>
      </c>
      <c r="K44" s="209">
        <v>0.11374999999999999</v>
      </c>
      <c r="L44" s="210">
        <v>0.30499999999999999</v>
      </c>
      <c r="M44" s="210">
        <v>0.3</v>
      </c>
      <c r="N44" s="211">
        <v>41.25</v>
      </c>
      <c r="O44" s="211">
        <f t="shared" si="4"/>
        <v>26.262440113240419</v>
      </c>
      <c r="P44" s="211">
        <v>63.666521486643433</v>
      </c>
      <c r="Q44" s="210">
        <v>0.23</v>
      </c>
      <c r="R44" s="212">
        <v>76.5</v>
      </c>
      <c r="S44" s="201" t="s">
        <v>486</v>
      </c>
      <c r="T44" s="201" t="s">
        <v>485</v>
      </c>
      <c r="U44" s="201"/>
      <c r="V44" s="214">
        <v>46226</v>
      </c>
      <c r="W44" s="215">
        <f t="shared" si="5"/>
        <v>5</v>
      </c>
      <c r="X44" s="208">
        <f t="shared" si="5"/>
        <v>40</v>
      </c>
      <c r="Y44" s="209"/>
      <c r="Z44" s="210"/>
      <c r="AA44" s="210"/>
      <c r="AB44" s="216">
        <v>44</v>
      </c>
      <c r="AC44" s="211">
        <v>29.04</v>
      </c>
      <c r="AD44" s="211">
        <v>66</v>
      </c>
      <c r="AE44" s="210"/>
      <c r="AF44" s="212">
        <v>84</v>
      </c>
      <c r="AG44" s="201" t="str">
        <f>S44</f>
        <v>Belshina</v>
      </c>
      <c r="AH44" s="201" t="s">
        <v>485</v>
      </c>
      <c r="AI44" s="217">
        <v>46171</v>
      </c>
      <c r="AJ44" s="201"/>
      <c r="AK44" s="201"/>
      <c r="AL44" s="201"/>
      <c r="AM44" s="201"/>
      <c r="AN44" s="201"/>
      <c r="AO44" s="218" t="str">
        <f t="shared" si="8"/>
        <v>Belshina</v>
      </c>
      <c r="AP44" s="201" t="s">
        <v>458</v>
      </c>
      <c r="AQ44" s="201"/>
      <c r="AR44" s="201"/>
      <c r="AS44" s="213"/>
      <c r="AT44" s="213"/>
      <c r="AU44" s="476" t="str">
        <f t="shared" si="11"/>
        <v>Ok</v>
      </c>
      <c r="AV44" s="220">
        <v>46171</v>
      </c>
      <c r="AW44" s="221">
        <f t="shared" si="1"/>
        <v>5</v>
      </c>
      <c r="AX44" s="208">
        <f t="shared" si="2"/>
        <v>40</v>
      </c>
      <c r="AY44" s="222"/>
      <c r="AZ44" s="222"/>
      <c r="BA44" s="222"/>
      <c r="BB44" s="222"/>
      <c r="BC44" s="222"/>
      <c r="BD44" s="201"/>
      <c r="BE44" s="201"/>
      <c r="BF44" s="201"/>
      <c r="BG44" s="201"/>
      <c r="BH44" s="455">
        <v>46235</v>
      </c>
      <c r="BI44" s="215">
        <f t="shared" si="7"/>
        <v>5</v>
      </c>
      <c r="BJ44" s="208">
        <f t="shared" si="7"/>
        <v>40</v>
      </c>
      <c r="BK44" s="223">
        <v>4</v>
      </c>
      <c r="BL44" s="208">
        <v>26</v>
      </c>
      <c r="BM44" s="224" t="s">
        <v>222</v>
      </c>
      <c r="BN44" s="201"/>
      <c r="BO44" s="201"/>
      <c r="BP44" s="201"/>
    </row>
    <row r="45" spans="1:68" ht="15.5">
      <c r="A45" s="225">
        <v>28</v>
      </c>
      <c r="B45" s="204">
        <v>15</v>
      </c>
      <c r="C45" s="226">
        <v>46162</v>
      </c>
      <c r="D45" s="491">
        <f t="shared" si="3"/>
        <v>73</v>
      </c>
      <c r="E45" s="204" t="s">
        <v>75</v>
      </c>
      <c r="F45" s="205">
        <f t="shared" si="0"/>
        <v>46162</v>
      </c>
      <c r="G45" s="206" t="s">
        <v>175</v>
      </c>
      <c r="H45" s="207">
        <f t="shared" si="9"/>
        <v>46164</v>
      </c>
      <c r="I45" s="215">
        <v>6</v>
      </c>
      <c r="J45" s="208">
        <v>41</v>
      </c>
      <c r="K45" s="209">
        <v>0.111</v>
      </c>
      <c r="L45" s="210">
        <v>0.30000000000000004</v>
      </c>
      <c r="M45" s="210">
        <v>0.27</v>
      </c>
      <c r="N45" s="211">
        <v>39.75</v>
      </c>
      <c r="O45" s="211">
        <f t="shared" si="4"/>
        <v>26.960437500000001</v>
      </c>
      <c r="P45" s="211">
        <v>67.825000000000003</v>
      </c>
      <c r="Q45" s="210">
        <v>0.21</v>
      </c>
      <c r="R45" s="212">
        <v>74</v>
      </c>
      <c r="S45" s="201" t="s">
        <v>427</v>
      </c>
      <c r="T45" s="201" t="s">
        <v>485</v>
      </c>
      <c r="U45" s="201"/>
      <c r="V45" s="300" t="s">
        <v>534</v>
      </c>
      <c r="W45" s="215">
        <f t="shared" si="5"/>
        <v>6</v>
      </c>
      <c r="X45" s="208">
        <f t="shared" si="5"/>
        <v>41</v>
      </c>
      <c r="Y45" s="209"/>
      <c r="Z45" s="210"/>
      <c r="AA45" s="210"/>
      <c r="AB45" s="216">
        <v>50</v>
      </c>
      <c r="AC45" s="211">
        <v>30</v>
      </c>
      <c r="AD45" s="211">
        <v>60</v>
      </c>
      <c r="AE45" s="210"/>
      <c r="AF45" s="216" t="s">
        <v>535</v>
      </c>
      <c r="AG45" s="201" t="s">
        <v>486</v>
      </c>
      <c r="AH45" s="201" t="s">
        <v>485</v>
      </c>
      <c r="AI45" s="297">
        <v>46179</v>
      </c>
      <c r="AJ45" s="201"/>
      <c r="AK45" s="201"/>
      <c r="AL45" s="201"/>
      <c r="AM45" s="201"/>
      <c r="AN45" s="201"/>
      <c r="AO45" s="218" t="str">
        <f t="shared" si="8"/>
        <v>Belshina</v>
      </c>
      <c r="AP45" s="201" t="s">
        <v>458</v>
      </c>
      <c r="AQ45" s="201"/>
      <c r="AR45" s="201"/>
      <c r="AS45" s="213"/>
      <c r="AT45" s="213"/>
      <c r="AU45" s="476" t="str">
        <f t="shared" si="11"/>
        <v>Ok</v>
      </c>
      <c r="AV45" s="220">
        <v>46179</v>
      </c>
      <c r="AW45" s="221">
        <f t="shared" si="1"/>
        <v>6</v>
      </c>
      <c r="AX45" s="208">
        <f t="shared" si="2"/>
        <v>41</v>
      </c>
      <c r="AY45" s="222"/>
      <c r="AZ45" s="222"/>
      <c r="BA45" s="222"/>
      <c r="BB45" s="222"/>
      <c r="BC45" s="222"/>
      <c r="BD45" s="201"/>
      <c r="BE45" s="201"/>
      <c r="BF45" s="201"/>
      <c r="BG45" s="201"/>
      <c r="BH45" s="455">
        <v>46235</v>
      </c>
      <c r="BI45" s="215">
        <f t="shared" si="7"/>
        <v>6</v>
      </c>
      <c r="BJ45" s="208">
        <f t="shared" si="7"/>
        <v>41</v>
      </c>
      <c r="BK45" s="223">
        <v>4</v>
      </c>
      <c r="BL45" s="208">
        <v>27</v>
      </c>
      <c r="BM45" s="224" t="s">
        <v>222</v>
      </c>
      <c r="BN45" s="201"/>
      <c r="BO45" s="201"/>
      <c r="BP45" s="201"/>
    </row>
    <row r="46" spans="1:68" ht="15.5">
      <c r="A46" s="225">
        <v>28</v>
      </c>
      <c r="B46" s="204">
        <v>15</v>
      </c>
      <c r="C46" s="226">
        <v>46162</v>
      </c>
      <c r="D46" s="491">
        <f t="shared" si="3"/>
        <v>73</v>
      </c>
      <c r="E46" s="204" t="s">
        <v>75</v>
      </c>
      <c r="F46" s="205">
        <f t="shared" si="0"/>
        <v>46162</v>
      </c>
      <c r="G46" s="206" t="s">
        <v>175</v>
      </c>
      <c r="H46" s="207">
        <f t="shared" si="9"/>
        <v>46164</v>
      </c>
      <c r="I46" s="215">
        <v>6</v>
      </c>
      <c r="J46" s="208">
        <v>42</v>
      </c>
      <c r="K46" s="209">
        <v>0.11175</v>
      </c>
      <c r="L46" s="210">
        <v>0.32750000000000001</v>
      </c>
      <c r="M46" s="210">
        <v>0.28999999999999998</v>
      </c>
      <c r="N46" s="211">
        <v>45.25</v>
      </c>
      <c r="O46" s="211">
        <f t="shared" si="4"/>
        <v>29.231499999999997</v>
      </c>
      <c r="P46" s="211">
        <v>64.599999999999994</v>
      </c>
      <c r="Q46" s="210">
        <v>0.21</v>
      </c>
      <c r="R46" s="212">
        <v>74</v>
      </c>
      <c r="S46" s="201" t="s">
        <v>427</v>
      </c>
      <c r="T46" s="201" t="s">
        <v>485</v>
      </c>
      <c r="U46" s="201"/>
      <c r="V46" s="300" t="s">
        <v>536</v>
      </c>
      <c r="W46" s="215">
        <f t="shared" si="5"/>
        <v>6</v>
      </c>
      <c r="X46" s="208">
        <f t="shared" si="5"/>
        <v>42</v>
      </c>
      <c r="Y46" s="209"/>
      <c r="Z46" s="210"/>
      <c r="AA46" s="210"/>
      <c r="AB46" s="216">
        <v>43</v>
      </c>
      <c r="AC46" s="211">
        <v>27.09</v>
      </c>
      <c r="AD46" s="211">
        <v>63</v>
      </c>
      <c r="AE46" s="210"/>
      <c r="AF46" s="216" t="s">
        <v>537</v>
      </c>
      <c r="AG46" s="201" t="s">
        <v>486</v>
      </c>
      <c r="AH46" s="201" t="s">
        <v>485</v>
      </c>
      <c r="AI46" s="297">
        <v>46181</v>
      </c>
      <c r="AJ46" s="201"/>
      <c r="AK46" s="201"/>
      <c r="AL46" s="201"/>
      <c r="AM46" s="201"/>
      <c r="AN46" s="201"/>
      <c r="AO46" s="218" t="str">
        <f t="shared" si="8"/>
        <v>Belshina</v>
      </c>
      <c r="AP46" s="201" t="s">
        <v>458</v>
      </c>
      <c r="AQ46" s="201"/>
      <c r="AR46" s="201"/>
      <c r="AS46" s="213"/>
      <c r="AT46" s="213"/>
      <c r="AU46" s="476" t="str">
        <f t="shared" si="11"/>
        <v>Ok</v>
      </c>
      <c r="AV46" s="220">
        <v>46181</v>
      </c>
      <c r="AW46" s="221">
        <f t="shared" si="1"/>
        <v>6</v>
      </c>
      <c r="AX46" s="208">
        <f t="shared" si="2"/>
        <v>42</v>
      </c>
      <c r="AY46" s="222"/>
      <c r="AZ46" s="222"/>
      <c r="BA46" s="222"/>
      <c r="BB46" s="222"/>
      <c r="BC46" s="222"/>
      <c r="BD46" s="201"/>
      <c r="BE46" s="201"/>
      <c r="BF46" s="201"/>
      <c r="BG46" s="201"/>
      <c r="BH46" s="455">
        <v>46235</v>
      </c>
      <c r="BI46" s="215">
        <f t="shared" si="7"/>
        <v>6</v>
      </c>
      <c r="BJ46" s="208">
        <f t="shared" si="7"/>
        <v>42</v>
      </c>
      <c r="BK46" s="223">
        <v>4</v>
      </c>
      <c r="BL46" s="208">
        <v>28</v>
      </c>
      <c r="BM46" s="224" t="s">
        <v>222</v>
      </c>
      <c r="BN46" s="201"/>
      <c r="BO46" s="201"/>
      <c r="BP46" s="201"/>
    </row>
    <row r="47" spans="1:68" ht="15.5">
      <c r="A47" s="481" t="s">
        <v>770</v>
      </c>
      <c r="B47" s="204" t="s">
        <v>769</v>
      </c>
      <c r="C47" s="226">
        <v>46162</v>
      </c>
      <c r="D47" s="491">
        <f t="shared" si="3"/>
        <v>73</v>
      </c>
      <c r="E47" s="204" t="s">
        <v>75</v>
      </c>
      <c r="F47" s="205">
        <f t="shared" si="0"/>
        <v>46162</v>
      </c>
      <c r="G47" s="206" t="s">
        <v>175</v>
      </c>
      <c r="H47" s="207">
        <f t="shared" si="9"/>
        <v>46164</v>
      </c>
      <c r="I47" s="215">
        <v>6</v>
      </c>
      <c r="J47" s="208">
        <v>43</v>
      </c>
      <c r="K47" s="209">
        <v>0.11724999999999999</v>
      </c>
      <c r="L47" s="210">
        <v>0.31</v>
      </c>
      <c r="M47" s="210">
        <v>0.28999999999999998</v>
      </c>
      <c r="N47" s="211">
        <v>47.5</v>
      </c>
      <c r="O47" s="211">
        <f t="shared" si="4"/>
        <v>27.775624999999994</v>
      </c>
      <c r="P47" s="211">
        <v>58.474999999999994</v>
      </c>
      <c r="Q47" s="210">
        <v>0.21</v>
      </c>
      <c r="R47" s="212">
        <v>74</v>
      </c>
      <c r="S47" s="201" t="s">
        <v>427</v>
      </c>
      <c r="T47" s="201" t="s">
        <v>460</v>
      </c>
      <c r="U47" s="201" t="s">
        <v>63</v>
      </c>
      <c r="V47" s="300" t="s">
        <v>538</v>
      </c>
      <c r="W47" s="215">
        <f t="shared" si="5"/>
        <v>6</v>
      </c>
      <c r="X47" s="208">
        <f t="shared" si="5"/>
        <v>43</v>
      </c>
      <c r="Y47" s="209"/>
      <c r="Z47" s="210"/>
      <c r="AA47" s="210"/>
      <c r="AB47" s="211" t="s">
        <v>539</v>
      </c>
      <c r="AC47" s="211" t="s">
        <v>540</v>
      </c>
      <c r="AD47" s="211" t="s">
        <v>541</v>
      </c>
      <c r="AE47" s="210"/>
      <c r="AF47" s="216" t="s">
        <v>542</v>
      </c>
      <c r="AG47" s="201" t="s">
        <v>486</v>
      </c>
      <c r="AH47" s="201" t="s">
        <v>485</v>
      </c>
      <c r="AI47" s="297">
        <v>46179</v>
      </c>
      <c r="AJ47" s="201"/>
      <c r="AK47" s="201"/>
      <c r="AL47" s="201"/>
      <c r="AM47" s="201"/>
      <c r="AN47" s="201"/>
      <c r="AO47" s="218" t="str">
        <f t="shared" si="8"/>
        <v>Belshina</v>
      </c>
      <c r="AP47" s="201" t="s">
        <v>458</v>
      </c>
      <c r="AQ47" s="201"/>
      <c r="AR47" s="201"/>
      <c r="AS47" s="213"/>
      <c r="AT47" s="213"/>
      <c r="AU47" s="476" t="str">
        <f t="shared" si="11"/>
        <v>Ok</v>
      </c>
      <c r="AV47" s="220">
        <v>46179</v>
      </c>
      <c r="AW47" s="221">
        <f t="shared" si="1"/>
        <v>6</v>
      </c>
      <c r="AX47" s="208">
        <f t="shared" si="2"/>
        <v>43</v>
      </c>
      <c r="AY47" s="222"/>
      <c r="AZ47" s="222"/>
      <c r="BA47" s="222"/>
      <c r="BB47" s="222"/>
      <c r="BC47" s="222"/>
      <c r="BD47" s="201"/>
      <c r="BE47" s="201"/>
      <c r="BF47" s="201"/>
      <c r="BG47" s="201"/>
      <c r="BH47" s="455">
        <v>46235</v>
      </c>
      <c r="BI47" s="215">
        <f t="shared" si="7"/>
        <v>6</v>
      </c>
      <c r="BJ47" s="208">
        <f t="shared" si="7"/>
        <v>43</v>
      </c>
      <c r="BK47" s="223">
        <v>4</v>
      </c>
      <c r="BL47" s="208">
        <v>29</v>
      </c>
      <c r="BM47" s="224" t="s">
        <v>222</v>
      </c>
      <c r="BN47" s="201"/>
      <c r="BO47" s="201"/>
      <c r="BP47" s="201"/>
    </row>
    <row r="48" spans="1:68" ht="15.5">
      <c r="A48" s="5">
        <v>4</v>
      </c>
      <c r="B48" s="38">
        <v>17</v>
      </c>
      <c r="C48" s="301">
        <v>46163</v>
      </c>
      <c r="D48" s="174">
        <f t="shared" si="3"/>
        <v>-46163</v>
      </c>
      <c r="E48" s="38" t="s">
        <v>75</v>
      </c>
      <c r="F48" s="302">
        <f t="shared" si="0"/>
        <v>46163</v>
      </c>
      <c r="G48" s="303" t="s">
        <v>175</v>
      </c>
      <c r="H48" s="304">
        <f t="shared" si="9"/>
        <v>46165</v>
      </c>
      <c r="I48" s="133">
        <v>6</v>
      </c>
      <c r="J48" s="155">
        <v>44</v>
      </c>
      <c r="K48" s="138">
        <v>0.10925</v>
      </c>
      <c r="L48" s="8">
        <v>0.33250000000000002</v>
      </c>
      <c r="M48" s="8">
        <v>0.37</v>
      </c>
      <c r="N48" s="139">
        <v>46</v>
      </c>
      <c r="O48" s="139">
        <f t="shared" si="4"/>
        <v>28.75</v>
      </c>
      <c r="P48" s="139">
        <v>62.5</v>
      </c>
      <c r="Q48" s="8">
        <v>0.21</v>
      </c>
      <c r="R48" s="140">
        <v>74</v>
      </c>
      <c r="S48" s="141" t="s">
        <v>427</v>
      </c>
      <c r="T48" s="141" t="s">
        <v>485</v>
      </c>
      <c r="U48" s="141"/>
      <c r="V48" s="152" t="s">
        <v>534</v>
      </c>
      <c r="W48" s="133">
        <f t="shared" si="5"/>
        <v>6</v>
      </c>
      <c r="X48" s="155">
        <f t="shared" si="5"/>
        <v>44</v>
      </c>
      <c r="Y48" s="138"/>
      <c r="Z48" s="8"/>
      <c r="AA48" s="8"/>
      <c r="AB48" s="139"/>
      <c r="AC48" s="139"/>
      <c r="AD48" s="139"/>
      <c r="AE48" s="8"/>
      <c r="AF48" s="305" t="s">
        <v>543</v>
      </c>
      <c r="AG48" s="141" t="str">
        <f t="shared" ref="AG48:AG53" si="12">S48</f>
        <v>SNI</v>
      </c>
      <c r="AH48" s="141" t="s">
        <v>485</v>
      </c>
      <c r="AI48" s="306">
        <v>46239</v>
      </c>
      <c r="AJ48" s="141"/>
      <c r="AK48" s="141"/>
      <c r="AL48" s="141"/>
      <c r="AM48" s="141"/>
      <c r="AN48" s="141"/>
      <c r="AO48" s="195" t="str">
        <f t="shared" si="8"/>
        <v>SNI</v>
      </c>
      <c r="AP48" s="141" t="s">
        <v>458</v>
      </c>
      <c r="AQ48" s="141"/>
      <c r="AR48" s="141"/>
      <c r="AS48" s="307"/>
      <c r="AT48" s="307"/>
      <c r="AU48" s="476" t="str">
        <f t="shared" si="11"/>
        <v>Ok</v>
      </c>
      <c r="AV48" s="309">
        <v>46179</v>
      </c>
      <c r="AW48" s="310">
        <f t="shared" si="1"/>
        <v>6</v>
      </c>
      <c r="AX48" s="155">
        <f t="shared" si="2"/>
        <v>44</v>
      </c>
      <c r="AY48" s="311"/>
      <c r="AZ48" s="311"/>
      <c r="BA48" s="311"/>
      <c r="BB48" s="311"/>
      <c r="BC48" s="311"/>
      <c r="BD48" s="141"/>
      <c r="BE48" s="141"/>
      <c r="BF48" s="23" t="s">
        <v>496</v>
      </c>
      <c r="BG48" s="23" t="s">
        <v>497</v>
      </c>
      <c r="BH48" s="23"/>
      <c r="BI48" s="133">
        <f t="shared" si="7"/>
        <v>6</v>
      </c>
      <c r="BJ48" s="155">
        <f t="shared" si="7"/>
        <v>44</v>
      </c>
      <c r="BK48" s="312"/>
      <c r="BL48" s="155"/>
      <c r="BM48" s="200"/>
      <c r="BN48" s="141" t="s">
        <v>498</v>
      </c>
      <c r="BO48" s="239" t="s">
        <v>471</v>
      </c>
      <c r="BP48" s="141" t="s">
        <v>499</v>
      </c>
    </row>
    <row r="49" spans="1:68" ht="15.5">
      <c r="A49" s="225">
        <v>4</v>
      </c>
      <c r="B49" s="204">
        <v>17</v>
      </c>
      <c r="C49" s="226">
        <v>46163</v>
      </c>
      <c r="D49" s="491">
        <f t="shared" si="3"/>
        <v>72</v>
      </c>
      <c r="E49" s="204" t="s">
        <v>75</v>
      </c>
      <c r="F49" s="205">
        <f t="shared" si="0"/>
        <v>46163</v>
      </c>
      <c r="G49" s="206" t="s">
        <v>175</v>
      </c>
      <c r="H49" s="207">
        <f t="shared" si="9"/>
        <v>46165</v>
      </c>
      <c r="I49" s="215">
        <v>6</v>
      </c>
      <c r="J49" s="208">
        <v>45</v>
      </c>
      <c r="K49" s="209">
        <v>0.10975</v>
      </c>
      <c r="L49" s="210">
        <v>0.32250000000000001</v>
      </c>
      <c r="M49" s="210">
        <v>0.28000000000000003</v>
      </c>
      <c r="N49" s="211">
        <v>42.75</v>
      </c>
      <c r="O49" s="211">
        <f t="shared" si="4"/>
        <v>30.021187499999996</v>
      </c>
      <c r="P49" s="211">
        <v>70.224999999999994</v>
      </c>
      <c r="Q49" s="210">
        <v>0.21</v>
      </c>
      <c r="R49" s="212">
        <v>78</v>
      </c>
      <c r="S49" s="201" t="s">
        <v>486</v>
      </c>
      <c r="T49" s="201" t="s">
        <v>485</v>
      </c>
      <c r="U49" s="201"/>
      <c r="V49" s="300" t="s">
        <v>544</v>
      </c>
      <c r="W49" s="215">
        <f t="shared" si="5"/>
        <v>6</v>
      </c>
      <c r="X49" s="208">
        <f t="shared" si="5"/>
        <v>45</v>
      </c>
      <c r="Y49" s="209"/>
      <c r="Z49" s="210"/>
      <c r="AA49" s="210"/>
      <c r="AB49" s="216">
        <v>42</v>
      </c>
      <c r="AC49" s="211">
        <v>28.98</v>
      </c>
      <c r="AD49" s="211">
        <v>69</v>
      </c>
      <c r="AE49" s="210"/>
      <c r="AF49" s="212">
        <v>82</v>
      </c>
      <c r="AG49" s="201" t="str">
        <f t="shared" si="12"/>
        <v>Belshina</v>
      </c>
      <c r="AH49" s="201" t="s">
        <v>485</v>
      </c>
      <c r="AI49" s="297">
        <v>46182</v>
      </c>
      <c r="AJ49" s="201"/>
      <c r="AK49" s="201"/>
      <c r="AL49" s="201"/>
      <c r="AM49" s="201"/>
      <c r="AN49" s="201"/>
      <c r="AO49" s="218" t="str">
        <f t="shared" si="8"/>
        <v>Belshina</v>
      </c>
      <c r="AP49" s="201" t="s">
        <v>458</v>
      </c>
      <c r="AQ49" s="201"/>
      <c r="AR49" s="201"/>
      <c r="AS49" s="213"/>
      <c r="AT49" s="213"/>
      <c r="AU49" s="476" t="str">
        <f t="shared" si="11"/>
        <v>Ok</v>
      </c>
      <c r="AV49" s="220">
        <v>46182</v>
      </c>
      <c r="AW49" s="221">
        <f t="shared" si="1"/>
        <v>6</v>
      </c>
      <c r="AX49" s="208">
        <f t="shared" si="2"/>
        <v>45</v>
      </c>
      <c r="AY49" s="222"/>
      <c r="AZ49" s="222"/>
      <c r="BA49" s="222"/>
      <c r="BB49" s="222"/>
      <c r="BC49" s="222"/>
      <c r="BD49" s="201"/>
      <c r="BE49" s="201"/>
      <c r="BF49" s="201"/>
      <c r="BG49" s="201"/>
      <c r="BH49" s="455">
        <v>46235</v>
      </c>
      <c r="BI49" s="215">
        <f t="shared" si="7"/>
        <v>6</v>
      </c>
      <c r="BJ49" s="208">
        <f t="shared" si="7"/>
        <v>45</v>
      </c>
      <c r="BK49" s="223">
        <v>4</v>
      </c>
      <c r="BL49" s="208">
        <v>30</v>
      </c>
      <c r="BM49" s="224" t="s">
        <v>222</v>
      </c>
      <c r="BN49" s="201"/>
      <c r="BO49" s="201"/>
      <c r="BP49" s="201"/>
    </row>
    <row r="50" spans="1:68" ht="15.5">
      <c r="A50" s="225">
        <v>4</v>
      </c>
      <c r="B50" s="204">
        <v>17</v>
      </c>
      <c r="C50" s="226">
        <v>46163</v>
      </c>
      <c r="D50" s="491">
        <f t="shared" si="3"/>
        <v>72</v>
      </c>
      <c r="E50" s="204" t="s">
        <v>75</v>
      </c>
      <c r="F50" s="205">
        <f t="shared" si="0"/>
        <v>46163</v>
      </c>
      <c r="G50" s="206" t="s">
        <v>175</v>
      </c>
      <c r="H50" s="207">
        <f t="shared" si="9"/>
        <v>46165</v>
      </c>
      <c r="I50" s="215">
        <v>6</v>
      </c>
      <c r="J50" s="208">
        <v>46</v>
      </c>
      <c r="K50" s="209">
        <v>0.1085</v>
      </c>
      <c r="L50" s="210">
        <v>0.3175</v>
      </c>
      <c r="M50" s="210">
        <v>0.28999999999999998</v>
      </c>
      <c r="N50" s="211">
        <v>43.5</v>
      </c>
      <c r="O50" s="211">
        <f t="shared" si="4"/>
        <v>28.079249999999998</v>
      </c>
      <c r="P50" s="211">
        <v>64.55</v>
      </c>
      <c r="Q50" s="210">
        <v>0.21</v>
      </c>
      <c r="R50" s="212">
        <v>78</v>
      </c>
      <c r="S50" s="201" t="s">
        <v>486</v>
      </c>
      <c r="T50" s="201" t="s">
        <v>485</v>
      </c>
      <c r="U50" s="201"/>
      <c r="V50" s="214">
        <v>46226</v>
      </c>
      <c r="W50" s="215">
        <f t="shared" si="5"/>
        <v>6</v>
      </c>
      <c r="X50" s="208">
        <f t="shared" si="5"/>
        <v>46</v>
      </c>
      <c r="Y50" s="209"/>
      <c r="Z50" s="210"/>
      <c r="AA50" s="210"/>
      <c r="AB50" s="216">
        <v>50</v>
      </c>
      <c r="AC50" s="211">
        <v>33</v>
      </c>
      <c r="AD50" s="211">
        <v>66</v>
      </c>
      <c r="AE50" s="210"/>
      <c r="AF50" s="212">
        <v>88</v>
      </c>
      <c r="AG50" s="201" t="str">
        <f t="shared" si="12"/>
        <v>Belshina</v>
      </c>
      <c r="AH50" s="201" t="s">
        <v>485</v>
      </c>
      <c r="AI50" s="297">
        <v>46178</v>
      </c>
      <c r="AJ50" s="201"/>
      <c r="AK50" s="201"/>
      <c r="AL50" s="201"/>
      <c r="AM50" s="201"/>
      <c r="AN50" s="201"/>
      <c r="AO50" s="218" t="str">
        <f t="shared" si="8"/>
        <v>Belshina</v>
      </c>
      <c r="AP50" s="201" t="s">
        <v>458</v>
      </c>
      <c r="AQ50" s="201"/>
      <c r="AR50" s="201"/>
      <c r="AS50" s="213"/>
      <c r="AT50" s="213"/>
      <c r="AU50" s="476" t="str">
        <f t="shared" si="11"/>
        <v>Ok</v>
      </c>
      <c r="AV50" s="220">
        <v>46178</v>
      </c>
      <c r="AW50" s="221">
        <f t="shared" si="1"/>
        <v>6</v>
      </c>
      <c r="AX50" s="208">
        <f t="shared" si="2"/>
        <v>46</v>
      </c>
      <c r="AY50" s="222"/>
      <c r="AZ50" s="222"/>
      <c r="BA50" s="222"/>
      <c r="BB50" s="222"/>
      <c r="BC50" s="222"/>
      <c r="BD50" s="201"/>
      <c r="BE50" s="201"/>
      <c r="BF50" s="201"/>
      <c r="BG50" s="201"/>
      <c r="BH50" s="455">
        <v>46235</v>
      </c>
      <c r="BI50" s="215">
        <f t="shared" si="7"/>
        <v>6</v>
      </c>
      <c r="BJ50" s="208">
        <f t="shared" si="7"/>
        <v>46</v>
      </c>
      <c r="BK50" s="223">
        <v>4</v>
      </c>
      <c r="BL50" s="208">
        <v>31</v>
      </c>
      <c r="BM50" s="224" t="s">
        <v>222</v>
      </c>
      <c r="BN50" s="201"/>
      <c r="BO50" s="201"/>
      <c r="BP50" s="201"/>
    </row>
    <row r="51" spans="1:68" ht="15.5">
      <c r="A51" s="225">
        <v>4</v>
      </c>
      <c r="B51" s="204">
        <v>17</v>
      </c>
      <c r="C51" s="226">
        <v>46163</v>
      </c>
      <c r="D51" s="491">
        <f t="shared" si="3"/>
        <v>72</v>
      </c>
      <c r="E51" s="204" t="s">
        <v>75</v>
      </c>
      <c r="F51" s="205">
        <f t="shared" si="0"/>
        <v>46163</v>
      </c>
      <c r="G51" s="206" t="s">
        <v>175</v>
      </c>
      <c r="H51" s="207">
        <f t="shared" si="9"/>
        <v>46165</v>
      </c>
      <c r="I51" s="215">
        <v>6</v>
      </c>
      <c r="J51" s="208">
        <v>47</v>
      </c>
      <c r="K51" s="209">
        <v>0.11424999999999999</v>
      </c>
      <c r="L51" s="210">
        <v>0.32750000000000001</v>
      </c>
      <c r="M51" s="210">
        <v>0.3</v>
      </c>
      <c r="N51" s="211">
        <v>45</v>
      </c>
      <c r="O51" s="211">
        <f t="shared" si="4"/>
        <v>26.505000000000006</v>
      </c>
      <c r="P51" s="211">
        <v>58.900000000000006</v>
      </c>
      <c r="Q51" s="210">
        <v>0.21</v>
      </c>
      <c r="R51" s="212">
        <v>78</v>
      </c>
      <c r="S51" s="201" t="s">
        <v>486</v>
      </c>
      <c r="T51" s="201" t="s">
        <v>460</v>
      </c>
      <c r="U51" s="201" t="s">
        <v>63</v>
      </c>
      <c r="V51" s="300" t="s">
        <v>545</v>
      </c>
      <c r="W51" s="215">
        <f t="shared" si="5"/>
        <v>6</v>
      </c>
      <c r="X51" s="208">
        <f t="shared" si="5"/>
        <v>47</v>
      </c>
      <c r="Y51" s="209"/>
      <c r="Z51" s="210"/>
      <c r="AA51" s="210"/>
      <c r="AB51" s="227" t="s">
        <v>546</v>
      </c>
      <c r="AC51" s="211" t="s">
        <v>547</v>
      </c>
      <c r="AD51" s="227" t="s">
        <v>548</v>
      </c>
      <c r="AE51" s="210"/>
      <c r="AF51" s="212">
        <v>87</v>
      </c>
      <c r="AG51" s="201" t="str">
        <f t="shared" si="12"/>
        <v>Belshina</v>
      </c>
      <c r="AH51" s="201" t="s">
        <v>485</v>
      </c>
      <c r="AI51" s="297">
        <v>46178</v>
      </c>
      <c r="AJ51" s="201"/>
      <c r="AK51" s="201"/>
      <c r="AL51" s="201"/>
      <c r="AM51" s="201"/>
      <c r="AN51" s="201"/>
      <c r="AO51" s="218" t="str">
        <f t="shared" si="8"/>
        <v>Belshina</v>
      </c>
      <c r="AP51" s="201" t="s">
        <v>458</v>
      </c>
      <c r="AQ51" s="201"/>
      <c r="AR51" s="201"/>
      <c r="AS51" s="213"/>
      <c r="AT51" s="213"/>
      <c r="AU51" s="476" t="str">
        <f t="shared" si="11"/>
        <v>Ok</v>
      </c>
      <c r="AV51" s="220">
        <v>46178</v>
      </c>
      <c r="AW51" s="221">
        <f t="shared" si="1"/>
        <v>6</v>
      </c>
      <c r="AX51" s="208">
        <f t="shared" si="2"/>
        <v>47</v>
      </c>
      <c r="AY51" s="222"/>
      <c r="AZ51" s="222"/>
      <c r="BA51" s="222"/>
      <c r="BB51" s="222"/>
      <c r="BC51" s="222"/>
      <c r="BD51" s="201"/>
      <c r="BE51" s="201"/>
      <c r="BF51" s="201"/>
      <c r="BG51" s="201"/>
      <c r="BH51" s="455">
        <v>46235</v>
      </c>
      <c r="BI51" s="215">
        <f t="shared" si="7"/>
        <v>6</v>
      </c>
      <c r="BJ51" s="208">
        <f t="shared" si="7"/>
        <v>47</v>
      </c>
      <c r="BK51" s="223">
        <v>4</v>
      </c>
      <c r="BL51" s="208">
        <v>32</v>
      </c>
      <c r="BM51" s="224" t="s">
        <v>222</v>
      </c>
      <c r="BN51" s="201"/>
      <c r="BO51" s="201"/>
      <c r="BP51" s="201"/>
    </row>
    <row r="52" spans="1:68" ht="15.5">
      <c r="A52" s="225">
        <v>4</v>
      </c>
      <c r="B52" s="204">
        <v>17</v>
      </c>
      <c r="C52" s="226">
        <v>46163</v>
      </c>
      <c r="D52" s="491">
        <f t="shared" si="3"/>
        <v>72</v>
      </c>
      <c r="E52" s="204" t="s">
        <v>75</v>
      </c>
      <c r="F52" s="205">
        <f t="shared" si="0"/>
        <v>46163</v>
      </c>
      <c r="G52" s="206" t="s">
        <v>175</v>
      </c>
      <c r="H52" s="207">
        <f t="shared" si="9"/>
        <v>46165</v>
      </c>
      <c r="I52" s="215">
        <v>6</v>
      </c>
      <c r="J52" s="208">
        <v>48</v>
      </c>
      <c r="K52" s="209">
        <v>0.11075</v>
      </c>
      <c r="L52" s="210">
        <v>0.30499999999999999</v>
      </c>
      <c r="M52" s="210">
        <v>0.3</v>
      </c>
      <c r="N52" s="211">
        <v>45.5</v>
      </c>
      <c r="O52" s="211">
        <f t="shared" si="4"/>
        <v>29.006250000000005</v>
      </c>
      <c r="P52" s="211">
        <v>63.750000000000007</v>
      </c>
      <c r="Q52" s="210">
        <v>0.21</v>
      </c>
      <c r="R52" s="212">
        <v>78</v>
      </c>
      <c r="S52" s="201" t="s">
        <v>486</v>
      </c>
      <c r="T52" s="201" t="s">
        <v>485</v>
      </c>
      <c r="U52" s="201"/>
      <c r="V52" s="214">
        <v>46226</v>
      </c>
      <c r="W52" s="215">
        <f t="shared" si="5"/>
        <v>6</v>
      </c>
      <c r="X52" s="208">
        <f t="shared" si="5"/>
        <v>48</v>
      </c>
      <c r="Y52" s="209"/>
      <c r="Z52" s="210"/>
      <c r="AA52" s="210"/>
      <c r="AB52" s="216">
        <v>46</v>
      </c>
      <c r="AC52" s="211">
        <v>30.82</v>
      </c>
      <c r="AD52" s="211">
        <v>67</v>
      </c>
      <c r="AE52" s="210"/>
      <c r="AF52" s="212">
        <v>90</v>
      </c>
      <c r="AG52" s="201" t="str">
        <f t="shared" si="12"/>
        <v>Belshina</v>
      </c>
      <c r="AH52" s="201" t="s">
        <v>485</v>
      </c>
      <c r="AI52" s="297">
        <v>46178</v>
      </c>
      <c r="AJ52" s="201"/>
      <c r="AK52" s="201"/>
      <c r="AL52" s="201"/>
      <c r="AM52" s="201"/>
      <c r="AN52" s="201"/>
      <c r="AO52" s="218" t="str">
        <f t="shared" si="8"/>
        <v>Belshina</v>
      </c>
      <c r="AP52" s="201" t="s">
        <v>458</v>
      </c>
      <c r="AQ52" s="201"/>
      <c r="AR52" s="201"/>
      <c r="AS52" s="213"/>
      <c r="AT52" s="213"/>
      <c r="AU52" s="476" t="str">
        <f t="shared" si="11"/>
        <v>Ok</v>
      </c>
      <c r="AV52" s="220">
        <v>46178</v>
      </c>
      <c r="AW52" s="221">
        <f t="shared" si="1"/>
        <v>6</v>
      </c>
      <c r="AX52" s="208">
        <f t="shared" si="2"/>
        <v>48</v>
      </c>
      <c r="AY52" s="222"/>
      <c r="AZ52" s="222"/>
      <c r="BA52" s="222"/>
      <c r="BB52" s="222"/>
      <c r="BC52" s="222"/>
      <c r="BD52" s="201"/>
      <c r="BE52" s="201"/>
      <c r="BF52" s="201"/>
      <c r="BG52" s="201"/>
      <c r="BH52" s="455">
        <v>46235</v>
      </c>
      <c r="BI52" s="215">
        <f t="shared" si="7"/>
        <v>6</v>
      </c>
      <c r="BJ52" s="208">
        <f t="shared" si="7"/>
        <v>48</v>
      </c>
      <c r="BK52" s="223">
        <v>5</v>
      </c>
      <c r="BL52" s="208">
        <v>33</v>
      </c>
      <c r="BM52" s="224" t="s">
        <v>222</v>
      </c>
      <c r="BN52" s="201"/>
      <c r="BO52" s="201"/>
      <c r="BP52" s="201"/>
    </row>
    <row r="53" spans="1:68" ht="15.5">
      <c r="A53" s="225">
        <v>4</v>
      </c>
      <c r="B53" s="204">
        <v>17</v>
      </c>
      <c r="C53" s="226">
        <v>46163</v>
      </c>
      <c r="D53" s="491">
        <f t="shared" si="3"/>
        <v>72</v>
      </c>
      <c r="E53" s="204" t="s">
        <v>75</v>
      </c>
      <c r="F53" s="205">
        <f t="shared" si="0"/>
        <v>46163</v>
      </c>
      <c r="G53" s="206" t="s">
        <v>175</v>
      </c>
      <c r="H53" s="207">
        <f t="shared" si="9"/>
        <v>46165</v>
      </c>
      <c r="I53" s="215">
        <v>7</v>
      </c>
      <c r="J53" s="208">
        <v>49</v>
      </c>
      <c r="K53" s="209">
        <v>0.108</v>
      </c>
      <c r="L53" s="210">
        <v>0.32500000000000001</v>
      </c>
      <c r="M53" s="210">
        <v>0.31</v>
      </c>
      <c r="N53" s="211">
        <v>42.25</v>
      </c>
      <c r="O53" s="211">
        <f t="shared" si="4"/>
        <v>29.448250000000002</v>
      </c>
      <c r="P53" s="211">
        <v>69.7</v>
      </c>
      <c r="Q53" s="210">
        <v>0.21</v>
      </c>
      <c r="R53" s="212">
        <v>80</v>
      </c>
      <c r="S53" s="201" t="s">
        <v>486</v>
      </c>
      <c r="T53" s="201" t="s">
        <v>485</v>
      </c>
      <c r="U53" s="201"/>
      <c r="V53" s="214">
        <v>46226</v>
      </c>
      <c r="W53" s="215">
        <f t="shared" si="5"/>
        <v>7</v>
      </c>
      <c r="X53" s="208">
        <f t="shared" si="5"/>
        <v>49</v>
      </c>
      <c r="Y53" s="209"/>
      <c r="Z53" s="210"/>
      <c r="AA53" s="210"/>
      <c r="AB53" s="216">
        <v>48</v>
      </c>
      <c r="AC53" s="211">
        <v>32.159999999999997</v>
      </c>
      <c r="AD53" s="211">
        <v>67</v>
      </c>
      <c r="AE53" s="210"/>
      <c r="AF53" s="212">
        <v>89</v>
      </c>
      <c r="AG53" s="201" t="str">
        <f t="shared" si="12"/>
        <v>Belshina</v>
      </c>
      <c r="AH53" s="201" t="s">
        <v>485</v>
      </c>
      <c r="AI53" s="297">
        <v>46179</v>
      </c>
      <c r="AJ53" s="201"/>
      <c r="AK53" s="201"/>
      <c r="AL53" s="201"/>
      <c r="AM53" s="201"/>
      <c r="AN53" s="201"/>
      <c r="AO53" s="218" t="str">
        <f t="shared" si="8"/>
        <v>Belshina</v>
      </c>
      <c r="AP53" s="201" t="s">
        <v>458</v>
      </c>
      <c r="AQ53" s="201"/>
      <c r="AR53" s="201"/>
      <c r="AS53" s="213"/>
      <c r="AT53" s="213"/>
      <c r="AU53" s="476" t="str">
        <f t="shared" si="11"/>
        <v>Ok</v>
      </c>
      <c r="AV53" s="220">
        <v>46179</v>
      </c>
      <c r="AW53" s="221">
        <f t="shared" si="1"/>
        <v>7</v>
      </c>
      <c r="AX53" s="208">
        <f t="shared" si="2"/>
        <v>49</v>
      </c>
      <c r="AY53" s="222"/>
      <c r="AZ53" s="222"/>
      <c r="BA53" s="222"/>
      <c r="BB53" s="222"/>
      <c r="BC53" s="222"/>
      <c r="BD53" s="201"/>
      <c r="BE53" s="201"/>
      <c r="BF53" s="201"/>
      <c r="BG53" s="201"/>
      <c r="BH53" s="455">
        <v>46235</v>
      </c>
      <c r="BI53" s="215">
        <f t="shared" si="7"/>
        <v>7</v>
      </c>
      <c r="BJ53" s="208">
        <f t="shared" si="7"/>
        <v>49</v>
      </c>
      <c r="BK53" s="223">
        <v>5</v>
      </c>
      <c r="BL53" s="208">
        <v>34</v>
      </c>
      <c r="BM53" s="224" t="s">
        <v>222</v>
      </c>
      <c r="BN53" s="201"/>
      <c r="BO53" s="201"/>
      <c r="BP53" s="201"/>
    </row>
    <row r="54" spans="1:68" s="549" customFormat="1" ht="15.5">
      <c r="A54" s="251">
        <v>4</v>
      </c>
      <c r="B54" s="252">
        <v>17</v>
      </c>
      <c r="C54" s="253">
        <v>46163</v>
      </c>
      <c r="D54" s="491">
        <f t="shared" si="3"/>
        <v>75</v>
      </c>
      <c r="E54" s="252" t="s">
        <v>75</v>
      </c>
      <c r="F54" s="254">
        <f t="shared" si="0"/>
        <v>46163</v>
      </c>
      <c r="G54" s="255" t="s">
        <v>175</v>
      </c>
      <c r="H54" s="256">
        <f t="shared" si="9"/>
        <v>46165</v>
      </c>
      <c r="I54" s="264">
        <v>7</v>
      </c>
      <c r="J54" s="257">
        <v>50</v>
      </c>
      <c r="K54" s="258">
        <v>0.1095</v>
      </c>
      <c r="L54" s="259">
        <v>0.33</v>
      </c>
      <c r="M54" s="259">
        <v>0.27</v>
      </c>
      <c r="N54" s="260">
        <v>45.25</v>
      </c>
      <c r="O54" s="260">
        <f t="shared" si="4"/>
        <v>28.733750000000001</v>
      </c>
      <c r="P54" s="260">
        <v>63.5</v>
      </c>
      <c r="Q54" s="259">
        <v>0.21</v>
      </c>
      <c r="R54" s="261">
        <v>80</v>
      </c>
      <c r="S54" s="262" t="s">
        <v>486</v>
      </c>
      <c r="T54" s="262" t="s">
        <v>485</v>
      </c>
      <c r="U54" s="262"/>
      <c r="V54" s="313"/>
      <c r="W54" s="264">
        <f t="shared" si="5"/>
        <v>7</v>
      </c>
      <c r="X54" s="257">
        <f t="shared" si="5"/>
        <v>50</v>
      </c>
      <c r="Y54" s="258"/>
      <c r="Z54" s="259"/>
      <c r="AA54" s="259"/>
      <c r="AB54" s="260"/>
      <c r="AC54" s="260"/>
      <c r="AD54" s="260"/>
      <c r="AE54" s="259"/>
      <c r="AF54" s="261"/>
      <c r="AG54" s="262"/>
      <c r="AH54" s="262" t="s">
        <v>459</v>
      </c>
      <c r="AI54" s="314">
        <v>46238</v>
      </c>
      <c r="AJ54" s="267" t="s">
        <v>222</v>
      </c>
      <c r="AK54" s="267"/>
      <c r="AL54" s="267"/>
      <c r="AM54" s="267"/>
      <c r="AN54" s="267"/>
      <c r="AO54" s="268"/>
      <c r="AP54" s="262" t="s">
        <v>459</v>
      </c>
      <c r="AQ54" s="262" t="s">
        <v>265</v>
      </c>
      <c r="AR54" s="262" t="s">
        <v>549</v>
      </c>
      <c r="AS54" s="269"/>
      <c r="AT54" s="269"/>
      <c r="AU54" s="476" t="str">
        <f t="shared" si="11"/>
        <v>Reject</v>
      </c>
      <c r="AV54" s="270">
        <v>46238</v>
      </c>
      <c r="AW54" s="271">
        <f t="shared" si="1"/>
        <v>7</v>
      </c>
      <c r="AX54" s="257">
        <f t="shared" si="2"/>
        <v>50</v>
      </c>
      <c r="AY54" s="272"/>
      <c r="AZ54" s="272"/>
      <c r="BA54" s="272" t="s">
        <v>222</v>
      </c>
      <c r="BB54" s="272"/>
      <c r="BC54" s="272"/>
      <c r="BD54" s="262" t="s">
        <v>459</v>
      </c>
      <c r="BE54" s="262" t="s">
        <v>471</v>
      </c>
      <c r="BF54" s="201"/>
      <c r="BG54" s="201"/>
      <c r="BH54" s="455">
        <v>46238</v>
      </c>
      <c r="BI54" s="264">
        <f t="shared" si="7"/>
        <v>7</v>
      </c>
      <c r="BJ54" s="257">
        <f t="shared" si="7"/>
        <v>50</v>
      </c>
      <c r="BK54" s="273">
        <v>5</v>
      </c>
      <c r="BL54" s="257">
        <v>38</v>
      </c>
      <c r="BM54" s="224" t="s">
        <v>222</v>
      </c>
      <c r="BN54" s="219" t="s">
        <v>550</v>
      </c>
      <c r="BO54" s="262" t="s">
        <v>458</v>
      </c>
      <c r="BP54" s="262" t="s">
        <v>551</v>
      </c>
    </row>
    <row r="55" spans="1:68" ht="15.5">
      <c r="A55" s="225">
        <v>4</v>
      </c>
      <c r="B55" s="204">
        <v>17</v>
      </c>
      <c r="C55" s="226">
        <v>46163</v>
      </c>
      <c r="D55" s="491">
        <f t="shared" si="3"/>
        <v>72</v>
      </c>
      <c r="E55" s="204" t="s">
        <v>75</v>
      </c>
      <c r="F55" s="205">
        <f t="shared" si="0"/>
        <v>46163</v>
      </c>
      <c r="G55" s="206" t="s">
        <v>175</v>
      </c>
      <c r="H55" s="207">
        <f t="shared" si="9"/>
        <v>46165</v>
      </c>
      <c r="I55" s="215">
        <v>7</v>
      </c>
      <c r="J55" s="208">
        <v>51</v>
      </c>
      <c r="K55" s="209">
        <v>0.11025</v>
      </c>
      <c r="L55" s="210">
        <v>0.32500000000000001</v>
      </c>
      <c r="M55" s="210">
        <v>0.26</v>
      </c>
      <c r="N55" s="211">
        <v>40.25</v>
      </c>
      <c r="O55" s="211">
        <f t="shared" si="4"/>
        <v>25.297125000000001</v>
      </c>
      <c r="P55" s="211">
        <v>62.85</v>
      </c>
      <c r="Q55" s="210">
        <v>0.21</v>
      </c>
      <c r="R55" s="212">
        <v>80</v>
      </c>
      <c r="S55" s="201" t="s">
        <v>486</v>
      </c>
      <c r="T55" s="201" t="s">
        <v>485</v>
      </c>
      <c r="U55" s="201"/>
      <c r="V55" s="214">
        <v>46226</v>
      </c>
      <c r="W55" s="215">
        <f t="shared" si="5"/>
        <v>7</v>
      </c>
      <c r="X55" s="208">
        <f t="shared" si="5"/>
        <v>51</v>
      </c>
      <c r="Y55" s="209"/>
      <c r="Z55" s="210"/>
      <c r="AA55" s="210"/>
      <c r="AB55" s="216">
        <v>43</v>
      </c>
      <c r="AC55" s="211">
        <v>30.1</v>
      </c>
      <c r="AD55" s="211">
        <v>70</v>
      </c>
      <c r="AE55" s="210"/>
      <c r="AF55" s="212">
        <v>82</v>
      </c>
      <c r="AG55" s="201" t="str">
        <f>S55</f>
        <v>Belshina</v>
      </c>
      <c r="AH55" s="201" t="s">
        <v>485</v>
      </c>
      <c r="AI55" s="297">
        <v>46179</v>
      </c>
      <c r="AJ55" s="201"/>
      <c r="AK55" s="201"/>
      <c r="AL55" s="201"/>
      <c r="AM55" s="201"/>
      <c r="AN55" s="201"/>
      <c r="AO55" s="218" t="str">
        <f t="shared" si="8"/>
        <v>Belshina</v>
      </c>
      <c r="AP55" s="201" t="s">
        <v>458</v>
      </c>
      <c r="AQ55" s="201"/>
      <c r="AR55" s="201"/>
      <c r="AS55" s="213"/>
      <c r="AT55" s="213"/>
      <c r="AU55" s="476" t="str">
        <f t="shared" si="11"/>
        <v>Ok</v>
      </c>
      <c r="AV55" s="220">
        <v>46179</v>
      </c>
      <c r="AW55" s="221">
        <f t="shared" si="1"/>
        <v>7</v>
      </c>
      <c r="AX55" s="208">
        <f t="shared" si="2"/>
        <v>51</v>
      </c>
      <c r="AY55" s="222"/>
      <c r="AZ55" s="222"/>
      <c r="BA55" s="222"/>
      <c r="BB55" s="222"/>
      <c r="BC55" s="222"/>
      <c r="BD55" s="201"/>
      <c r="BE55" s="201"/>
      <c r="BF55" s="201"/>
      <c r="BG55" s="201"/>
      <c r="BH55" s="455">
        <v>46235</v>
      </c>
      <c r="BI55" s="215">
        <f t="shared" si="7"/>
        <v>7</v>
      </c>
      <c r="BJ55" s="208">
        <f t="shared" si="7"/>
        <v>51</v>
      </c>
      <c r="BK55" s="223">
        <v>5</v>
      </c>
      <c r="BL55" s="208">
        <v>35</v>
      </c>
      <c r="BM55" s="224" t="s">
        <v>222</v>
      </c>
      <c r="BN55" s="201"/>
      <c r="BO55" s="201"/>
      <c r="BP55" s="201"/>
    </row>
    <row r="56" spans="1:68" s="547" customFormat="1" ht="15.5">
      <c r="A56" s="315">
        <v>4</v>
      </c>
      <c r="B56" s="316">
        <v>17</v>
      </c>
      <c r="C56" s="317">
        <v>46163</v>
      </c>
      <c r="D56" s="491">
        <f t="shared" si="3"/>
        <v>72</v>
      </c>
      <c r="E56" s="316" t="s">
        <v>75</v>
      </c>
      <c r="F56" s="318">
        <f t="shared" si="0"/>
        <v>46163</v>
      </c>
      <c r="G56" s="319" t="s">
        <v>175</v>
      </c>
      <c r="H56" s="320">
        <f t="shared" si="9"/>
        <v>46165</v>
      </c>
      <c r="I56" s="328">
        <v>7</v>
      </c>
      <c r="J56" s="321">
        <v>52</v>
      </c>
      <c r="K56" s="322">
        <v>0.111</v>
      </c>
      <c r="L56" s="323">
        <v>0.34499999999999997</v>
      </c>
      <c r="M56" s="323">
        <v>0.28000000000000003</v>
      </c>
      <c r="N56" s="324">
        <v>46.5</v>
      </c>
      <c r="O56" s="324">
        <f t="shared" si="4"/>
        <v>28.260375</v>
      </c>
      <c r="P56" s="324">
        <v>60.774999999999999</v>
      </c>
      <c r="Q56" s="323">
        <v>0.21</v>
      </c>
      <c r="R56" s="325">
        <v>80</v>
      </c>
      <c r="S56" s="326" t="s">
        <v>486</v>
      </c>
      <c r="T56" s="326" t="s">
        <v>485</v>
      </c>
      <c r="U56" s="326"/>
      <c r="V56" s="327"/>
      <c r="W56" s="328">
        <f t="shared" si="5"/>
        <v>7</v>
      </c>
      <c r="X56" s="321">
        <f t="shared" si="5"/>
        <v>52</v>
      </c>
      <c r="Y56" s="322"/>
      <c r="Z56" s="323"/>
      <c r="AA56" s="323"/>
      <c r="AB56" s="324"/>
      <c r="AC56" s="324"/>
      <c r="AD56" s="324"/>
      <c r="AE56" s="323"/>
      <c r="AF56" s="325"/>
      <c r="AG56" s="326"/>
      <c r="AH56" s="326" t="s">
        <v>459</v>
      </c>
      <c r="AI56" s="329">
        <v>46178</v>
      </c>
      <c r="AJ56" s="330" t="s">
        <v>222</v>
      </c>
      <c r="AK56" s="330"/>
      <c r="AL56" s="330"/>
      <c r="AM56" s="330"/>
      <c r="AN56" s="330" t="s">
        <v>222</v>
      </c>
      <c r="AO56" s="331">
        <f t="shared" si="8"/>
        <v>0</v>
      </c>
      <c r="AP56" s="326" t="s">
        <v>459</v>
      </c>
      <c r="AQ56" s="326" t="s">
        <v>552</v>
      </c>
      <c r="AR56" s="326" t="s">
        <v>549</v>
      </c>
      <c r="AS56" s="332"/>
      <c r="AT56" s="332"/>
      <c r="AU56" s="476" t="str">
        <f t="shared" si="11"/>
        <v>Reject</v>
      </c>
      <c r="AV56" s="333">
        <v>46178</v>
      </c>
      <c r="AW56" s="334">
        <f t="shared" si="1"/>
        <v>7</v>
      </c>
      <c r="AX56" s="321">
        <f t="shared" si="2"/>
        <v>52</v>
      </c>
      <c r="AY56" s="335"/>
      <c r="AZ56" s="335"/>
      <c r="BA56" s="335" t="s">
        <v>222</v>
      </c>
      <c r="BB56" s="335"/>
      <c r="BC56" s="335"/>
      <c r="BD56" s="326"/>
      <c r="BE56" s="326"/>
      <c r="BF56" s="201"/>
      <c r="BG56" s="201"/>
      <c r="BH56" s="455">
        <v>46235</v>
      </c>
      <c r="BI56" s="328">
        <f t="shared" si="7"/>
        <v>7</v>
      </c>
      <c r="BJ56" s="321">
        <f t="shared" si="7"/>
        <v>52</v>
      </c>
      <c r="BK56" s="336">
        <v>5</v>
      </c>
      <c r="BL56" s="321">
        <v>36</v>
      </c>
      <c r="BM56" s="224" t="s">
        <v>222</v>
      </c>
      <c r="BN56" s="201"/>
      <c r="BO56" s="326"/>
      <c r="BP56" s="201"/>
    </row>
    <row r="57" spans="1:68" s="549" customFormat="1" ht="15.5">
      <c r="A57" s="251">
        <v>4</v>
      </c>
      <c r="B57" s="252">
        <v>17</v>
      </c>
      <c r="C57" s="253">
        <v>46163</v>
      </c>
      <c r="D57" s="491">
        <f t="shared" si="3"/>
        <v>75</v>
      </c>
      <c r="E57" s="252" t="s">
        <v>75</v>
      </c>
      <c r="F57" s="254">
        <f t="shared" si="0"/>
        <v>46163</v>
      </c>
      <c r="G57" s="255" t="s">
        <v>175</v>
      </c>
      <c r="H57" s="256">
        <f t="shared" si="9"/>
        <v>46165</v>
      </c>
      <c r="I57" s="264">
        <v>7</v>
      </c>
      <c r="J57" s="257">
        <v>53</v>
      </c>
      <c r="K57" s="258">
        <v>0.111</v>
      </c>
      <c r="L57" s="259">
        <v>0.36750000000000005</v>
      </c>
      <c r="M57" s="259">
        <v>0.27</v>
      </c>
      <c r="N57" s="260">
        <v>47.25</v>
      </c>
      <c r="O57" s="260">
        <f t="shared" si="4"/>
        <v>28.007437500000002</v>
      </c>
      <c r="P57" s="260">
        <v>59.274999999999999</v>
      </c>
      <c r="Q57" s="259">
        <v>0.21</v>
      </c>
      <c r="R57" s="261">
        <v>81</v>
      </c>
      <c r="S57" s="262" t="s">
        <v>486</v>
      </c>
      <c r="T57" s="262" t="s">
        <v>460</v>
      </c>
      <c r="U57" s="262" t="s">
        <v>63</v>
      </c>
      <c r="V57" s="313">
        <v>46199</v>
      </c>
      <c r="W57" s="264">
        <f t="shared" si="5"/>
        <v>7</v>
      </c>
      <c r="X57" s="257">
        <f t="shared" si="5"/>
        <v>53</v>
      </c>
      <c r="Y57" s="258"/>
      <c r="Z57" s="259"/>
      <c r="AA57" s="337">
        <v>0.68</v>
      </c>
      <c r="AB57" s="252">
        <v>46</v>
      </c>
      <c r="AC57" s="260">
        <v>28.98</v>
      </c>
      <c r="AD57" s="252">
        <v>63</v>
      </c>
      <c r="AE57" s="259"/>
      <c r="AF57" s="261"/>
      <c r="AG57" s="262"/>
      <c r="AH57" s="262" t="s">
        <v>459</v>
      </c>
      <c r="AI57" s="314">
        <v>46238</v>
      </c>
      <c r="AJ57" s="262"/>
      <c r="AK57" s="262"/>
      <c r="AL57" s="267"/>
      <c r="AM57" s="267" t="s">
        <v>222</v>
      </c>
      <c r="AN57" s="262"/>
      <c r="AO57" s="268"/>
      <c r="AP57" s="262" t="s">
        <v>459</v>
      </c>
      <c r="AQ57" s="262" t="s">
        <v>480</v>
      </c>
      <c r="AR57" s="262" t="s">
        <v>549</v>
      </c>
      <c r="AS57" s="269"/>
      <c r="AT57" s="269"/>
      <c r="AU57" s="476" t="str">
        <f t="shared" si="11"/>
        <v>Reject</v>
      </c>
      <c r="AV57" s="270">
        <v>46238</v>
      </c>
      <c r="AW57" s="271">
        <f t="shared" si="1"/>
        <v>7</v>
      </c>
      <c r="AX57" s="257">
        <f t="shared" si="2"/>
        <v>53</v>
      </c>
      <c r="AY57" s="272"/>
      <c r="AZ57" s="272"/>
      <c r="BA57" s="272" t="s">
        <v>222</v>
      </c>
      <c r="BB57" s="272"/>
      <c r="BC57" s="272"/>
      <c r="BD57" s="262" t="s">
        <v>459</v>
      </c>
      <c r="BE57" s="262" t="s">
        <v>471</v>
      </c>
      <c r="BF57" s="201"/>
      <c r="BG57" s="201"/>
      <c r="BH57" s="455">
        <v>46238</v>
      </c>
      <c r="BI57" s="264">
        <f t="shared" si="7"/>
        <v>7</v>
      </c>
      <c r="BJ57" s="257">
        <f t="shared" si="7"/>
        <v>53</v>
      </c>
      <c r="BK57" s="273">
        <v>5</v>
      </c>
      <c r="BL57" s="257">
        <v>39</v>
      </c>
      <c r="BM57" s="224" t="s">
        <v>222</v>
      </c>
      <c r="BN57" s="219" t="s">
        <v>550</v>
      </c>
      <c r="BO57" s="262" t="s">
        <v>458</v>
      </c>
      <c r="BP57" s="262" t="s">
        <v>551</v>
      </c>
    </row>
    <row r="58" spans="1:68" ht="15.5">
      <c r="A58" s="225">
        <v>4</v>
      </c>
      <c r="B58" s="202" t="s">
        <v>771</v>
      </c>
      <c r="C58" s="226">
        <v>46164</v>
      </c>
      <c r="D58" s="491">
        <f t="shared" si="3"/>
        <v>74</v>
      </c>
      <c r="E58" s="204" t="s">
        <v>75</v>
      </c>
      <c r="F58" s="205">
        <f t="shared" si="0"/>
        <v>46164</v>
      </c>
      <c r="G58" s="206" t="s">
        <v>175</v>
      </c>
      <c r="H58" s="207">
        <f t="shared" si="9"/>
        <v>46166</v>
      </c>
      <c r="I58" s="215">
        <v>7</v>
      </c>
      <c r="J58" s="208">
        <v>54</v>
      </c>
      <c r="K58" s="209">
        <v>0.1125</v>
      </c>
      <c r="L58" s="210">
        <v>0.33</v>
      </c>
      <c r="M58" s="210">
        <v>0.26</v>
      </c>
      <c r="N58" s="211">
        <v>46</v>
      </c>
      <c r="O58" s="211">
        <f t="shared" si="4"/>
        <v>28.497</v>
      </c>
      <c r="P58" s="211">
        <v>61.949999999999996</v>
      </c>
      <c r="Q58" s="210">
        <v>0.21</v>
      </c>
      <c r="R58" s="212">
        <v>81</v>
      </c>
      <c r="S58" s="201" t="s">
        <v>486</v>
      </c>
      <c r="T58" s="201" t="s">
        <v>485</v>
      </c>
      <c r="U58" s="201"/>
      <c r="V58" s="214">
        <v>46226</v>
      </c>
      <c r="W58" s="215">
        <f t="shared" si="5"/>
        <v>7</v>
      </c>
      <c r="X58" s="208">
        <f t="shared" si="5"/>
        <v>54</v>
      </c>
      <c r="Y58" s="209"/>
      <c r="Z58" s="210"/>
      <c r="AA58" s="210"/>
      <c r="AB58" s="216">
        <v>49</v>
      </c>
      <c r="AC58" s="211">
        <v>32.83</v>
      </c>
      <c r="AD58" s="211">
        <v>67</v>
      </c>
      <c r="AE58" s="210"/>
      <c r="AF58" s="212">
        <v>95</v>
      </c>
      <c r="AG58" s="201" t="str">
        <f t="shared" ref="AG58:AG63" si="13">S58</f>
        <v>Belshina</v>
      </c>
      <c r="AH58" s="201" t="s">
        <v>485</v>
      </c>
      <c r="AI58" s="297">
        <v>46238</v>
      </c>
      <c r="AJ58" s="201"/>
      <c r="AK58" s="201"/>
      <c r="AL58" s="201"/>
      <c r="AM58" s="201"/>
      <c r="AN58" s="201"/>
      <c r="AO58" s="218" t="str">
        <f t="shared" si="8"/>
        <v>Belshina</v>
      </c>
      <c r="AP58" s="201" t="s">
        <v>458</v>
      </c>
      <c r="AQ58" s="201"/>
      <c r="AR58" s="201"/>
      <c r="AS58" s="213"/>
      <c r="AT58" s="213"/>
      <c r="AU58" s="476" t="str">
        <f t="shared" si="11"/>
        <v>Ok</v>
      </c>
      <c r="AV58" s="220">
        <v>46238</v>
      </c>
      <c r="AW58" s="221">
        <f t="shared" si="1"/>
        <v>7</v>
      </c>
      <c r="AX58" s="208">
        <f t="shared" si="2"/>
        <v>54</v>
      </c>
      <c r="AY58" s="222"/>
      <c r="AZ58" s="222"/>
      <c r="BA58" s="222"/>
      <c r="BB58" s="222"/>
      <c r="BC58" s="222"/>
      <c r="BD58" s="201"/>
      <c r="BE58" s="201"/>
      <c r="BF58" s="201"/>
      <c r="BG58" s="201"/>
      <c r="BH58" s="455">
        <v>46238</v>
      </c>
      <c r="BI58" s="215">
        <f t="shared" si="7"/>
        <v>7</v>
      </c>
      <c r="BJ58" s="208">
        <f t="shared" si="7"/>
        <v>54</v>
      </c>
      <c r="BK58" s="223">
        <v>5</v>
      </c>
      <c r="BL58" s="208">
        <v>40</v>
      </c>
      <c r="BM58" s="224" t="s">
        <v>222</v>
      </c>
      <c r="BN58" s="201"/>
      <c r="BO58" s="201"/>
      <c r="BP58" s="201"/>
    </row>
    <row r="59" spans="1:68" ht="15.5">
      <c r="A59" s="225">
        <v>4</v>
      </c>
      <c r="B59" s="204">
        <v>18</v>
      </c>
      <c r="C59" s="226">
        <v>46164</v>
      </c>
      <c r="D59" s="491">
        <f t="shared" si="3"/>
        <v>80</v>
      </c>
      <c r="E59" s="204" t="s">
        <v>75</v>
      </c>
      <c r="F59" s="205">
        <f t="shared" si="0"/>
        <v>46164</v>
      </c>
      <c r="G59" s="206" t="s">
        <v>175</v>
      </c>
      <c r="H59" s="207">
        <f t="shared" si="9"/>
        <v>46166</v>
      </c>
      <c r="I59" s="215">
        <v>7</v>
      </c>
      <c r="J59" s="208">
        <v>55</v>
      </c>
      <c r="K59" s="209">
        <v>0.10325000000000001</v>
      </c>
      <c r="L59" s="210">
        <v>0.30500000000000005</v>
      </c>
      <c r="M59" s="210">
        <v>0.32</v>
      </c>
      <c r="N59" s="211">
        <v>47</v>
      </c>
      <c r="O59" s="211">
        <f t="shared" si="4"/>
        <v>28.000250000000001</v>
      </c>
      <c r="P59" s="211">
        <v>59.575000000000003</v>
      </c>
      <c r="Q59" s="210">
        <v>0.21</v>
      </c>
      <c r="R59" s="212">
        <v>81</v>
      </c>
      <c r="S59" s="201" t="s">
        <v>486</v>
      </c>
      <c r="T59" s="201" t="s">
        <v>460</v>
      </c>
      <c r="U59" s="201" t="s">
        <v>63</v>
      </c>
      <c r="V59" s="300" t="s">
        <v>545</v>
      </c>
      <c r="W59" s="215">
        <f t="shared" si="5"/>
        <v>7</v>
      </c>
      <c r="X59" s="208">
        <f t="shared" si="5"/>
        <v>55</v>
      </c>
      <c r="Y59" s="209"/>
      <c r="Z59" s="210"/>
      <c r="AA59" s="210"/>
      <c r="AB59" s="227" t="s">
        <v>553</v>
      </c>
      <c r="AC59" s="211" t="s">
        <v>554</v>
      </c>
      <c r="AD59" s="227" t="s">
        <v>555</v>
      </c>
      <c r="AE59" s="210"/>
      <c r="AF59" s="212">
        <v>88</v>
      </c>
      <c r="AG59" s="201" t="str">
        <f t="shared" si="13"/>
        <v>Belshina</v>
      </c>
      <c r="AH59" s="201" t="s">
        <v>485</v>
      </c>
      <c r="AI59" s="297">
        <v>46239</v>
      </c>
      <c r="AJ59" s="201"/>
      <c r="AK59" s="201"/>
      <c r="AL59" s="201"/>
      <c r="AM59" s="201"/>
      <c r="AN59" s="201"/>
      <c r="AO59" s="218" t="str">
        <f t="shared" si="8"/>
        <v>Belshina</v>
      </c>
      <c r="AP59" s="201" t="s">
        <v>458</v>
      </c>
      <c r="AQ59" s="201"/>
      <c r="AR59" s="201"/>
      <c r="AS59" s="213"/>
      <c r="AT59" s="213"/>
      <c r="AU59" s="476" t="str">
        <f t="shared" si="11"/>
        <v>Ok</v>
      </c>
      <c r="AV59" s="220">
        <v>46181</v>
      </c>
      <c r="AW59" s="221">
        <f t="shared" si="1"/>
        <v>7</v>
      </c>
      <c r="AX59" s="208">
        <f t="shared" si="2"/>
        <v>55</v>
      </c>
      <c r="AY59" s="222"/>
      <c r="AZ59" s="222"/>
      <c r="BA59" s="222"/>
      <c r="BB59" s="222"/>
      <c r="BC59" s="222"/>
      <c r="BD59" s="201"/>
      <c r="BE59" s="201"/>
      <c r="BF59" s="219" t="s">
        <v>496</v>
      </c>
      <c r="BG59" s="219" t="s">
        <v>497</v>
      </c>
      <c r="BH59" s="455">
        <v>46244</v>
      </c>
      <c r="BI59" s="215">
        <f t="shared" si="7"/>
        <v>7</v>
      </c>
      <c r="BJ59" s="208">
        <f t="shared" si="7"/>
        <v>55</v>
      </c>
      <c r="BK59" s="223">
        <v>9</v>
      </c>
      <c r="BL59" s="208">
        <v>71</v>
      </c>
      <c r="BM59" s="224" t="s">
        <v>222</v>
      </c>
      <c r="BN59" s="201" t="s">
        <v>520</v>
      </c>
      <c r="BO59" s="262" t="s">
        <v>458</v>
      </c>
      <c r="BP59" s="201" t="s">
        <v>499</v>
      </c>
    </row>
    <row r="60" spans="1:68" ht="15.5">
      <c r="A60" s="225">
        <v>4</v>
      </c>
      <c r="B60" s="204">
        <v>18</v>
      </c>
      <c r="C60" s="226">
        <v>46164</v>
      </c>
      <c r="D60" s="491">
        <f t="shared" si="3"/>
        <v>74</v>
      </c>
      <c r="E60" s="204" t="s">
        <v>75</v>
      </c>
      <c r="F60" s="205">
        <f t="shared" si="0"/>
        <v>46164</v>
      </c>
      <c r="G60" s="206" t="s">
        <v>175</v>
      </c>
      <c r="H60" s="207">
        <f t="shared" si="9"/>
        <v>46166</v>
      </c>
      <c r="I60" s="215">
        <v>7</v>
      </c>
      <c r="J60" s="208">
        <v>56</v>
      </c>
      <c r="K60" s="209">
        <v>0.10324999999999999</v>
      </c>
      <c r="L60" s="210">
        <v>0.32</v>
      </c>
      <c r="M60" s="210">
        <v>0.33</v>
      </c>
      <c r="N60" s="211">
        <v>46.25</v>
      </c>
      <c r="O60" s="211">
        <f t="shared" si="4"/>
        <v>27.992812499999999</v>
      </c>
      <c r="P60" s="211">
        <v>60.524999999999999</v>
      </c>
      <c r="Q60" s="210">
        <v>0.21</v>
      </c>
      <c r="R60" s="212">
        <v>81</v>
      </c>
      <c r="S60" s="201" t="s">
        <v>486</v>
      </c>
      <c r="T60" s="201" t="s">
        <v>485</v>
      </c>
      <c r="U60" s="201"/>
      <c r="V60" s="300"/>
      <c r="W60" s="215">
        <f t="shared" si="5"/>
        <v>7</v>
      </c>
      <c r="X60" s="208">
        <f t="shared" si="5"/>
        <v>56</v>
      </c>
      <c r="Y60" s="209"/>
      <c r="Z60" s="210"/>
      <c r="AA60" s="210"/>
      <c r="AB60" s="211"/>
      <c r="AC60" s="211"/>
      <c r="AD60" s="211"/>
      <c r="AE60" s="210"/>
      <c r="AF60" s="212"/>
      <c r="AG60" s="201" t="str">
        <f t="shared" si="13"/>
        <v>Belshina</v>
      </c>
      <c r="AH60" s="201" t="s">
        <v>485</v>
      </c>
      <c r="AI60" s="297">
        <v>46238</v>
      </c>
      <c r="AJ60" s="201"/>
      <c r="AK60" s="201"/>
      <c r="AL60" s="201"/>
      <c r="AM60" s="201"/>
      <c r="AN60" s="201"/>
      <c r="AO60" s="218" t="str">
        <f t="shared" si="8"/>
        <v>Belshina</v>
      </c>
      <c r="AP60" s="201" t="s">
        <v>458</v>
      </c>
      <c r="AQ60" s="201"/>
      <c r="AR60" s="201"/>
      <c r="AS60" s="213"/>
      <c r="AT60" s="213"/>
      <c r="AU60" s="476" t="str">
        <f t="shared" si="11"/>
        <v>Ok</v>
      </c>
      <c r="AV60" s="220">
        <v>46238</v>
      </c>
      <c r="AW60" s="221">
        <f t="shared" si="1"/>
        <v>7</v>
      </c>
      <c r="AX60" s="208">
        <f t="shared" si="2"/>
        <v>56</v>
      </c>
      <c r="AY60" s="222"/>
      <c r="AZ60" s="222"/>
      <c r="BA60" s="222"/>
      <c r="BB60" s="222"/>
      <c r="BC60" s="222"/>
      <c r="BD60" s="201"/>
      <c r="BE60" s="201"/>
      <c r="BF60" s="201"/>
      <c r="BG60" s="201"/>
      <c r="BH60" s="455">
        <v>46238</v>
      </c>
      <c r="BI60" s="215">
        <f t="shared" si="7"/>
        <v>7</v>
      </c>
      <c r="BJ60" s="208">
        <f t="shared" si="7"/>
        <v>56</v>
      </c>
      <c r="BK60" s="223">
        <v>7</v>
      </c>
      <c r="BL60" s="208">
        <v>54</v>
      </c>
      <c r="BM60" s="224" t="s">
        <v>222</v>
      </c>
      <c r="BN60" s="201"/>
      <c r="BO60" s="201"/>
      <c r="BP60" s="201"/>
    </row>
    <row r="61" spans="1:68" ht="15.5">
      <c r="A61" s="225">
        <v>4</v>
      </c>
      <c r="B61" s="204">
        <v>18</v>
      </c>
      <c r="C61" s="226">
        <v>46164</v>
      </c>
      <c r="D61" s="491">
        <f t="shared" si="3"/>
        <v>80</v>
      </c>
      <c r="E61" s="204" t="s">
        <v>75</v>
      </c>
      <c r="F61" s="205">
        <f t="shared" si="0"/>
        <v>46164</v>
      </c>
      <c r="G61" s="206" t="s">
        <v>175</v>
      </c>
      <c r="H61" s="207">
        <f t="shared" si="9"/>
        <v>46166</v>
      </c>
      <c r="I61" s="215">
        <v>8</v>
      </c>
      <c r="J61" s="208">
        <v>57</v>
      </c>
      <c r="K61" s="209">
        <v>0.11475</v>
      </c>
      <c r="L61" s="210">
        <v>0.32500000000000001</v>
      </c>
      <c r="M61" s="210">
        <v>0.28999999999999998</v>
      </c>
      <c r="N61" s="211">
        <v>47</v>
      </c>
      <c r="O61" s="211">
        <f t="shared" si="4"/>
        <v>28.999000000000002</v>
      </c>
      <c r="P61" s="211">
        <v>61.7</v>
      </c>
      <c r="Q61" s="210">
        <v>0.22</v>
      </c>
      <c r="R61" s="212">
        <v>83.5</v>
      </c>
      <c r="S61" s="201" t="s">
        <v>427</v>
      </c>
      <c r="T61" s="201" t="s">
        <v>485</v>
      </c>
      <c r="U61" s="201"/>
      <c r="V61" s="300" t="s">
        <v>556</v>
      </c>
      <c r="W61" s="215">
        <f t="shared" si="5"/>
        <v>8</v>
      </c>
      <c r="X61" s="208">
        <f t="shared" si="5"/>
        <v>57</v>
      </c>
      <c r="Y61" s="209"/>
      <c r="Z61" s="210"/>
      <c r="AA61" s="210"/>
      <c r="AB61" s="227">
        <v>48</v>
      </c>
      <c r="AC61" s="211">
        <v>28.991999999999997</v>
      </c>
      <c r="AD61" s="227">
        <v>60.4</v>
      </c>
      <c r="AE61" s="210"/>
      <c r="AF61" s="216" t="s">
        <v>557</v>
      </c>
      <c r="AG61" s="201" t="str">
        <f t="shared" si="13"/>
        <v>SNI</v>
      </c>
      <c r="AH61" s="201" t="s">
        <v>485</v>
      </c>
      <c r="AI61" s="297">
        <v>46178</v>
      </c>
      <c r="AJ61" s="201"/>
      <c r="AK61" s="201"/>
      <c r="AL61" s="201"/>
      <c r="AM61" s="201"/>
      <c r="AN61" s="201"/>
      <c r="AO61" s="218" t="str">
        <f t="shared" si="8"/>
        <v>SNI</v>
      </c>
      <c r="AP61" s="201" t="s">
        <v>458</v>
      </c>
      <c r="AQ61" s="201"/>
      <c r="AR61" s="201"/>
      <c r="AS61" s="213"/>
      <c r="AT61" s="213"/>
      <c r="AU61" s="476" t="str">
        <f t="shared" si="11"/>
        <v>Ok</v>
      </c>
      <c r="AV61" s="220">
        <v>46178</v>
      </c>
      <c r="AW61" s="221">
        <f t="shared" si="1"/>
        <v>8</v>
      </c>
      <c r="AX61" s="208">
        <f t="shared" si="2"/>
        <v>57</v>
      </c>
      <c r="AY61" s="222"/>
      <c r="AZ61" s="222"/>
      <c r="BA61" s="222"/>
      <c r="BB61" s="222"/>
      <c r="BC61" s="222"/>
      <c r="BD61" s="201"/>
      <c r="BE61" s="201"/>
      <c r="BF61" s="201"/>
      <c r="BG61" s="201"/>
      <c r="BH61" s="455">
        <v>46244</v>
      </c>
      <c r="BI61" s="215">
        <f t="shared" si="7"/>
        <v>8</v>
      </c>
      <c r="BJ61" s="208">
        <f t="shared" si="7"/>
        <v>57</v>
      </c>
      <c r="BK61" s="223">
        <v>9</v>
      </c>
      <c r="BL61" s="208">
        <v>72</v>
      </c>
      <c r="BM61" s="224" t="s">
        <v>222</v>
      </c>
      <c r="BN61" s="201"/>
      <c r="BO61" s="201"/>
      <c r="BP61" s="201"/>
    </row>
    <row r="62" spans="1:68" s="547" customFormat="1" ht="15.5">
      <c r="A62" s="315">
        <v>4</v>
      </c>
      <c r="B62" s="316">
        <v>18</v>
      </c>
      <c r="C62" s="317">
        <v>46164</v>
      </c>
      <c r="D62" s="491">
        <f t="shared" si="3"/>
        <v>74</v>
      </c>
      <c r="E62" s="316" t="s">
        <v>75</v>
      </c>
      <c r="F62" s="318">
        <f t="shared" si="0"/>
        <v>46164</v>
      </c>
      <c r="G62" s="319" t="s">
        <v>175</v>
      </c>
      <c r="H62" s="320">
        <f t="shared" si="9"/>
        <v>46166</v>
      </c>
      <c r="I62" s="328">
        <v>8</v>
      </c>
      <c r="J62" s="321">
        <v>58</v>
      </c>
      <c r="K62" s="322">
        <v>0.11524999999999999</v>
      </c>
      <c r="L62" s="323">
        <v>0.33499999999999996</v>
      </c>
      <c r="M62" s="323">
        <v>0.3</v>
      </c>
      <c r="N62" s="324">
        <v>46.5</v>
      </c>
      <c r="O62" s="324">
        <f t="shared" si="4"/>
        <v>28.504499999999997</v>
      </c>
      <c r="P62" s="324">
        <v>61.3</v>
      </c>
      <c r="Q62" s="323">
        <v>0.22</v>
      </c>
      <c r="R62" s="325">
        <v>83.5</v>
      </c>
      <c r="S62" s="326" t="s">
        <v>427</v>
      </c>
      <c r="T62" s="326" t="s">
        <v>485</v>
      </c>
      <c r="U62" s="326"/>
      <c r="V62" s="327"/>
      <c r="W62" s="328">
        <f t="shared" si="5"/>
        <v>8</v>
      </c>
      <c r="X62" s="321">
        <f t="shared" si="5"/>
        <v>58</v>
      </c>
      <c r="Y62" s="322"/>
      <c r="Z62" s="323"/>
      <c r="AA62" s="323"/>
      <c r="AB62" s="324"/>
      <c r="AC62" s="324"/>
      <c r="AD62" s="324"/>
      <c r="AE62" s="323"/>
      <c r="AF62" s="325"/>
      <c r="AG62" s="326" t="str">
        <f t="shared" si="13"/>
        <v>SNI</v>
      </c>
      <c r="AH62" s="326" t="s">
        <v>485</v>
      </c>
      <c r="AI62" s="329">
        <v>46238</v>
      </c>
      <c r="AJ62" s="330" t="s">
        <v>222</v>
      </c>
      <c r="AK62" s="326"/>
      <c r="AL62" s="326"/>
      <c r="AM62" s="326"/>
      <c r="AN62" s="326"/>
      <c r="AO62" s="218" t="str">
        <f t="shared" si="8"/>
        <v>SNI</v>
      </c>
      <c r="AP62" s="326" t="s">
        <v>459</v>
      </c>
      <c r="AQ62" s="326" t="s">
        <v>265</v>
      </c>
      <c r="AR62" s="326" t="s">
        <v>549</v>
      </c>
      <c r="AS62" s="332"/>
      <c r="AT62" s="332"/>
      <c r="AU62" s="476" t="str">
        <f t="shared" si="11"/>
        <v>Reject</v>
      </c>
      <c r="AV62" s="333">
        <v>46238</v>
      </c>
      <c r="AW62" s="221">
        <f t="shared" si="1"/>
        <v>8</v>
      </c>
      <c r="AX62" s="208">
        <f t="shared" si="2"/>
        <v>58</v>
      </c>
      <c r="AY62" s="335"/>
      <c r="AZ62" s="335"/>
      <c r="BA62" s="222"/>
      <c r="BB62" s="335"/>
      <c r="BC62" s="335"/>
      <c r="BD62" s="326"/>
      <c r="BE62" s="326"/>
      <c r="BF62" s="201"/>
      <c r="BG62" s="201"/>
      <c r="BH62" s="455">
        <v>46238</v>
      </c>
      <c r="BI62" s="215">
        <f t="shared" si="7"/>
        <v>8</v>
      </c>
      <c r="BJ62" s="208">
        <f t="shared" si="7"/>
        <v>58</v>
      </c>
      <c r="BK62" s="223">
        <v>7</v>
      </c>
      <c r="BL62" s="208">
        <v>55</v>
      </c>
      <c r="BM62" s="224" t="s">
        <v>222</v>
      </c>
      <c r="BN62" s="201"/>
      <c r="BO62" s="201"/>
      <c r="BP62" s="201"/>
    </row>
    <row r="63" spans="1:68" ht="15.5">
      <c r="A63" s="225">
        <v>4</v>
      </c>
      <c r="B63" s="204">
        <v>18</v>
      </c>
      <c r="C63" s="226">
        <v>46164</v>
      </c>
      <c r="D63" s="491">
        <f t="shared" si="3"/>
        <v>80</v>
      </c>
      <c r="E63" s="204" t="s">
        <v>75</v>
      </c>
      <c r="F63" s="205">
        <f t="shared" si="0"/>
        <v>46164</v>
      </c>
      <c r="G63" s="206" t="s">
        <v>175</v>
      </c>
      <c r="H63" s="207">
        <f t="shared" si="9"/>
        <v>46166</v>
      </c>
      <c r="I63" s="215">
        <v>8</v>
      </c>
      <c r="J63" s="208">
        <v>59</v>
      </c>
      <c r="K63" s="209">
        <v>0.1065</v>
      </c>
      <c r="L63" s="210">
        <v>0.34500000000000003</v>
      </c>
      <c r="M63" s="210">
        <v>0.28999999999999998</v>
      </c>
      <c r="N63" s="211">
        <v>49.75</v>
      </c>
      <c r="O63" s="211">
        <f t="shared" si="4"/>
        <v>31.491749999999996</v>
      </c>
      <c r="P63" s="211">
        <v>63.3</v>
      </c>
      <c r="Q63" s="210">
        <v>0.22</v>
      </c>
      <c r="R63" s="212">
        <v>83.5</v>
      </c>
      <c r="S63" s="201" t="s">
        <v>427</v>
      </c>
      <c r="T63" s="201" t="s">
        <v>485</v>
      </c>
      <c r="U63" s="201"/>
      <c r="V63" s="300"/>
      <c r="W63" s="215">
        <f t="shared" si="5"/>
        <v>8</v>
      </c>
      <c r="X63" s="208">
        <f t="shared" si="5"/>
        <v>59</v>
      </c>
      <c r="Y63" s="209"/>
      <c r="Z63" s="210"/>
      <c r="AA63" s="210"/>
      <c r="AB63" s="211"/>
      <c r="AC63" s="211"/>
      <c r="AD63" s="211"/>
      <c r="AE63" s="210"/>
      <c r="AF63" s="212"/>
      <c r="AG63" s="201" t="str">
        <f t="shared" si="13"/>
        <v>SNI</v>
      </c>
      <c r="AH63" s="201" t="s">
        <v>485</v>
      </c>
      <c r="AI63" s="297">
        <v>46238</v>
      </c>
      <c r="AJ63" s="201"/>
      <c r="AK63" s="201"/>
      <c r="AL63" s="201"/>
      <c r="AM63" s="201"/>
      <c r="AN63" s="201"/>
      <c r="AO63" s="218" t="str">
        <f t="shared" si="8"/>
        <v>SNI</v>
      </c>
      <c r="AP63" s="201" t="s">
        <v>458</v>
      </c>
      <c r="AQ63" s="201"/>
      <c r="AR63" s="201"/>
      <c r="AS63" s="213"/>
      <c r="AT63" s="213"/>
      <c r="AU63" s="476" t="str">
        <f t="shared" si="11"/>
        <v>Ok</v>
      </c>
      <c r="AV63" s="220">
        <v>46238</v>
      </c>
      <c r="AW63" s="221">
        <f t="shared" si="1"/>
        <v>8</v>
      </c>
      <c r="AX63" s="208">
        <f t="shared" si="2"/>
        <v>59</v>
      </c>
      <c r="AY63" s="222"/>
      <c r="AZ63" s="222"/>
      <c r="BA63" s="222"/>
      <c r="BB63" s="222"/>
      <c r="BC63" s="222"/>
      <c r="BD63" s="201"/>
      <c r="BE63" s="201"/>
      <c r="BF63" s="201"/>
      <c r="BG63" s="201"/>
      <c r="BH63" s="455">
        <v>46244</v>
      </c>
      <c r="BI63" s="215">
        <f t="shared" si="7"/>
        <v>8</v>
      </c>
      <c r="BJ63" s="208">
        <f t="shared" si="7"/>
        <v>59</v>
      </c>
      <c r="BK63" s="223">
        <v>9</v>
      </c>
      <c r="BL63" s="208">
        <v>73</v>
      </c>
      <c r="BM63" s="224" t="s">
        <v>222</v>
      </c>
      <c r="BN63" s="201"/>
      <c r="BO63" s="201"/>
      <c r="BP63" s="201"/>
    </row>
    <row r="64" spans="1:68" ht="15.5">
      <c r="A64" s="225">
        <v>4</v>
      </c>
      <c r="B64" s="204" t="s">
        <v>772</v>
      </c>
      <c r="C64" s="226">
        <v>46164</v>
      </c>
      <c r="D64" s="491">
        <f t="shared" si="3"/>
        <v>92</v>
      </c>
      <c r="E64" s="204" t="s">
        <v>75</v>
      </c>
      <c r="F64" s="205">
        <f t="shared" si="0"/>
        <v>46164</v>
      </c>
      <c r="G64" s="206" t="s">
        <v>175</v>
      </c>
      <c r="H64" s="207">
        <f t="shared" si="9"/>
        <v>46166</v>
      </c>
      <c r="I64" s="215">
        <v>8</v>
      </c>
      <c r="J64" s="208">
        <v>60</v>
      </c>
      <c r="K64" s="209">
        <v>0.105</v>
      </c>
      <c r="L64" s="210">
        <v>0.3125</v>
      </c>
      <c r="M64" s="210">
        <v>0.34</v>
      </c>
      <c r="N64" s="211">
        <v>51</v>
      </c>
      <c r="O64" s="211">
        <f t="shared" si="4"/>
        <v>33.558</v>
      </c>
      <c r="P64" s="211">
        <v>65.8</v>
      </c>
      <c r="Q64" s="210">
        <v>0.22</v>
      </c>
      <c r="R64" s="212">
        <v>83.5</v>
      </c>
      <c r="S64" s="201" t="s">
        <v>427</v>
      </c>
      <c r="T64" s="201" t="s">
        <v>485</v>
      </c>
      <c r="U64" s="201"/>
      <c r="V64" s="300" t="s">
        <v>558</v>
      </c>
      <c r="W64" s="215">
        <f t="shared" si="5"/>
        <v>8</v>
      </c>
      <c r="X64" s="208">
        <f t="shared" si="5"/>
        <v>60</v>
      </c>
      <c r="Y64" s="209"/>
      <c r="Z64" s="210"/>
      <c r="AA64" s="210"/>
      <c r="AB64" s="211"/>
      <c r="AC64" s="211"/>
      <c r="AD64" s="211"/>
      <c r="AE64" s="210"/>
      <c r="AF64" s="212" t="s">
        <v>559</v>
      </c>
      <c r="AG64" s="201" t="s">
        <v>486</v>
      </c>
      <c r="AH64" s="201" t="s">
        <v>485</v>
      </c>
      <c r="AI64" s="297">
        <v>46237</v>
      </c>
      <c r="AJ64" s="201"/>
      <c r="AK64" s="201"/>
      <c r="AL64" s="201"/>
      <c r="AM64" s="201"/>
      <c r="AN64" s="201"/>
      <c r="AO64" s="218" t="str">
        <f t="shared" si="8"/>
        <v>Belshina</v>
      </c>
      <c r="AP64" s="201" t="s">
        <v>458</v>
      </c>
      <c r="AQ64" s="201"/>
      <c r="AR64" s="201"/>
      <c r="AS64" s="213"/>
      <c r="AT64" s="213"/>
      <c r="AU64" s="476" t="str">
        <f t="shared" si="11"/>
        <v>Ok</v>
      </c>
      <c r="AV64" s="220">
        <v>46237</v>
      </c>
      <c r="AW64" s="221">
        <f t="shared" si="1"/>
        <v>8</v>
      </c>
      <c r="AX64" s="208">
        <f t="shared" si="2"/>
        <v>60</v>
      </c>
      <c r="AY64" s="222"/>
      <c r="AZ64" s="222"/>
      <c r="BA64" s="222"/>
      <c r="BB64" s="222"/>
      <c r="BC64" s="222"/>
      <c r="BD64" s="201"/>
      <c r="BE64" s="201"/>
      <c r="BF64" s="219" t="s">
        <v>496</v>
      </c>
      <c r="BG64" s="219" t="s">
        <v>497</v>
      </c>
      <c r="BH64" s="455">
        <v>46256</v>
      </c>
      <c r="BI64" s="215">
        <f t="shared" si="7"/>
        <v>8</v>
      </c>
      <c r="BJ64" s="208">
        <f t="shared" si="7"/>
        <v>60</v>
      </c>
      <c r="BK64" s="223">
        <v>15</v>
      </c>
      <c r="BL64" s="208">
        <v>125</v>
      </c>
      <c r="BM64" s="224" t="s">
        <v>222</v>
      </c>
      <c r="BN64" s="201" t="s">
        <v>498</v>
      </c>
      <c r="BO64" s="262" t="s">
        <v>471</v>
      </c>
      <c r="BP64" s="201" t="s">
        <v>499</v>
      </c>
    </row>
    <row r="65" spans="1:68" ht="15.5">
      <c r="A65" s="225">
        <v>4</v>
      </c>
      <c r="B65" s="204">
        <v>19</v>
      </c>
      <c r="C65" s="226">
        <v>46164</v>
      </c>
      <c r="D65" s="491">
        <f t="shared" si="3"/>
        <v>74</v>
      </c>
      <c r="E65" s="204" t="s">
        <v>75</v>
      </c>
      <c r="F65" s="205">
        <f t="shared" si="0"/>
        <v>46164</v>
      </c>
      <c r="G65" s="206" t="s">
        <v>175</v>
      </c>
      <c r="H65" s="207">
        <f t="shared" si="9"/>
        <v>46166</v>
      </c>
      <c r="I65" s="215">
        <v>8</v>
      </c>
      <c r="J65" s="208">
        <v>61</v>
      </c>
      <c r="K65" s="209">
        <v>0.11424999999999999</v>
      </c>
      <c r="L65" s="210">
        <v>0.32250000000000001</v>
      </c>
      <c r="M65" s="210">
        <v>0.38</v>
      </c>
      <c r="N65" s="211">
        <v>50.25</v>
      </c>
      <c r="O65" s="211">
        <f t="shared" si="4"/>
        <v>32.247937499999999</v>
      </c>
      <c r="P65" s="211">
        <v>64.174999999999997</v>
      </c>
      <c r="Q65" s="210">
        <v>0.22</v>
      </c>
      <c r="R65" s="212">
        <v>86</v>
      </c>
      <c r="S65" s="201" t="s">
        <v>427</v>
      </c>
      <c r="T65" s="201" t="s">
        <v>485</v>
      </c>
      <c r="U65" s="201"/>
      <c r="V65" s="300" t="s">
        <v>560</v>
      </c>
      <c r="W65" s="215">
        <f t="shared" si="5"/>
        <v>8</v>
      </c>
      <c r="X65" s="208">
        <f t="shared" si="5"/>
        <v>61</v>
      </c>
      <c r="Y65" s="209"/>
      <c r="Z65" s="210"/>
      <c r="AA65" s="210"/>
      <c r="AB65" s="211"/>
      <c r="AC65" s="211"/>
      <c r="AD65" s="211"/>
      <c r="AE65" s="210"/>
      <c r="AF65" s="212" t="s">
        <v>561</v>
      </c>
      <c r="AG65" s="201" t="str">
        <f>S65</f>
        <v>SNI</v>
      </c>
      <c r="AH65" s="201" t="s">
        <v>485</v>
      </c>
      <c r="AI65" s="297">
        <v>46238</v>
      </c>
      <c r="AJ65" s="201"/>
      <c r="AK65" s="201"/>
      <c r="AL65" s="201"/>
      <c r="AM65" s="201"/>
      <c r="AN65" s="201"/>
      <c r="AO65" s="218" t="str">
        <f t="shared" si="8"/>
        <v>SNI</v>
      </c>
      <c r="AP65" s="201" t="s">
        <v>458</v>
      </c>
      <c r="AQ65" s="201"/>
      <c r="AR65" s="201"/>
      <c r="AS65" s="213"/>
      <c r="AT65" s="213"/>
      <c r="AU65" s="476" t="str">
        <f t="shared" si="11"/>
        <v>Ok</v>
      </c>
      <c r="AV65" s="220">
        <v>46238</v>
      </c>
      <c r="AW65" s="221">
        <f t="shared" si="1"/>
        <v>8</v>
      </c>
      <c r="AX65" s="208">
        <f t="shared" si="2"/>
        <v>61</v>
      </c>
      <c r="AY65" s="222"/>
      <c r="AZ65" s="222"/>
      <c r="BA65" s="222"/>
      <c r="BB65" s="222"/>
      <c r="BC65" s="222"/>
      <c r="BD65" s="201"/>
      <c r="BE65" s="201"/>
      <c r="BF65" s="201"/>
      <c r="BG65" s="201"/>
      <c r="BH65" s="455">
        <v>46238</v>
      </c>
      <c r="BI65" s="215">
        <f t="shared" si="7"/>
        <v>8</v>
      </c>
      <c r="BJ65" s="208">
        <f t="shared" si="7"/>
        <v>61</v>
      </c>
      <c r="BK65" s="223">
        <v>7</v>
      </c>
      <c r="BL65" s="208">
        <v>56</v>
      </c>
      <c r="BM65" s="224" t="s">
        <v>222</v>
      </c>
      <c r="BN65" s="201"/>
      <c r="BO65" s="201"/>
      <c r="BP65" s="201"/>
    </row>
    <row r="66" spans="1:68" ht="15.5">
      <c r="A66" s="225">
        <v>4</v>
      </c>
      <c r="B66" s="204">
        <v>19</v>
      </c>
      <c r="C66" s="226">
        <v>46164</v>
      </c>
      <c r="D66" s="491">
        <f t="shared" si="3"/>
        <v>74</v>
      </c>
      <c r="E66" s="204" t="s">
        <v>75</v>
      </c>
      <c r="F66" s="205">
        <f t="shared" si="0"/>
        <v>46164</v>
      </c>
      <c r="G66" s="206" t="s">
        <v>175</v>
      </c>
      <c r="H66" s="207">
        <f t="shared" si="9"/>
        <v>46166</v>
      </c>
      <c r="I66" s="215">
        <v>8</v>
      </c>
      <c r="J66" s="208">
        <v>62</v>
      </c>
      <c r="K66" s="209">
        <v>0.109</v>
      </c>
      <c r="L66" s="210">
        <v>0.36</v>
      </c>
      <c r="M66" s="210">
        <v>0.35</v>
      </c>
      <c r="N66" s="211">
        <v>48.25</v>
      </c>
      <c r="O66" s="211">
        <f t="shared" si="4"/>
        <v>31.000624999999999</v>
      </c>
      <c r="P66" s="211">
        <v>64.25</v>
      </c>
      <c r="Q66" s="210">
        <v>0.22</v>
      </c>
      <c r="R66" s="212">
        <v>86</v>
      </c>
      <c r="S66" s="201" t="s">
        <v>427</v>
      </c>
      <c r="T66" s="201" t="s">
        <v>485</v>
      </c>
      <c r="U66" s="201"/>
      <c r="V66" s="300"/>
      <c r="W66" s="215">
        <f t="shared" si="5"/>
        <v>8</v>
      </c>
      <c r="X66" s="208">
        <f t="shared" si="5"/>
        <v>62</v>
      </c>
      <c r="Y66" s="209"/>
      <c r="Z66" s="210"/>
      <c r="AA66" s="210"/>
      <c r="AB66" s="211"/>
      <c r="AC66" s="211"/>
      <c r="AD66" s="211"/>
      <c r="AE66" s="210"/>
      <c r="AF66" s="212"/>
      <c r="AG66" s="201" t="str">
        <f>S66</f>
        <v>SNI</v>
      </c>
      <c r="AH66" s="201" t="s">
        <v>485</v>
      </c>
      <c r="AI66" s="297">
        <v>46238</v>
      </c>
      <c r="AJ66" s="201"/>
      <c r="AK66" s="201"/>
      <c r="AL66" s="201"/>
      <c r="AM66" s="201"/>
      <c r="AN66" s="201"/>
      <c r="AO66" s="218" t="str">
        <f t="shared" si="8"/>
        <v>SNI</v>
      </c>
      <c r="AP66" s="201" t="s">
        <v>458</v>
      </c>
      <c r="AQ66" s="201"/>
      <c r="AR66" s="201"/>
      <c r="AS66" s="213"/>
      <c r="AT66" s="213"/>
      <c r="AU66" s="476" t="str">
        <f t="shared" si="11"/>
        <v>Ok</v>
      </c>
      <c r="AV66" s="220">
        <v>46238</v>
      </c>
      <c r="AW66" s="221">
        <f t="shared" si="1"/>
        <v>8</v>
      </c>
      <c r="AX66" s="208">
        <f t="shared" si="2"/>
        <v>62</v>
      </c>
      <c r="AY66" s="222"/>
      <c r="AZ66" s="222"/>
      <c r="BA66" s="222"/>
      <c r="BB66" s="222"/>
      <c r="BC66" s="222"/>
      <c r="BD66" s="201"/>
      <c r="BE66" s="201"/>
      <c r="BF66" s="201"/>
      <c r="BG66" s="201"/>
      <c r="BH66" s="455">
        <v>46238</v>
      </c>
      <c r="BI66" s="215">
        <f t="shared" si="7"/>
        <v>8</v>
      </c>
      <c r="BJ66" s="208">
        <f t="shared" si="7"/>
        <v>62</v>
      </c>
      <c r="BK66" s="223">
        <v>7</v>
      </c>
      <c r="BL66" s="208">
        <v>57</v>
      </c>
      <c r="BM66" s="224" t="s">
        <v>222</v>
      </c>
      <c r="BN66" s="201"/>
      <c r="BO66" s="201"/>
      <c r="BP66" s="201"/>
    </row>
    <row r="67" spans="1:68" s="549" customFormat="1" ht="15.5">
      <c r="A67" s="251">
        <v>4</v>
      </c>
      <c r="B67" s="252" t="s">
        <v>773</v>
      </c>
      <c r="C67" s="253">
        <v>46167</v>
      </c>
      <c r="D67" s="491">
        <f t="shared" si="3"/>
        <v>99</v>
      </c>
      <c r="E67" s="252" t="s">
        <v>75</v>
      </c>
      <c r="F67" s="254">
        <f t="shared" si="0"/>
        <v>46167</v>
      </c>
      <c r="G67" s="255" t="s">
        <v>175</v>
      </c>
      <c r="H67" s="256">
        <f t="shared" si="9"/>
        <v>46169</v>
      </c>
      <c r="I67" s="264">
        <v>8</v>
      </c>
      <c r="J67" s="257">
        <v>63</v>
      </c>
      <c r="K67" s="258">
        <v>0.1115</v>
      </c>
      <c r="L67" s="259">
        <v>0.34500000000000003</v>
      </c>
      <c r="M67" s="259">
        <v>0.34</v>
      </c>
      <c r="N67" s="260">
        <v>48</v>
      </c>
      <c r="O67" s="260">
        <f t="shared" si="4"/>
        <v>29.76</v>
      </c>
      <c r="P67" s="260">
        <v>62</v>
      </c>
      <c r="Q67" s="259">
        <v>0.22</v>
      </c>
      <c r="R67" s="261">
        <v>86</v>
      </c>
      <c r="S67" s="262" t="s">
        <v>427</v>
      </c>
      <c r="T67" s="262" t="s">
        <v>485</v>
      </c>
      <c r="U67" s="262"/>
      <c r="V67" s="313"/>
      <c r="W67" s="264">
        <f t="shared" si="5"/>
        <v>8</v>
      </c>
      <c r="X67" s="257">
        <f t="shared" si="5"/>
        <v>63</v>
      </c>
      <c r="Y67" s="258"/>
      <c r="Z67" s="259"/>
      <c r="AA67" s="259"/>
      <c r="AB67" s="260"/>
      <c r="AC67" s="260"/>
      <c r="AD67" s="260"/>
      <c r="AE67" s="259"/>
      <c r="AF67" s="261"/>
      <c r="AG67" s="262" t="str">
        <f>S67</f>
        <v>SNI</v>
      </c>
      <c r="AH67" s="262" t="s">
        <v>485</v>
      </c>
      <c r="AI67" s="266">
        <v>46196</v>
      </c>
      <c r="AJ67" s="262"/>
      <c r="AK67" s="262"/>
      <c r="AL67" s="267" t="s">
        <v>222</v>
      </c>
      <c r="AM67" s="267"/>
      <c r="AN67" s="262"/>
      <c r="AO67" s="268" t="str">
        <f t="shared" si="8"/>
        <v>SNI</v>
      </c>
      <c r="AP67" s="269" t="s">
        <v>459</v>
      </c>
      <c r="AQ67" s="269" t="s">
        <v>471</v>
      </c>
      <c r="AR67" s="262" t="s">
        <v>549</v>
      </c>
      <c r="AS67" s="269"/>
      <c r="AT67" s="269"/>
      <c r="AU67" s="476" t="str">
        <f t="shared" si="11"/>
        <v>Reject</v>
      </c>
      <c r="AV67" s="270">
        <v>46196</v>
      </c>
      <c r="AW67" s="271">
        <f t="shared" si="1"/>
        <v>8</v>
      </c>
      <c r="AX67" s="257">
        <f t="shared" si="2"/>
        <v>63</v>
      </c>
      <c r="AY67" s="272"/>
      <c r="AZ67" s="272"/>
      <c r="BA67" s="272" t="s">
        <v>222</v>
      </c>
      <c r="BB67" s="272"/>
      <c r="BC67" s="272"/>
      <c r="BD67" s="262" t="s">
        <v>459</v>
      </c>
      <c r="BE67" s="262" t="s">
        <v>471</v>
      </c>
      <c r="BF67" s="219" t="s">
        <v>496</v>
      </c>
      <c r="BG67" s="219" t="s">
        <v>497</v>
      </c>
      <c r="BH67" s="455">
        <v>46266</v>
      </c>
      <c r="BI67" s="264">
        <f t="shared" si="7"/>
        <v>8</v>
      </c>
      <c r="BJ67" s="257">
        <f t="shared" si="7"/>
        <v>63</v>
      </c>
      <c r="BK67" s="273">
        <v>19</v>
      </c>
      <c r="BL67" s="257">
        <v>161</v>
      </c>
      <c r="BM67" s="224" t="s">
        <v>222</v>
      </c>
      <c r="BN67" s="201" t="s">
        <v>498</v>
      </c>
      <c r="BO67" s="262" t="s">
        <v>471</v>
      </c>
      <c r="BP67" s="201" t="s">
        <v>499</v>
      </c>
    </row>
    <row r="68" spans="1:68" s="549" customFormat="1" ht="15.5">
      <c r="A68" s="251">
        <v>4</v>
      </c>
      <c r="B68" s="252">
        <v>20</v>
      </c>
      <c r="C68" s="253">
        <v>46167</v>
      </c>
      <c r="D68" s="491">
        <f t="shared" si="3"/>
        <v>115</v>
      </c>
      <c r="E68" s="252" t="s">
        <v>75</v>
      </c>
      <c r="F68" s="254">
        <f t="shared" si="0"/>
        <v>46167</v>
      </c>
      <c r="G68" s="255" t="s">
        <v>175</v>
      </c>
      <c r="H68" s="256">
        <f t="shared" si="9"/>
        <v>46169</v>
      </c>
      <c r="I68" s="264">
        <v>8</v>
      </c>
      <c r="J68" s="257">
        <v>64</v>
      </c>
      <c r="K68" s="258">
        <v>0.106</v>
      </c>
      <c r="L68" s="259">
        <v>0.36749999999999994</v>
      </c>
      <c r="M68" s="259">
        <v>0.36</v>
      </c>
      <c r="N68" s="260">
        <v>47.5</v>
      </c>
      <c r="O68" s="260">
        <f t="shared" si="4"/>
        <v>29.497499999999999</v>
      </c>
      <c r="P68" s="260">
        <v>62.1</v>
      </c>
      <c r="Q68" s="259">
        <v>0.22</v>
      </c>
      <c r="R68" s="261">
        <v>86</v>
      </c>
      <c r="S68" s="262" t="s">
        <v>427</v>
      </c>
      <c r="T68" s="262" t="s">
        <v>485</v>
      </c>
      <c r="U68" s="262"/>
      <c r="V68" s="313"/>
      <c r="W68" s="264">
        <f t="shared" si="5"/>
        <v>8</v>
      </c>
      <c r="X68" s="257">
        <f t="shared" si="5"/>
        <v>64</v>
      </c>
      <c r="Y68" s="258"/>
      <c r="Z68" s="259"/>
      <c r="AA68" s="259"/>
      <c r="AB68" s="260"/>
      <c r="AC68" s="260"/>
      <c r="AD68" s="260"/>
      <c r="AE68" s="259"/>
      <c r="AF68" s="261"/>
      <c r="AG68" s="262" t="str">
        <f>S68</f>
        <v>SNI</v>
      </c>
      <c r="AH68" s="262" t="s">
        <v>485</v>
      </c>
      <c r="AI68" s="314">
        <v>46226</v>
      </c>
      <c r="AJ68" s="262"/>
      <c r="AK68" s="262"/>
      <c r="AL68" s="267" t="s">
        <v>222</v>
      </c>
      <c r="AM68" s="262"/>
      <c r="AN68" s="262"/>
      <c r="AO68" s="268" t="str">
        <f t="shared" si="8"/>
        <v>SNI</v>
      </c>
      <c r="AP68" s="262" t="s">
        <v>459</v>
      </c>
      <c r="AQ68" s="262" t="s">
        <v>471</v>
      </c>
      <c r="AR68" s="262" t="s">
        <v>549</v>
      </c>
      <c r="AS68" s="269"/>
      <c r="AT68" s="269"/>
      <c r="AU68" s="476" t="str">
        <f t="shared" si="11"/>
        <v>Reject</v>
      </c>
      <c r="AV68" s="270">
        <v>46226</v>
      </c>
      <c r="AW68" s="271">
        <f t="shared" si="1"/>
        <v>8</v>
      </c>
      <c r="AX68" s="257">
        <f t="shared" si="2"/>
        <v>64</v>
      </c>
      <c r="AY68" s="272"/>
      <c r="AZ68" s="272"/>
      <c r="BA68" s="272" t="s">
        <v>222</v>
      </c>
      <c r="BB68" s="272"/>
      <c r="BC68" s="272"/>
      <c r="BD68" s="262" t="s">
        <v>459</v>
      </c>
      <c r="BE68" s="262" t="s">
        <v>471</v>
      </c>
      <c r="BF68" s="219" t="s">
        <v>496</v>
      </c>
      <c r="BG68" s="219" t="s">
        <v>497</v>
      </c>
      <c r="BH68" s="455">
        <v>46282</v>
      </c>
      <c r="BI68" s="264">
        <f t="shared" si="7"/>
        <v>8</v>
      </c>
      <c r="BJ68" s="257">
        <f t="shared" si="7"/>
        <v>64</v>
      </c>
      <c r="BK68" s="273">
        <v>23</v>
      </c>
      <c r="BL68" s="257">
        <v>194</v>
      </c>
      <c r="BM68" s="267" t="s">
        <v>222</v>
      </c>
      <c r="BN68" s="201" t="s">
        <v>498</v>
      </c>
      <c r="BO68" s="262" t="s">
        <v>471</v>
      </c>
      <c r="BP68" s="201" t="s">
        <v>499</v>
      </c>
    </row>
    <row r="69" spans="1:68" s="547" customFormat="1" ht="15.5">
      <c r="A69" s="315">
        <v>4</v>
      </c>
      <c r="B69" s="316">
        <v>20</v>
      </c>
      <c r="C69" s="317">
        <v>46167</v>
      </c>
      <c r="D69" s="491">
        <f t="shared" si="3"/>
        <v>120</v>
      </c>
      <c r="E69" s="316" t="s">
        <v>75</v>
      </c>
      <c r="F69" s="318">
        <f t="shared" ref="F69:F132" si="14">C69</f>
        <v>46167</v>
      </c>
      <c r="G69" s="319" t="s">
        <v>175</v>
      </c>
      <c r="H69" s="320">
        <f t="shared" si="9"/>
        <v>46169</v>
      </c>
      <c r="I69" s="328">
        <v>9</v>
      </c>
      <c r="J69" s="321">
        <v>65</v>
      </c>
      <c r="K69" s="322">
        <v>0.112</v>
      </c>
      <c r="L69" s="323">
        <v>0.36499999999999999</v>
      </c>
      <c r="M69" s="323">
        <v>0.37</v>
      </c>
      <c r="N69" s="324">
        <v>49</v>
      </c>
      <c r="O69" s="324">
        <f t="shared" si="4"/>
        <v>31.751999999999999</v>
      </c>
      <c r="P69" s="324">
        <v>64.8</v>
      </c>
      <c r="Q69" s="323">
        <v>0.23</v>
      </c>
      <c r="R69" s="325">
        <v>81.5</v>
      </c>
      <c r="S69" s="326" t="s">
        <v>486</v>
      </c>
      <c r="T69" s="326" t="s">
        <v>485</v>
      </c>
      <c r="U69" s="326"/>
      <c r="V69" s="327" t="s">
        <v>562</v>
      </c>
      <c r="W69" s="328">
        <f t="shared" si="5"/>
        <v>9</v>
      </c>
      <c r="X69" s="321">
        <f t="shared" si="5"/>
        <v>65</v>
      </c>
      <c r="Y69" s="322"/>
      <c r="Z69" s="323"/>
      <c r="AA69" s="323"/>
      <c r="AB69" s="316">
        <v>50</v>
      </c>
      <c r="AC69" s="324">
        <v>31</v>
      </c>
      <c r="AD69" s="316">
        <v>62</v>
      </c>
      <c r="AE69" s="323"/>
      <c r="AF69" s="338" t="s">
        <v>563</v>
      </c>
      <c r="AG69" s="326" t="s">
        <v>427</v>
      </c>
      <c r="AH69" s="326" t="s">
        <v>485</v>
      </c>
      <c r="AI69" s="329">
        <v>46178</v>
      </c>
      <c r="AJ69" s="326"/>
      <c r="AK69" s="330" t="s">
        <v>222</v>
      </c>
      <c r="AL69" s="326"/>
      <c r="AM69" s="326"/>
      <c r="AN69" s="326"/>
      <c r="AO69" s="218" t="str">
        <f t="shared" si="8"/>
        <v>SNI</v>
      </c>
      <c r="AP69" s="326" t="s">
        <v>459</v>
      </c>
      <c r="AQ69" s="326" t="s">
        <v>426</v>
      </c>
      <c r="AR69" s="326" t="s">
        <v>488</v>
      </c>
      <c r="AS69" s="332"/>
      <c r="AT69" s="332"/>
      <c r="AU69" s="476" t="str">
        <f t="shared" si="11"/>
        <v>Reject</v>
      </c>
      <c r="AV69" s="333">
        <v>46178</v>
      </c>
      <c r="AW69" s="334">
        <f t="shared" ref="AW69:AW132" si="15">I69</f>
        <v>9</v>
      </c>
      <c r="AX69" s="321">
        <f t="shared" ref="AX69:AX132" si="16">J69</f>
        <v>65</v>
      </c>
      <c r="AY69" s="335"/>
      <c r="AZ69" s="335"/>
      <c r="BA69" s="335"/>
      <c r="BB69" s="335"/>
      <c r="BC69" s="335"/>
      <c r="BD69" s="326"/>
      <c r="BE69" s="326"/>
      <c r="BF69" s="219" t="s">
        <v>496</v>
      </c>
      <c r="BG69" s="219" t="s">
        <v>497</v>
      </c>
      <c r="BH69" s="455">
        <v>46287</v>
      </c>
      <c r="BI69" s="328">
        <f t="shared" si="7"/>
        <v>9</v>
      </c>
      <c r="BJ69" s="321">
        <f t="shared" si="7"/>
        <v>65</v>
      </c>
      <c r="BK69" s="336">
        <v>25</v>
      </c>
      <c r="BL69" s="321">
        <v>212</v>
      </c>
      <c r="BM69" s="224"/>
      <c r="BN69" s="201" t="s">
        <v>520</v>
      </c>
      <c r="BO69" s="262" t="s">
        <v>471</v>
      </c>
      <c r="BP69" s="201" t="s">
        <v>499</v>
      </c>
    </row>
    <row r="70" spans="1:68" s="547" customFormat="1" ht="15.5">
      <c r="A70" s="315">
        <v>4</v>
      </c>
      <c r="B70" s="316">
        <v>20</v>
      </c>
      <c r="C70" s="317">
        <v>46167</v>
      </c>
      <c r="D70" s="491">
        <f t="shared" ref="D70:D133" si="17">BH70-C70</f>
        <v>89</v>
      </c>
      <c r="E70" s="316" t="s">
        <v>75</v>
      </c>
      <c r="F70" s="318">
        <f t="shared" si="14"/>
        <v>46167</v>
      </c>
      <c r="G70" s="319" t="s">
        <v>175</v>
      </c>
      <c r="H70" s="320">
        <f t="shared" si="9"/>
        <v>46169</v>
      </c>
      <c r="I70" s="328">
        <v>9</v>
      </c>
      <c r="J70" s="321">
        <v>66</v>
      </c>
      <c r="K70" s="322">
        <v>0.11075</v>
      </c>
      <c r="L70" s="323">
        <v>0.35500000000000004</v>
      </c>
      <c r="M70" s="323">
        <v>0.37</v>
      </c>
      <c r="N70" s="324">
        <v>50.25</v>
      </c>
      <c r="O70" s="324">
        <f t="shared" ref="O70:O133" si="18">N70*P70/100</f>
        <v>32.750437499999997</v>
      </c>
      <c r="P70" s="324">
        <v>65.174999999999997</v>
      </c>
      <c r="Q70" s="323">
        <v>0.23</v>
      </c>
      <c r="R70" s="325">
        <v>81.5</v>
      </c>
      <c r="S70" s="326" t="s">
        <v>486</v>
      </c>
      <c r="T70" s="326" t="s">
        <v>485</v>
      </c>
      <c r="U70" s="326"/>
      <c r="V70" s="327"/>
      <c r="W70" s="328">
        <f t="shared" ref="W70:X133" si="19">I70</f>
        <v>9</v>
      </c>
      <c r="X70" s="321">
        <f t="shared" si="19"/>
        <v>66</v>
      </c>
      <c r="Y70" s="322"/>
      <c r="Z70" s="323"/>
      <c r="AA70" s="323"/>
      <c r="AB70" s="324"/>
      <c r="AC70" s="324"/>
      <c r="AD70" s="324"/>
      <c r="AE70" s="323"/>
      <c r="AF70" s="325"/>
      <c r="AG70" s="326" t="str">
        <f>S70</f>
        <v>Belshina</v>
      </c>
      <c r="AH70" s="326" t="s">
        <v>485</v>
      </c>
      <c r="AI70" s="327">
        <v>46238</v>
      </c>
      <c r="AJ70" s="330" t="s">
        <v>222</v>
      </c>
      <c r="AK70" s="326"/>
      <c r="AL70" s="326"/>
      <c r="AM70" s="326"/>
      <c r="AN70" s="326"/>
      <c r="AO70" s="218" t="str">
        <f t="shared" si="8"/>
        <v>Belshina</v>
      </c>
      <c r="AP70" s="326" t="s">
        <v>459</v>
      </c>
      <c r="AQ70" s="326" t="s">
        <v>265</v>
      </c>
      <c r="AR70" s="326" t="s">
        <v>549</v>
      </c>
      <c r="AS70" s="332"/>
      <c r="AT70" s="332"/>
      <c r="AU70" s="476" t="str">
        <f t="shared" si="11"/>
        <v>Reject</v>
      </c>
      <c r="AV70" s="333">
        <v>46178</v>
      </c>
      <c r="AW70" s="221">
        <f t="shared" si="15"/>
        <v>9</v>
      </c>
      <c r="AX70" s="208">
        <f t="shared" si="16"/>
        <v>66</v>
      </c>
      <c r="AY70" s="335"/>
      <c r="AZ70" s="335"/>
      <c r="BA70" s="335"/>
      <c r="BB70" s="335"/>
      <c r="BC70" s="335"/>
      <c r="BD70" s="326"/>
      <c r="BE70" s="326"/>
      <c r="BF70" s="219" t="s">
        <v>564</v>
      </c>
      <c r="BG70" s="219" t="s">
        <v>497</v>
      </c>
      <c r="BH70" s="455">
        <v>46256</v>
      </c>
      <c r="BI70" s="215">
        <f t="shared" ref="BI70:BJ133" si="20">AW70</f>
        <v>9</v>
      </c>
      <c r="BJ70" s="208">
        <f t="shared" si="20"/>
        <v>66</v>
      </c>
      <c r="BK70" s="223">
        <v>15</v>
      </c>
      <c r="BL70" s="208">
        <v>126</v>
      </c>
      <c r="BM70" s="224" t="s">
        <v>222</v>
      </c>
      <c r="BN70" s="201" t="s">
        <v>520</v>
      </c>
      <c r="BO70" s="262" t="s">
        <v>471</v>
      </c>
      <c r="BP70" s="201" t="s">
        <v>499</v>
      </c>
    </row>
    <row r="71" spans="1:68" s="547" customFormat="1" ht="15.5">
      <c r="A71" s="315">
        <v>4</v>
      </c>
      <c r="B71" s="316">
        <v>20</v>
      </c>
      <c r="C71" s="317">
        <v>46167</v>
      </c>
      <c r="D71" s="491">
        <f t="shared" si="17"/>
        <v>89</v>
      </c>
      <c r="E71" s="316" t="s">
        <v>75</v>
      </c>
      <c r="F71" s="318">
        <f t="shared" si="14"/>
        <v>46167</v>
      </c>
      <c r="G71" s="319" t="s">
        <v>175</v>
      </c>
      <c r="H71" s="320">
        <f t="shared" si="9"/>
        <v>46169</v>
      </c>
      <c r="I71" s="328">
        <v>9</v>
      </c>
      <c r="J71" s="321">
        <v>67</v>
      </c>
      <c r="K71" s="322">
        <v>0.11474999999999999</v>
      </c>
      <c r="L71" s="323">
        <v>0.36499999999999999</v>
      </c>
      <c r="M71" s="323">
        <v>0.38</v>
      </c>
      <c r="N71" s="324">
        <v>49</v>
      </c>
      <c r="O71" s="324">
        <f t="shared" si="18"/>
        <v>33.246500000000005</v>
      </c>
      <c r="P71" s="324">
        <v>67.850000000000009</v>
      </c>
      <c r="Q71" s="323">
        <v>0.23</v>
      </c>
      <c r="R71" s="325">
        <v>81.5</v>
      </c>
      <c r="S71" s="326" t="s">
        <v>486</v>
      </c>
      <c r="T71" s="326" t="s">
        <v>485</v>
      </c>
      <c r="U71" s="326"/>
      <c r="V71" s="329"/>
      <c r="W71" s="328">
        <f t="shared" si="19"/>
        <v>9</v>
      </c>
      <c r="X71" s="321">
        <f t="shared" si="19"/>
        <v>67</v>
      </c>
      <c r="Y71" s="322"/>
      <c r="Z71" s="323"/>
      <c r="AA71" s="323"/>
      <c r="AB71" s="324"/>
      <c r="AC71" s="324"/>
      <c r="AD71" s="324"/>
      <c r="AE71" s="323"/>
      <c r="AF71" s="325"/>
      <c r="AG71" s="326" t="str">
        <f>S71</f>
        <v>Belshina</v>
      </c>
      <c r="AH71" s="326" t="s">
        <v>485</v>
      </c>
      <c r="AI71" s="329">
        <v>46238</v>
      </c>
      <c r="AJ71" s="326"/>
      <c r="AK71" s="330" t="s">
        <v>222</v>
      </c>
      <c r="AL71" s="326"/>
      <c r="AM71" s="326"/>
      <c r="AN71" s="326"/>
      <c r="AO71" s="218" t="str">
        <f t="shared" ref="AO71:AO134" si="21">AG71</f>
        <v>Belshina</v>
      </c>
      <c r="AP71" s="326" t="s">
        <v>459</v>
      </c>
      <c r="AQ71" s="326" t="s">
        <v>426</v>
      </c>
      <c r="AR71" s="326" t="s">
        <v>488</v>
      </c>
      <c r="AS71" s="332"/>
      <c r="AT71" s="332"/>
      <c r="AU71" s="476" t="str">
        <f t="shared" si="11"/>
        <v>Reject</v>
      </c>
      <c r="AV71" s="333">
        <v>46238</v>
      </c>
      <c r="AW71" s="334">
        <f t="shared" si="15"/>
        <v>9</v>
      </c>
      <c r="AX71" s="321">
        <f t="shared" si="16"/>
        <v>67</v>
      </c>
      <c r="AY71" s="335"/>
      <c r="AZ71" s="335"/>
      <c r="BA71" s="335"/>
      <c r="BB71" s="335"/>
      <c r="BC71" s="335"/>
      <c r="BD71" s="326"/>
      <c r="BE71" s="326"/>
      <c r="BF71" s="219" t="s">
        <v>564</v>
      </c>
      <c r="BG71" s="219" t="s">
        <v>497</v>
      </c>
      <c r="BH71" s="455">
        <v>46256</v>
      </c>
      <c r="BI71" s="328">
        <f t="shared" si="20"/>
        <v>9</v>
      </c>
      <c r="BJ71" s="321">
        <f t="shared" si="20"/>
        <v>67</v>
      </c>
      <c r="BK71" s="336">
        <v>15</v>
      </c>
      <c r="BL71" s="321">
        <v>127</v>
      </c>
      <c r="BM71" s="224" t="s">
        <v>222</v>
      </c>
      <c r="BN71" s="201" t="s">
        <v>520</v>
      </c>
      <c r="BO71" s="262" t="s">
        <v>471</v>
      </c>
      <c r="BP71" s="201" t="s">
        <v>499</v>
      </c>
    </row>
    <row r="72" spans="1:68" s="549" customFormat="1" ht="15.5">
      <c r="A72" s="251">
        <v>4</v>
      </c>
      <c r="B72" s="252">
        <v>20</v>
      </c>
      <c r="C72" s="253">
        <v>46167</v>
      </c>
      <c r="D72" s="491">
        <f t="shared" si="17"/>
        <v>115</v>
      </c>
      <c r="E72" s="252" t="s">
        <v>75</v>
      </c>
      <c r="F72" s="254">
        <f t="shared" si="14"/>
        <v>46167</v>
      </c>
      <c r="G72" s="255" t="s">
        <v>175</v>
      </c>
      <c r="H72" s="256">
        <f t="shared" ref="H72:H135" si="22">F72+2</f>
        <v>46169</v>
      </c>
      <c r="I72" s="264">
        <v>9</v>
      </c>
      <c r="J72" s="257">
        <v>68</v>
      </c>
      <c r="K72" s="258">
        <v>0.11599999999999999</v>
      </c>
      <c r="L72" s="259">
        <v>0.35250000000000004</v>
      </c>
      <c r="M72" s="259">
        <v>0.35</v>
      </c>
      <c r="N72" s="260">
        <v>48</v>
      </c>
      <c r="O72" s="260">
        <f t="shared" si="18"/>
        <v>29.243999999999996</v>
      </c>
      <c r="P72" s="260">
        <v>60.924999999999997</v>
      </c>
      <c r="Q72" s="259">
        <v>0.23</v>
      </c>
      <c r="R72" s="261">
        <v>81.5</v>
      </c>
      <c r="S72" s="262" t="s">
        <v>486</v>
      </c>
      <c r="T72" s="262" t="s">
        <v>485</v>
      </c>
      <c r="U72" s="262"/>
      <c r="V72" s="314"/>
      <c r="W72" s="264">
        <f t="shared" si="19"/>
        <v>9</v>
      </c>
      <c r="X72" s="257">
        <f t="shared" si="19"/>
        <v>68</v>
      </c>
      <c r="Y72" s="258"/>
      <c r="Z72" s="259"/>
      <c r="AA72" s="337">
        <v>0.73</v>
      </c>
      <c r="AB72" s="252">
        <v>46</v>
      </c>
      <c r="AC72" s="260">
        <v>24.84</v>
      </c>
      <c r="AD72" s="252">
        <v>54</v>
      </c>
      <c r="AE72" s="259"/>
      <c r="AF72" s="265">
        <v>81.5</v>
      </c>
      <c r="AG72" s="262"/>
      <c r="AH72" s="262" t="s">
        <v>459</v>
      </c>
      <c r="AI72" s="314">
        <v>46240</v>
      </c>
      <c r="AJ72" s="262"/>
      <c r="AK72" s="262"/>
      <c r="AL72" s="267" t="s">
        <v>222</v>
      </c>
      <c r="AM72" s="267" t="s">
        <v>222</v>
      </c>
      <c r="AN72" s="262"/>
      <c r="AO72" s="268"/>
      <c r="AP72" s="262" t="s">
        <v>459</v>
      </c>
      <c r="AQ72" s="262" t="s">
        <v>565</v>
      </c>
      <c r="AR72" s="262" t="s">
        <v>549</v>
      </c>
      <c r="AS72" s="269"/>
      <c r="AT72" s="269"/>
      <c r="AU72" s="476" t="str">
        <f t="shared" si="11"/>
        <v>Reject</v>
      </c>
      <c r="AV72" s="270">
        <v>46178</v>
      </c>
      <c r="AW72" s="271">
        <f t="shared" si="15"/>
        <v>9</v>
      </c>
      <c r="AX72" s="257">
        <f t="shared" si="16"/>
        <v>68</v>
      </c>
      <c r="AY72" s="272"/>
      <c r="AZ72" s="272"/>
      <c r="BA72" s="272" t="s">
        <v>222</v>
      </c>
      <c r="BB72" s="272"/>
      <c r="BC72" s="272"/>
      <c r="BD72" s="262" t="s">
        <v>459</v>
      </c>
      <c r="BE72" s="262" t="s">
        <v>471</v>
      </c>
      <c r="BF72" s="219" t="s">
        <v>496</v>
      </c>
      <c r="BG72" s="219" t="s">
        <v>497</v>
      </c>
      <c r="BH72" s="455">
        <v>46282</v>
      </c>
      <c r="BI72" s="264">
        <f t="shared" si="20"/>
        <v>9</v>
      </c>
      <c r="BJ72" s="257">
        <f t="shared" si="20"/>
        <v>68</v>
      </c>
      <c r="BK72" s="273">
        <v>23</v>
      </c>
      <c r="BL72" s="257">
        <v>195</v>
      </c>
      <c r="BM72" s="267" t="s">
        <v>222</v>
      </c>
      <c r="BN72" s="201" t="s">
        <v>498</v>
      </c>
      <c r="BO72" s="262" t="s">
        <v>471</v>
      </c>
      <c r="BP72" s="201" t="s">
        <v>499</v>
      </c>
    </row>
    <row r="73" spans="1:68" ht="15.5">
      <c r="A73" s="225">
        <v>4</v>
      </c>
      <c r="B73" s="204">
        <v>20</v>
      </c>
      <c r="C73" s="226">
        <v>46167</v>
      </c>
      <c r="D73" s="491">
        <f t="shared" si="17"/>
        <v>71</v>
      </c>
      <c r="E73" s="204" t="s">
        <v>75</v>
      </c>
      <c r="F73" s="205">
        <f t="shared" si="14"/>
        <v>46167</v>
      </c>
      <c r="G73" s="206" t="s">
        <v>175</v>
      </c>
      <c r="H73" s="207">
        <f t="shared" si="22"/>
        <v>46169</v>
      </c>
      <c r="I73" s="215">
        <v>9</v>
      </c>
      <c r="J73" s="208">
        <v>69</v>
      </c>
      <c r="K73" s="209">
        <v>0.114</v>
      </c>
      <c r="L73" s="210">
        <v>0.37</v>
      </c>
      <c r="M73" s="210">
        <v>0.38</v>
      </c>
      <c r="N73" s="211">
        <v>48.25</v>
      </c>
      <c r="O73" s="211">
        <f t="shared" si="18"/>
        <v>30.2406875</v>
      </c>
      <c r="P73" s="211">
        <v>62.674999999999997</v>
      </c>
      <c r="Q73" s="210">
        <v>0.23</v>
      </c>
      <c r="R73" s="212">
        <v>78</v>
      </c>
      <c r="S73" s="201" t="s">
        <v>486</v>
      </c>
      <c r="T73" s="201" t="s">
        <v>485</v>
      </c>
      <c r="U73" s="201"/>
      <c r="V73" s="214">
        <v>46226</v>
      </c>
      <c r="W73" s="215">
        <f t="shared" si="19"/>
        <v>9</v>
      </c>
      <c r="X73" s="208">
        <f t="shared" si="19"/>
        <v>69</v>
      </c>
      <c r="Y73" s="209"/>
      <c r="Z73" s="210"/>
      <c r="AA73" s="210"/>
      <c r="AB73" s="216">
        <v>48</v>
      </c>
      <c r="AC73" s="211">
        <v>33.119999999999997</v>
      </c>
      <c r="AD73" s="211">
        <v>69</v>
      </c>
      <c r="AE73" s="210"/>
      <c r="AF73" s="212">
        <v>89</v>
      </c>
      <c r="AG73" s="201" t="s">
        <v>486</v>
      </c>
      <c r="AH73" s="201" t="s">
        <v>485</v>
      </c>
      <c r="AI73" s="297">
        <v>46238</v>
      </c>
      <c r="AJ73" s="201"/>
      <c r="AK73" s="201"/>
      <c r="AL73" s="201"/>
      <c r="AM73" s="201"/>
      <c r="AN73" s="201"/>
      <c r="AO73" s="218" t="str">
        <f t="shared" si="21"/>
        <v>Belshina</v>
      </c>
      <c r="AP73" s="201" t="s">
        <v>458</v>
      </c>
      <c r="AQ73" s="201"/>
      <c r="AR73" s="201"/>
      <c r="AS73" s="213"/>
      <c r="AT73" s="213"/>
      <c r="AU73" s="476" t="str">
        <f t="shared" si="11"/>
        <v>Ok</v>
      </c>
      <c r="AV73" s="220">
        <v>46238</v>
      </c>
      <c r="AW73" s="221">
        <f t="shared" si="15"/>
        <v>9</v>
      </c>
      <c r="AX73" s="208">
        <f t="shared" si="16"/>
        <v>69</v>
      </c>
      <c r="AY73" s="222"/>
      <c r="AZ73" s="222"/>
      <c r="BA73" s="222"/>
      <c r="BB73" s="222"/>
      <c r="BC73" s="222"/>
      <c r="BD73" s="201"/>
      <c r="BE73" s="201"/>
      <c r="BF73" s="219" t="s">
        <v>564</v>
      </c>
      <c r="BG73" s="219" t="s">
        <v>497</v>
      </c>
      <c r="BH73" s="455">
        <v>46238</v>
      </c>
      <c r="BI73" s="215">
        <f t="shared" si="20"/>
        <v>9</v>
      </c>
      <c r="BJ73" s="208">
        <f t="shared" si="20"/>
        <v>69</v>
      </c>
      <c r="BK73" s="223">
        <v>5</v>
      </c>
      <c r="BL73" s="208">
        <v>41</v>
      </c>
      <c r="BM73" s="224" t="s">
        <v>222</v>
      </c>
      <c r="BN73" s="201" t="s">
        <v>520</v>
      </c>
      <c r="BO73" s="262" t="s">
        <v>458</v>
      </c>
      <c r="BP73" s="201" t="s">
        <v>499</v>
      </c>
    </row>
    <row r="74" spans="1:68" ht="15.5">
      <c r="A74" s="225">
        <v>4</v>
      </c>
      <c r="B74" s="204">
        <v>20</v>
      </c>
      <c r="C74" s="226">
        <v>46167</v>
      </c>
      <c r="D74" s="491">
        <f t="shared" si="17"/>
        <v>71</v>
      </c>
      <c r="E74" s="204" t="s">
        <v>75</v>
      </c>
      <c r="F74" s="205">
        <f t="shared" si="14"/>
        <v>46167</v>
      </c>
      <c r="G74" s="206" t="s">
        <v>175</v>
      </c>
      <c r="H74" s="207">
        <f t="shared" si="22"/>
        <v>46169</v>
      </c>
      <c r="I74" s="215">
        <v>9</v>
      </c>
      <c r="J74" s="208">
        <v>70</v>
      </c>
      <c r="K74" s="209">
        <v>0.1115</v>
      </c>
      <c r="L74" s="210">
        <v>0.35750000000000004</v>
      </c>
      <c r="M74" s="210">
        <v>0.35</v>
      </c>
      <c r="N74" s="211">
        <v>46</v>
      </c>
      <c r="O74" s="211">
        <f t="shared" si="18"/>
        <v>28.98</v>
      </c>
      <c r="P74" s="211">
        <v>63</v>
      </c>
      <c r="Q74" s="210">
        <v>0.23</v>
      </c>
      <c r="R74" s="212">
        <v>78</v>
      </c>
      <c r="S74" s="201" t="s">
        <v>486</v>
      </c>
      <c r="T74" s="201" t="s">
        <v>485</v>
      </c>
      <c r="U74" s="201"/>
      <c r="V74" s="214">
        <v>46226</v>
      </c>
      <c r="W74" s="215">
        <f t="shared" si="19"/>
        <v>9</v>
      </c>
      <c r="X74" s="208">
        <f t="shared" si="19"/>
        <v>70</v>
      </c>
      <c r="Y74" s="209"/>
      <c r="Z74" s="210"/>
      <c r="AA74" s="210"/>
      <c r="AB74" s="211"/>
      <c r="AC74" s="211"/>
      <c r="AD74" s="211"/>
      <c r="AE74" s="210"/>
      <c r="AF74" s="212">
        <v>84</v>
      </c>
      <c r="AG74" s="201" t="s">
        <v>486</v>
      </c>
      <c r="AH74" s="201" t="s">
        <v>485</v>
      </c>
      <c r="AI74" s="297">
        <v>46238</v>
      </c>
      <c r="AJ74" s="201"/>
      <c r="AK74" s="201"/>
      <c r="AL74" s="201"/>
      <c r="AM74" s="201"/>
      <c r="AN74" s="201"/>
      <c r="AO74" s="218" t="str">
        <f t="shared" si="21"/>
        <v>Belshina</v>
      </c>
      <c r="AP74" s="201" t="s">
        <v>458</v>
      </c>
      <c r="AQ74" s="201"/>
      <c r="AR74" s="201"/>
      <c r="AS74" s="213"/>
      <c r="AT74" s="213"/>
      <c r="AU74" s="476" t="str">
        <f t="shared" si="11"/>
        <v>Ok</v>
      </c>
      <c r="AV74" s="220">
        <v>46238</v>
      </c>
      <c r="AW74" s="221">
        <f t="shared" si="15"/>
        <v>9</v>
      </c>
      <c r="AX74" s="208">
        <f t="shared" si="16"/>
        <v>70</v>
      </c>
      <c r="AY74" s="222"/>
      <c r="AZ74" s="222"/>
      <c r="BA74" s="222"/>
      <c r="BB74" s="222"/>
      <c r="BC74" s="222"/>
      <c r="BD74" s="201"/>
      <c r="BE74" s="201"/>
      <c r="BF74" s="201"/>
      <c r="BG74" s="201"/>
      <c r="BH74" s="455">
        <v>46238</v>
      </c>
      <c r="BI74" s="215">
        <f t="shared" si="20"/>
        <v>9</v>
      </c>
      <c r="BJ74" s="208">
        <f t="shared" si="20"/>
        <v>70</v>
      </c>
      <c r="BK74" s="223">
        <v>5</v>
      </c>
      <c r="BL74" s="208">
        <v>42</v>
      </c>
      <c r="BM74" s="224" t="s">
        <v>222</v>
      </c>
      <c r="BN74" s="201"/>
      <c r="BO74" s="201"/>
      <c r="BP74" s="201"/>
    </row>
    <row r="75" spans="1:68" ht="15.5">
      <c r="A75" s="225">
        <v>4</v>
      </c>
      <c r="B75" s="204">
        <v>20</v>
      </c>
      <c r="C75" s="226">
        <v>46167</v>
      </c>
      <c r="D75" s="491">
        <f t="shared" si="17"/>
        <v>71</v>
      </c>
      <c r="E75" s="204" t="s">
        <v>75</v>
      </c>
      <c r="F75" s="205">
        <f t="shared" si="14"/>
        <v>46167</v>
      </c>
      <c r="G75" s="206" t="s">
        <v>175</v>
      </c>
      <c r="H75" s="207">
        <f t="shared" si="22"/>
        <v>46169</v>
      </c>
      <c r="I75" s="215">
        <v>9</v>
      </c>
      <c r="J75" s="208">
        <v>71</v>
      </c>
      <c r="K75" s="209">
        <v>0.11275</v>
      </c>
      <c r="L75" s="210">
        <v>0.34749999999999998</v>
      </c>
      <c r="M75" s="210">
        <v>0.37</v>
      </c>
      <c r="N75" s="211">
        <v>45.5</v>
      </c>
      <c r="O75" s="211">
        <f t="shared" si="18"/>
        <v>28.733249999999998</v>
      </c>
      <c r="P75" s="211">
        <v>63.149999999999991</v>
      </c>
      <c r="Q75" s="210">
        <v>0.23</v>
      </c>
      <c r="R75" s="212">
        <v>78</v>
      </c>
      <c r="S75" s="201" t="s">
        <v>486</v>
      </c>
      <c r="T75" s="201" t="s">
        <v>485</v>
      </c>
      <c r="U75" s="201"/>
      <c r="V75" s="300"/>
      <c r="W75" s="215">
        <f t="shared" si="19"/>
        <v>9</v>
      </c>
      <c r="X75" s="208">
        <f t="shared" si="19"/>
        <v>71</v>
      </c>
      <c r="Y75" s="209"/>
      <c r="Z75" s="210"/>
      <c r="AA75" s="210"/>
      <c r="AB75" s="211"/>
      <c r="AC75" s="211"/>
      <c r="AD75" s="211"/>
      <c r="AE75" s="210"/>
      <c r="AF75" s="212"/>
      <c r="AG75" s="201" t="s">
        <v>486</v>
      </c>
      <c r="AH75" s="201" t="s">
        <v>485</v>
      </c>
      <c r="AI75" s="297">
        <v>46238</v>
      </c>
      <c r="AJ75" s="201"/>
      <c r="AK75" s="201"/>
      <c r="AL75" s="201"/>
      <c r="AM75" s="201"/>
      <c r="AN75" s="201"/>
      <c r="AO75" s="218" t="str">
        <f t="shared" si="21"/>
        <v>Belshina</v>
      </c>
      <c r="AP75" s="201" t="s">
        <v>458</v>
      </c>
      <c r="AQ75" s="201"/>
      <c r="AR75" s="201"/>
      <c r="AS75" s="213"/>
      <c r="AT75" s="213"/>
      <c r="AU75" s="476" t="str">
        <f t="shared" si="11"/>
        <v>Ok</v>
      </c>
      <c r="AV75" s="220">
        <v>46238</v>
      </c>
      <c r="AW75" s="221">
        <f t="shared" si="15"/>
        <v>9</v>
      </c>
      <c r="AX75" s="208">
        <f t="shared" si="16"/>
        <v>71</v>
      </c>
      <c r="AY75" s="222"/>
      <c r="AZ75" s="222"/>
      <c r="BA75" s="222"/>
      <c r="BB75" s="222"/>
      <c r="BC75" s="222"/>
      <c r="BD75" s="201"/>
      <c r="BE75" s="201"/>
      <c r="BF75" s="201"/>
      <c r="BG75" s="201"/>
      <c r="BH75" s="455">
        <v>46238</v>
      </c>
      <c r="BI75" s="215">
        <f t="shared" si="20"/>
        <v>9</v>
      </c>
      <c r="BJ75" s="208">
        <f t="shared" si="20"/>
        <v>71</v>
      </c>
      <c r="BK75" s="223">
        <v>5</v>
      </c>
      <c r="BL75" s="208">
        <v>43</v>
      </c>
      <c r="BM75" s="224" t="s">
        <v>222</v>
      </c>
      <c r="BN75" s="201"/>
      <c r="BO75" s="201"/>
      <c r="BP75" s="201"/>
    </row>
    <row r="76" spans="1:68" ht="15.5">
      <c r="A76" s="225">
        <v>4</v>
      </c>
      <c r="B76" s="204" t="s">
        <v>774</v>
      </c>
      <c r="C76" s="226">
        <v>46171</v>
      </c>
      <c r="D76" s="491">
        <f t="shared" si="17"/>
        <v>67</v>
      </c>
      <c r="E76" s="204" t="s">
        <v>75</v>
      </c>
      <c r="F76" s="205">
        <f t="shared" si="14"/>
        <v>46171</v>
      </c>
      <c r="G76" s="206" t="s">
        <v>175</v>
      </c>
      <c r="H76" s="207">
        <f t="shared" si="22"/>
        <v>46173</v>
      </c>
      <c r="I76" s="215">
        <v>9</v>
      </c>
      <c r="J76" s="208">
        <v>72</v>
      </c>
      <c r="K76" s="209">
        <v>0.11175</v>
      </c>
      <c r="L76" s="210">
        <v>0.34749999999999998</v>
      </c>
      <c r="M76" s="210">
        <v>0.38</v>
      </c>
      <c r="N76" s="211">
        <v>47.75</v>
      </c>
      <c r="O76" s="211">
        <f t="shared" si="18"/>
        <v>30.034750000000003</v>
      </c>
      <c r="P76" s="211">
        <v>62.900000000000006</v>
      </c>
      <c r="Q76" s="210">
        <v>0.23</v>
      </c>
      <c r="R76" s="212">
        <v>78</v>
      </c>
      <c r="S76" s="201" t="s">
        <v>486</v>
      </c>
      <c r="T76" s="201" t="s">
        <v>485</v>
      </c>
      <c r="U76" s="201"/>
      <c r="V76" s="214">
        <v>46226</v>
      </c>
      <c r="W76" s="215">
        <f t="shared" si="19"/>
        <v>9</v>
      </c>
      <c r="X76" s="208">
        <f t="shared" si="19"/>
        <v>72</v>
      </c>
      <c r="Y76" s="209"/>
      <c r="Z76" s="210"/>
      <c r="AA76" s="210"/>
      <c r="AB76" s="211"/>
      <c r="AC76" s="211"/>
      <c r="AD76" s="211"/>
      <c r="AE76" s="210"/>
      <c r="AF76" s="212" t="s">
        <v>566</v>
      </c>
      <c r="AG76" s="201" t="s">
        <v>486</v>
      </c>
      <c r="AH76" s="201" t="s">
        <v>485</v>
      </c>
      <c r="AI76" s="297">
        <v>46238</v>
      </c>
      <c r="AJ76" s="201"/>
      <c r="AK76" s="201"/>
      <c r="AL76" s="201"/>
      <c r="AM76" s="201"/>
      <c r="AN76" s="201"/>
      <c r="AO76" s="218" t="str">
        <f t="shared" si="21"/>
        <v>Belshina</v>
      </c>
      <c r="AP76" s="201" t="s">
        <v>458</v>
      </c>
      <c r="AQ76" s="201"/>
      <c r="AR76" s="201"/>
      <c r="AS76" s="213"/>
      <c r="AT76" s="213"/>
      <c r="AU76" s="476" t="str">
        <f t="shared" si="11"/>
        <v>Ok</v>
      </c>
      <c r="AV76" s="220">
        <v>46238</v>
      </c>
      <c r="AW76" s="221">
        <f t="shared" si="15"/>
        <v>9</v>
      </c>
      <c r="AX76" s="208">
        <f t="shared" si="16"/>
        <v>72</v>
      </c>
      <c r="AY76" s="222"/>
      <c r="AZ76" s="222"/>
      <c r="BA76" s="222"/>
      <c r="BB76" s="222"/>
      <c r="BC76" s="222"/>
      <c r="BD76" s="201"/>
      <c r="BE76" s="201"/>
      <c r="BF76" s="219" t="s">
        <v>496</v>
      </c>
      <c r="BG76" s="219" t="s">
        <v>497</v>
      </c>
      <c r="BH76" s="455">
        <v>46238</v>
      </c>
      <c r="BI76" s="215">
        <f t="shared" si="20"/>
        <v>9</v>
      </c>
      <c r="BJ76" s="208">
        <f t="shared" si="20"/>
        <v>72</v>
      </c>
      <c r="BK76" s="223">
        <v>5</v>
      </c>
      <c r="BL76" s="208">
        <v>44</v>
      </c>
      <c r="BM76" s="224" t="s">
        <v>222</v>
      </c>
      <c r="BN76" s="201"/>
      <c r="BO76" s="201"/>
      <c r="BP76" s="201"/>
    </row>
    <row r="77" spans="1:68" ht="15.5">
      <c r="A77" s="225">
        <v>4</v>
      </c>
      <c r="B77" s="204">
        <v>22</v>
      </c>
      <c r="C77" s="226">
        <v>46172</v>
      </c>
      <c r="D77" s="491">
        <f t="shared" si="17"/>
        <v>72</v>
      </c>
      <c r="E77" s="204" t="s">
        <v>75</v>
      </c>
      <c r="F77" s="205">
        <f t="shared" si="14"/>
        <v>46172</v>
      </c>
      <c r="G77" s="206" t="s">
        <v>175</v>
      </c>
      <c r="H77" s="207">
        <f t="shared" si="22"/>
        <v>46174</v>
      </c>
      <c r="I77" s="215">
        <v>10</v>
      </c>
      <c r="J77" s="208">
        <v>73</v>
      </c>
      <c r="K77" s="209">
        <v>0.10525</v>
      </c>
      <c r="L77" s="210">
        <v>0.33</v>
      </c>
      <c r="M77" s="210">
        <v>0.28999999999999998</v>
      </c>
      <c r="N77" s="211">
        <v>51.25</v>
      </c>
      <c r="O77" s="211">
        <f t="shared" si="18"/>
        <v>29.750624999999999</v>
      </c>
      <c r="P77" s="211">
        <v>58.050000000000004</v>
      </c>
      <c r="Q77" s="210">
        <v>0.2</v>
      </c>
      <c r="R77" s="212">
        <v>85.5</v>
      </c>
      <c r="S77" s="201" t="s">
        <v>427</v>
      </c>
      <c r="T77" s="201" t="s">
        <v>460</v>
      </c>
      <c r="U77" s="201" t="s">
        <v>63</v>
      </c>
      <c r="V77" s="300"/>
      <c r="W77" s="215">
        <f t="shared" si="19"/>
        <v>10</v>
      </c>
      <c r="X77" s="208">
        <f t="shared" si="19"/>
        <v>73</v>
      </c>
      <c r="Y77" s="209"/>
      <c r="Z77" s="210"/>
      <c r="AA77" s="210"/>
      <c r="AB77" s="211"/>
      <c r="AC77" s="211"/>
      <c r="AD77" s="211"/>
      <c r="AE77" s="210"/>
      <c r="AF77" s="212"/>
      <c r="AG77" s="201" t="s">
        <v>427</v>
      </c>
      <c r="AH77" s="201" t="s">
        <v>485</v>
      </c>
      <c r="AI77" s="297">
        <v>46239</v>
      </c>
      <c r="AJ77" s="201"/>
      <c r="AK77" s="201"/>
      <c r="AL77" s="201"/>
      <c r="AM77" s="201"/>
      <c r="AN77" s="201"/>
      <c r="AO77" s="218" t="str">
        <f t="shared" si="21"/>
        <v>SNI</v>
      </c>
      <c r="AP77" s="201" t="s">
        <v>458</v>
      </c>
      <c r="AQ77" s="201"/>
      <c r="AR77" s="201"/>
      <c r="AS77" s="213"/>
      <c r="AT77" s="213"/>
      <c r="AU77" s="476" t="str">
        <f t="shared" si="11"/>
        <v>Ok</v>
      </c>
      <c r="AV77" s="220">
        <v>46237</v>
      </c>
      <c r="AW77" s="221">
        <f t="shared" si="15"/>
        <v>10</v>
      </c>
      <c r="AX77" s="208">
        <f t="shared" si="16"/>
        <v>73</v>
      </c>
      <c r="AY77" s="222"/>
      <c r="AZ77" s="222"/>
      <c r="BA77" s="222"/>
      <c r="BB77" s="222"/>
      <c r="BC77" s="222"/>
      <c r="BD77" s="201"/>
      <c r="BE77" s="201"/>
      <c r="BF77" s="219" t="s">
        <v>496</v>
      </c>
      <c r="BG77" s="219" t="s">
        <v>497</v>
      </c>
      <c r="BH77" s="455">
        <v>46244</v>
      </c>
      <c r="BI77" s="215">
        <f t="shared" si="20"/>
        <v>10</v>
      </c>
      <c r="BJ77" s="208">
        <f t="shared" si="20"/>
        <v>73</v>
      </c>
      <c r="BK77" s="223">
        <v>11</v>
      </c>
      <c r="BL77" s="208">
        <v>86</v>
      </c>
      <c r="BM77" s="224" t="s">
        <v>222</v>
      </c>
      <c r="BN77" s="201" t="s">
        <v>498</v>
      </c>
      <c r="BO77" s="262" t="s">
        <v>458</v>
      </c>
      <c r="BP77" s="201" t="s">
        <v>499</v>
      </c>
    </row>
    <row r="78" spans="1:68" ht="15.5">
      <c r="A78" s="225">
        <v>4</v>
      </c>
      <c r="B78" s="204">
        <v>22</v>
      </c>
      <c r="C78" s="226">
        <v>46172</v>
      </c>
      <c r="D78" s="491">
        <f t="shared" si="17"/>
        <v>66</v>
      </c>
      <c r="E78" s="204" t="s">
        <v>75</v>
      </c>
      <c r="F78" s="205">
        <f t="shared" si="14"/>
        <v>46172</v>
      </c>
      <c r="G78" s="206" t="s">
        <v>175</v>
      </c>
      <c r="H78" s="207">
        <f t="shared" si="22"/>
        <v>46174</v>
      </c>
      <c r="I78" s="215">
        <v>10</v>
      </c>
      <c r="J78" s="208">
        <v>74</v>
      </c>
      <c r="K78" s="209">
        <v>0.10775</v>
      </c>
      <c r="L78" s="210">
        <v>0.36250000000000004</v>
      </c>
      <c r="M78" s="210">
        <v>0.3</v>
      </c>
      <c r="N78" s="211">
        <v>50.75</v>
      </c>
      <c r="O78" s="211">
        <f t="shared" si="18"/>
        <v>29.764875000000004</v>
      </c>
      <c r="P78" s="211">
        <v>58.650000000000006</v>
      </c>
      <c r="Q78" s="210">
        <v>0.2</v>
      </c>
      <c r="R78" s="212">
        <v>85.5</v>
      </c>
      <c r="S78" s="201" t="s">
        <v>427</v>
      </c>
      <c r="T78" s="201" t="s">
        <v>460</v>
      </c>
      <c r="U78" s="201" t="s">
        <v>63</v>
      </c>
      <c r="V78" s="300"/>
      <c r="W78" s="215">
        <f t="shared" si="19"/>
        <v>10</v>
      </c>
      <c r="X78" s="208">
        <f t="shared" si="19"/>
        <v>74</v>
      </c>
      <c r="Y78" s="209"/>
      <c r="Z78" s="210"/>
      <c r="AA78" s="210"/>
      <c r="AB78" s="211"/>
      <c r="AC78" s="211"/>
      <c r="AD78" s="211"/>
      <c r="AE78" s="210"/>
      <c r="AF78" s="212"/>
      <c r="AG78" s="201" t="s">
        <v>427</v>
      </c>
      <c r="AH78" s="201" t="s">
        <v>485</v>
      </c>
      <c r="AI78" s="297">
        <v>46232</v>
      </c>
      <c r="AJ78" s="201"/>
      <c r="AK78" s="201"/>
      <c r="AL78" s="201"/>
      <c r="AM78" s="201"/>
      <c r="AN78" s="201"/>
      <c r="AO78" s="218" t="str">
        <f t="shared" si="21"/>
        <v>SNI</v>
      </c>
      <c r="AP78" s="201" t="s">
        <v>458</v>
      </c>
      <c r="AQ78" s="201"/>
      <c r="AR78" s="201"/>
      <c r="AS78" s="213"/>
      <c r="AT78" s="213"/>
      <c r="AU78" s="476" t="str">
        <f t="shared" si="11"/>
        <v>Ok</v>
      </c>
      <c r="AV78" s="220">
        <v>46232</v>
      </c>
      <c r="AW78" s="221">
        <f t="shared" si="15"/>
        <v>10</v>
      </c>
      <c r="AX78" s="208">
        <f t="shared" si="16"/>
        <v>74</v>
      </c>
      <c r="AY78" s="222"/>
      <c r="AZ78" s="222"/>
      <c r="BA78" s="222"/>
      <c r="BB78" s="222"/>
      <c r="BC78" s="222"/>
      <c r="BD78" s="201"/>
      <c r="BE78" s="201"/>
      <c r="BF78" s="201"/>
      <c r="BG78" s="201"/>
      <c r="BH78" s="455">
        <v>46238</v>
      </c>
      <c r="BI78" s="215">
        <f t="shared" si="20"/>
        <v>10</v>
      </c>
      <c r="BJ78" s="208">
        <f t="shared" si="20"/>
        <v>74</v>
      </c>
      <c r="BK78" s="223">
        <v>7</v>
      </c>
      <c r="BL78" s="208">
        <v>58</v>
      </c>
      <c r="BM78" s="224" t="s">
        <v>222</v>
      </c>
      <c r="BN78" s="201"/>
      <c r="BO78" s="201"/>
      <c r="BP78" s="201"/>
    </row>
    <row r="79" spans="1:68" ht="15.5">
      <c r="A79" s="225">
        <v>4</v>
      </c>
      <c r="B79" s="204">
        <v>22</v>
      </c>
      <c r="C79" s="226">
        <v>46172</v>
      </c>
      <c r="D79" s="491">
        <f t="shared" si="17"/>
        <v>66</v>
      </c>
      <c r="E79" s="204" t="s">
        <v>75</v>
      </c>
      <c r="F79" s="205">
        <f t="shared" si="14"/>
        <v>46172</v>
      </c>
      <c r="G79" s="206" t="s">
        <v>175</v>
      </c>
      <c r="H79" s="207">
        <f t="shared" si="22"/>
        <v>46174</v>
      </c>
      <c r="I79" s="215">
        <v>10</v>
      </c>
      <c r="J79" s="208">
        <v>75</v>
      </c>
      <c r="K79" s="209">
        <v>0.1125</v>
      </c>
      <c r="L79" s="210">
        <v>0.35499999999999998</v>
      </c>
      <c r="M79" s="210">
        <v>0.28999999999999998</v>
      </c>
      <c r="N79" s="211">
        <v>47.5</v>
      </c>
      <c r="O79" s="211">
        <f t="shared" si="18"/>
        <v>28.511875000000003</v>
      </c>
      <c r="P79" s="211">
        <v>60.025000000000006</v>
      </c>
      <c r="Q79" s="210">
        <v>0.2</v>
      </c>
      <c r="R79" s="212">
        <v>85.5</v>
      </c>
      <c r="S79" s="201" t="s">
        <v>427</v>
      </c>
      <c r="T79" s="201" t="s">
        <v>485</v>
      </c>
      <c r="U79" s="201"/>
      <c r="V79" s="300"/>
      <c r="W79" s="215">
        <f t="shared" si="19"/>
        <v>10</v>
      </c>
      <c r="X79" s="208">
        <f t="shared" si="19"/>
        <v>75</v>
      </c>
      <c r="Y79" s="209"/>
      <c r="Z79" s="210"/>
      <c r="AA79" s="210"/>
      <c r="AB79" s="211"/>
      <c r="AC79" s="211"/>
      <c r="AD79" s="211"/>
      <c r="AE79" s="210"/>
      <c r="AF79" s="212"/>
      <c r="AG79" s="201" t="s">
        <v>427</v>
      </c>
      <c r="AH79" s="201" t="s">
        <v>485</v>
      </c>
      <c r="AI79" s="297">
        <v>46238</v>
      </c>
      <c r="AJ79" s="201"/>
      <c r="AK79" s="201"/>
      <c r="AL79" s="201"/>
      <c r="AM79" s="201"/>
      <c r="AN79" s="201"/>
      <c r="AO79" s="218" t="str">
        <f t="shared" si="21"/>
        <v>SNI</v>
      </c>
      <c r="AP79" s="201" t="s">
        <v>458</v>
      </c>
      <c r="AQ79" s="201"/>
      <c r="AR79" s="201"/>
      <c r="AS79" s="213"/>
      <c r="AT79" s="213"/>
      <c r="AU79" s="476" t="str">
        <f t="shared" si="11"/>
        <v>Ok</v>
      </c>
      <c r="AV79" s="220">
        <v>46238</v>
      </c>
      <c r="AW79" s="221">
        <f t="shared" si="15"/>
        <v>10</v>
      </c>
      <c r="AX79" s="208">
        <f t="shared" si="16"/>
        <v>75</v>
      </c>
      <c r="AY79" s="222"/>
      <c r="AZ79" s="222"/>
      <c r="BA79" s="222"/>
      <c r="BB79" s="222"/>
      <c r="BC79" s="222"/>
      <c r="BD79" s="201"/>
      <c r="BE79" s="201"/>
      <c r="BF79" s="201"/>
      <c r="BG79" s="201"/>
      <c r="BH79" s="455">
        <v>46238</v>
      </c>
      <c r="BI79" s="215">
        <f t="shared" si="20"/>
        <v>10</v>
      </c>
      <c r="BJ79" s="208">
        <f t="shared" si="20"/>
        <v>75</v>
      </c>
      <c r="BK79" s="223">
        <v>6</v>
      </c>
      <c r="BL79" s="208">
        <v>45</v>
      </c>
      <c r="BM79" s="224" t="s">
        <v>222</v>
      </c>
      <c r="BN79" s="201"/>
      <c r="BO79" s="201"/>
      <c r="BP79" s="201"/>
    </row>
    <row r="80" spans="1:68" ht="15.5">
      <c r="A80" s="225">
        <v>5</v>
      </c>
      <c r="B80" s="204">
        <v>23</v>
      </c>
      <c r="C80" s="226">
        <v>46175</v>
      </c>
      <c r="D80" s="491">
        <f t="shared" si="17"/>
        <v>63</v>
      </c>
      <c r="E80" s="204" t="s">
        <v>75</v>
      </c>
      <c r="F80" s="205">
        <f t="shared" si="14"/>
        <v>46175</v>
      </c>
      <c r="G80" s="206" t="s">
        <v>175</v>
      </c>
      <c r="H80" s="207">
        <f t="shared" si="22"/>
        <v>46177</v>
      </c>
      <c r="I80" s="215">
        <v>10</v>
      </c>
      <c r="J80" s="208">
        <v>76</v>
      </c>
      <c r="K80" s="209">
        <v>0.11449999999999999</v>
      </c>
      <c r="L80" s="210">
        <v>0.34250000000000003</v>
      </c>
      <c r="M80" s="210">
        <v>0.27</v>
      </c>
      <c r="N80" s="211">
        <v>46.75</v>
      </c>
      <c r="O80" s="211">
        <f t="shared" si="18"/>
        <v>27.243562499999999</v>
      </c>
      <c r="P80" s="211">
        <v>58.274999999999999</v>
      </c>
      <c r="Q80" s="210">
        <v>0.2</v>
      </c>
      <c r="R80" s="212">
        <v>85.5</v>
      </c>
      <c r="S80" s="201" t="s">
        <v>427</v>
      </c>
      <c r="T80" s="201" t="s">
        <v>460</v>
      </c>
      <c r="U80" s="201" t="s">
        <v>63</v>
      </c>
      <c r="V80" s="300"/>
      <c r="W80" s="215">
        <f t="shared" si="19"/>
        <v>10</v>
      </c>
      <c r="X80" s="208">
        <f t="shared" si="19"/>
        <v>76</v>
      </c>
      <c r="Y80" s="209"/>
      <c r="Z80" s="210"/>
      <c r="AA80" s="210"/>
      <c r="AB80" s="211"/>
      <c r="AC80" s="211"/>
      <c r="AD80" s="211"/>
      <c r="AE80" s="210"/>
      <c r="AF80" s="212"/>
      <c r="AG80" s="201" t="s">
        <v>427</v>
      </c>
      <c r="AH80" s="201" t="s">
        <v>485</v>
      </c>
      <c r="AI80" s="297">
        <v>46238</v>
      </c>
      <c r="AJ80" s="201"/>
      <c r="AK80" s="201"/>
      <c r="AL80" s="201"/>
      <c r="AM80" s="201"/>
      <c r="AN80" s="201"/>
      <c r="AO80" s="218" t="str">
        <f t="shared" si="21"/>
        <v>SNI</v>
      </c>
      <c r="AP80" s="201" t="s">
        <v>458</v>
      </c>
      <c r="AQ80" s="201"/>
      <c r="AR80" s="201"/>
      <c r="AS80" s="213"/>
      <c r="AT80" s="213"/>
      <c r="AU80" s="476" t="str">
        <f t="shared" si="11"/>
        <v>Ok</v>
      </c>
      <c r="AV80" s="220">
        <v>46238</v>
      </c>
      <c r="AW80" s="221">
        <f t="shared" si="15"/>
        <v>10</v>
      </c>
      <c r="AX80" s="208">
        <f t="shared" si="16"/>
        <v>76</v>
      </c>
      <c r="AY80" s="222"/>
      <c r="AZ80" s="222"/>
      <c r="BA80" s="222"/>
      <c r="BB80" s="222"/>
      <c r="BC80" s="222"/>
      <c r="BD80" s="201"/>
      <c r="BE80" s="201"/>
      <c r="BF80" s="201"/>
      <c r="BG80" s="201"/>
      <c r="BH80" s="455">
        <v>46238</v>
      </c>
      <c r="BI80" s="215">
        <f t="shared" si="20"/>
        <v>10</v>
      </c>
      <c r="BJ80" s="208">
        <f t="shared" si="20"/>
        <v>76</v>
      </c>
      <c r="BK80" s="223">
        <v>6</v>
      </c>
      <c r="BL80" s="208">
        <v>46</v>
      </c>
      <c r="BM80" s="224" t="s">
        <v>222</v>
      </c>
      <c r="BN80" s="201"/>
      <c r="BO80" s="201"/>
      <c r="BP80" s="201"/>
    </row>
    <row r="81" spans="1:68" ht="15.5">
      <c r="A81" s="225">
        <v>5</v>
      </c>
      <c r="B81" s="204">
        <v>23</v>
      </c>
      <c r="C81" s="226">
        <v>46175</v>
      </c>
      <c r="D81" s="491">
        <f t="shared" si="17"/>
        <v>63</v>
      </c>
      <c r="E81" s="204" t="s">
        <v>75</v>
      </c>
      <c r="F81" s="205">
        <f t="shared" si="14"/>
        <v>46175</v>
      </c>
      <c r="G81" s="206" t="s">
        <v>175</v>
      </c>
      <c r="H81" s="207">
        <f t="shared" si="22"/>
        <v>46177</v>
      </c>
      <c r="I81" s="215">
        <v>10</v>
      </c>
      <c r="J81" s="208">
        <v>77</v>
      </c>
      <c r="K81" s="209">
        <v>0.11599999999999999</v>
      </c>
      <c r="L81" s="210">
        <v>0.34750000000000003</v>
      </c>
      <c r="M81" s="210">
        <v>0.33</v>
      </c>
      <c r="N81" s="211">
        <v>49.75</v>
      </c>
      <c r="O81" s="211">
        <f t="shared" si="18"/>
        <v>32.775176570628254</v>
      </c>
      <c r="P81" s="211">
        <v>65.879751900760311</v>
      </c>
      <c r="Q81" s="210">
        <v>0.2</v>
      </c>
      <c r="R81" s="212">
        <v>79</v>
      </c>
      <c r="S81" s="201" t="s">
        <v>486</v>
      </c>
      <c r="T81" s="201" t="s">
        <v>485</v>
      </c>
      <c r="U81" s="201"/>
      <c r="V81" s="214">
        <v>46226</v>
      </c>
      <c r="W81" s="215">
        <f t="shared" si="19"/>
        <v>10</v>
      </c>
      <c r="X81" s="208">
        <f t="shared" si="19"/>
        <v>77</v>
      </c>
      <c r="Y81" s="209"/>
      <c r="Z81" s="210"/>
      <c r="AA81" s="210"/>
      <c r="AB81" s="211"/>
      <c r="AC81" s="211"/>
      <c r="AD81" s="211"/>
      <c r="AE81" s="210"/>
      <c r="AF81" s="212">
        <v>91</v>
      </c>
      <c r="AG81" s="201" t="s">
        <v>486</v>
      </c>
      <c r="AH81" s="201" t="s">
        <v>485</v>
      </c>
      <c r="AI81" s="297">
        <v>46238</v>
      </c>
      <c r="AJ81" s="201"/>
      <c r="AK81" s="201"/>
      <c r="AL81" s="201"/>
      <c r="AM81" s="201"/>
      <c r="AN81" s="201"/>
      <c r="AO81" s="218" t="str">
        <f t="shared" si="21"/>
        <v>Belshina</v>
      </c>
      <c r="AP81" s="201" t="s">
        <v>458</v>
      </c>
      <c r="AQ81" s="201"/>
      <c r="AR81" s="201"/>
      <c r="AS81" s="213"/>
      <c r="AT81" s="213"/>
      <c r="AU81" s="476" t="str">
        <f t="shared" si="11"/>
        <v>Ok</v>
      </c>
      <c r="AV81" s="220">
        <v>46238</v>
      </c>
      <c r="AW81" s="221">
        <f t="shared" si="15"/>
        <v>10</v>
      </c>
      <c r="AX81" s="208">
        <f t="shared" si="16"/>
        <v>77</v>
      </c>
      <c r="AY81" s="222"/>
      <c r="AZ81" s="222"/>
      <c r="BA81" s="222"/>
      <c r="BB81" s="222"/>
      <c r="BC81" s="222"/>
      <c r="BD81" s="201"/>
      <c r="BE81" s="201"/>
      <c r="BF81" s="219" t="s">
        <v>564</v>
      </c>
      <c r="BG81" s="219" t="s">
        <v>497</v>
      </c>
      <c r="BH81" s="455">
        <v>46238</v>
      </c>
      <c r="BI81" s="215">
        <f t="shared" si="20"/>
        <v>10</v>
      </c>
      <c r="BJ81" s="208">
        <f t="shared" si="20"/>
        <v>77</v>
      </c>
      <c r="BK81" s="223">
        <v>6</v>
      </c>
      <c r="BL81" s="208">
        <v>47</v>
      </c>
      <c r="BM81" s="224" t="s">
        <v>222</v>
      </c>
      <c r="BN81" s="201" t="s">
        <v>520</v>
      </c>
      <c r="BO81" s="262" t="s">
        <v>458</v>
      </c>
      <c r="BP81" s="201" t="s">
        <v>499</v>
      </c>
    </row>
    <row r="82" spans="1:68" ht="15.5">
      <c r="A82" s="225">
        <v>5</v>
      </c>
      <c r="B82" s="204">
        <v>23</v>
      </c>
      <c r="C82" s="226">
        <v>46175</v>
      </c>
      <c r="D82" s="491">
        <f t="shared" si="17"/>
        <v>63</v>
      </c>
      <c r="E82" s="204" t="s">
        <v>75</v>
      </c>
      <c r="F82" s="205">
        <f t="shared" si="14"/>
        <v>46175</v>
      </c>
      <c r="G82" s="206" t="s">
        <v>175</v>
      </c>
      <c r="H82" s="207">
        <f t="shared" si="22"/>
        <v>46177</v>
      </c>
      <c r="I82" s="215">
        <v>10</v>
      </c>
      <c r="J82" s="208">
        <v>78</v>
      </c>
      <c r="K82" s="209">
        <v>0.1105</v>
      </c>
      <c r="L82" s="210">
        <v>0.3125</v>
      </c>
      <c r="M82" s="210">
        <v>0.34</v>
      </c>
      <c r="N82" s="211">
        <v>51.5</v>
      </c>
      <c r="O82" s="211">
        <f t="shared" si="18"/>
        <v>31.260228129713422</v>
      </c>
      <c r="P82" s="211">
        <v>60.699472096530918</v>
      </c>
      <c r="Q82" s="210">
        <v>0.2</v>
      </c>
      <c r="R82" s="212">
        <v>79</v>
      </c>
      <c r="S82" s="201" t="s">
        <v>486</v>
      </c>
      <c r="T82" s="201" t="s">
        <v>485</v>
      </c>
      <c r="U82" s="201"/>
      <c r="V82" s="300"/>
      <c r="W82" s="215">
        <f t="shared" si="19"/>
        <v>10</v>
      </c>
      <c r="X82" s="208">
        <f t="shared" si="19"/>
        <v>78</v>
      </c>
      <c r="Y82" s="209"/>
      <c r="Z82" s="210"/>
      <c r="AA82" s="210"/>
      <c r="AB82" s="211"/>
      <c r="AC82" s="211"/>
      <c r="AD82" s="211"/>
      <c r="AE82" s="210"/>
      <c r="AF82" s="212"/>
      <c r="AG82" s="201" t="s">
        <v>486</v>
      </c>
      <c r="AH82" s="201" t="s">
        <v>485</v>
      </c>
      <c r="AI82" s="297">
        <v>46238</v>
      </c>
      <c r="AJ82" s="201"/>
      <c r="AK82" s="201"/>
      <c r="AL82" s="201"/>
      <c r="AM82" s="201"/>
      <c r="AN82" s="201"/>
      <c r="AO82" s="218" t="str">
        <f t="shared" si="21"/>
        <v>Belshina</v>
      </c>
      <c r="AP82" s="201" t="s">
        <v>458</v>
      </c>
      <c r="AQ82" s="201"/>
      <c r="AR82" s="201"/>
      <c r="AS82" s="213"/>
      <c r="AT82" s="213"/>
      <c r="AU82" s="476" t="str">
        <f t="shared" ref="AU82:AU145" si="23">IF(OR(T82="Reject",AH82="Reject",AP82="Reject"),"Reject",IF(OR(T82="Hold",AH82="Hold",AP79="Hold"),"Hold","Ok"))</f>
        <v>Ok</v>
      </c>
      <c r="AV82" s="220">
        <v>46238</v>
      </c>
      <c r="AW82" s="221">
        <f t="shared" si="15"/>
        <v>10</v>
      </c>
      <c r="AX82" s="208">
        <f t="shared" si="16"/>
        <v>78</v>
      </c>
      <c r="AY82" s="222"/>
      <c r="AZ82" s="222"/>
      <c r="BA82" s="222"/>
      <c r="BB82" s="222"/>
      <c r="BC82" s="222"/>
      <c r="BD82" s="201"/>
      <c r="BE82" s="201"/>
      <c r="BF82" s="201"/>
      <c r="BG82" s="201"/>
      <c r="BH82" s="455">
        <v>46238</v>
      </c>
      <c r="BI82" s="215">
        <f t="shared" si="20"/>
        <v>10</v>
      </c>
      <c r="BJ82" s="208">
        <f t="shared" si="20"/>
        <v>78</v>
      </c>
      <c r="BK82" s="223">
        <v>6</v>
      </c>
      <c r="BL82" s="208">
        <v>48</v>
      </c>
      <c r="BM82" s="224" t="s">
        <v>222</v>
      </c>
      <c r="BN82" s="201"/>
      <c r="BO82" s="201"/>
      <c r="BP82" s="201"/>
    </row>
    <row r="83" spans="1:68" ht="15.5">
      <c r="A83" s="225">
        <v>5</v>
      </c>
      <c r="B83" s="204">
        <v>23</v>
      </c>
      <c r="C83" s="226">
        <v>46175</v>
      </c>
      <c r="D83" s="491">
        <f t="shared" si="17"/>
        <v>63</v>
      </c>
      <c r="E83" s="204" t="s">
        <v>75</v>
      </c>
      <c r="F83" s="205">
        <f t="shared" si="14"/>
        <v>46175</v>
      </c>
      <c r="G83" s="206" t="s">
        <v>175</v>
      </c>
      <c r="H83" s="207">
        <f t="shared" si="22"/>
        <v>46177</v>
      </c>
      <c r="I83" s="215">
        <v>10</v>
      </c>
      <c r="J83" s="208">
        <v>79</v>
      </c>
      <c r="K83" s="209">
        <v>0.113</v>
      </c>
      <c r="L83" s="210">
        <v>0.36250000000000004</v>
      </c>
      <c r="M83" s="210">
        <v>0.35</v>
      </c>
      <c r="N83" s="211">
        <v>47.75</v>
      </c>
      <c r="O83" s="211">
        <f t="shared" si="18"/>
        <v>30.038392354687019</v>
      </c>
      <c r="P83" s="211">
        <v>62.907627967930935</v>
      </c>
      <c r="Q83" s="210">
        <v>0.2</v>
      </c>
      <c r="R83" s="212">
        <v>79</v>
      </c>
      <c r="S83" s="201" t="s">
        <v>486</v>
      </c>
      <c r="T83" s="201" t="s">
        <v>485</v>
      </c>
      <c r="U83" s="201"/>
      <c r="V83" s="214">
        <v>46226</v>
      </c>
      <c r="W83" s="215">
        <f t="shared" si="19"/>
        <v>10</v>
      </c>
      <c r="X83" s="208">
        <f t="shared" si="19"/>
        <v>79</v>
      </c>
      <c r="Y83" s="209"/>
      <c r="Z83" s="210"/>
      <c r="AA83" s="210"/>
      <c r="AB83" s="211"/>
      <c r="AC83" s="211"/>
      <c r="AD83" s="211"/>
      <c r="AE83" s="210"/>
      <c r="AF83" s="212">
        <v>89</v>
      </c>
      <c r="AG83" s="201" t="s">
        <v>486</v>
      </c>
      <c r="AH83" s="201" t="s">
        <v>485</v>
      </c>
      <c r="AI83" s="297">
        <v>46238</v>
      </c>
      <c r="AJ83" s="201"/>
      <c r="AK83" s="201"/>
      <c r="AL83" s="201"/>
      <c r="AM83" s="201"/>
      <c r="AN83" s="201"/>
      <c r="AO83" s="218" t="str">
        <f t="shared" si="21"/>
        <v>Belshina</v>
      </c>
      <c r="AP83" s="201" t="s">
        <v>458</v>
      </c>
      <c r="AQ83" s="201"/>
      <c r="AR83" s="201"/>
      <c r="AS83" s="213"/>
      <c r="AT83" s="213"/>
      <c r="AU83" s="476" t="str">
        <f t="shared" si="23"/>
        <v>Ok</v>
      </c>
      <c r="AV83" s="220">
        <v>46238</v>
      </c>
      <c r="AW83" s="221">
        <f t="shared" si="15"/>
        <v>10</v>
      </c>
      <c r="AX83" s="208">
        <f t="shared" si="16"/>
        <v>79</v>
      </c>
      <c r="AY83" s="222"/>
      <c r="AZ83" s="222"/>
      <c r="BA83" s="222"/>
      <c r="BB83" s="222"/>
      <c r="BC83" s="222"/>
      <c r="BD83" s="201"/>
      <c r="BE83" s="201"/>
      <c r="BF83" s="201"/>
      <c r="BG83" s="201"/>
      <c r="BH83" s="455">
        <v>46238</v>
      </c>
      <c r="BI83" s="215">
        <f t="shared" si="20"/>
        <v>10</v>
      </c>
      <c r="BJ83" s="208">
        <f t="shared" si="20"/>
        <v>79</v>
      </c>
      <c r="BK83" s="223">
        <v>7</v>
      </c>
      <c r="BL83" s="208">
        <v>59</v>
      </c>
      <c r="BM83" s="224" t="s">
        <v>222</v>
      </c>
      <c r="BN83" s="201"/>
      <c r="BO83" s="201"/>
      <c r="BP83" s="201"/>
    </row>
    <row r="84" spans="1:68" ht="15.5">
      <c r="A84" s="225">
        <v>5</v>
      </c>
      <c r="B84" s="204">
        <v>23</v>
      </c>
      <c r="C84" s="226">
        <v>46175</v>
      </c>
      <c r="D84" s="491">
        <f t="shared" si="17"/>
        <v>63</v>
      </c>
      <c r="E84" s="204" t="s">
        <v>75</v>
      </c>
      <c r="F84" s="205">
        <f t="shared" si="14"/>
        <v>46175</v>
      </c>
      <c r="G84" s="206" t="s">
        <v>175</v>
      </c>
      <c r="H84" s="207">
        <f t="shared" si="22"/>
        <v>46177</v>
      </c>
      <c r="I84" s="215">
        <v>10</v>
      </c>
      <c r="J84" s="208">
        <v>80</v>
      </c>
      <c r="K84" s="209">
        <v>0.111</v>
      </c>
      <c r="L84" s="210">
        <v>0.33250000000000002</v>
      </c>
      <c r="M84" s="210">
        <v>0.39</v>
      </c>
      <c r="N84" s="211">
        <v>49</v>
      </c>
      <c r="O84" s="211">
        <f t="shared" si="18"/>
        <v>30.783713516093837</v>
      </c>
      <c r="P84" s="211">
        <v>62.823905134885379</v>
      </c>
      <c r="Q84" s="210">
        <v>0.2</v>
      </c>
      <c r="R84" s="212">
        <v>79</v>
      </c>
      <c r="S84" s="201" t="s">
        <v>486</v>
      </c>
      <c r="T84" s="201" t="s">
        <v>485</v>
      </c>
      <c r="U84" s="201"/>
      <c r="V84" s="300"/>
      <c r="W84" s="215">
        <f t="shared" si="19"/>
        <v>10</v>
      </c>
      <c r="X84" s="208">
        <f t="shared" si="19"/>
        <v>80</v>
      </c>
      <c r="Y84" s="209"/>
      <c r="Z84" s="210"/>
      <c r="AA84" s="210"/>
      <c r="AB84" s="211"/>
      <c r="AC84" s="211"/>
      <c r="AD84" s="211"/>
      <c r="AE84" s="210"/>
      <c r="AF84" s="212"/>
      <c r="AG84" s="201" t="s">
        <v>486</v>
      </c>
      <c r="AH84" s="201" t="s">
        <v>485</v>
      </c>
      <c r="AI84" s="297">
        <v>46238</v>
      </c>
      <c r="AJ84" s="201"/>
      <c r="AK84" s="201"/>
      <c r="AL84" s="201"/>
      <c r="AM84" s="201"/>
      <c r="AN84" s="201"/>
      <c r="AO84" s="218" t="str">
        <f t="shared" si="21"/>
        <v>Belshina</v>
      </c>
      <c r="AP84" s="201" t="s">
        <v>458</v>
      </c>
      <c r="AQ84" s="201"/>
      <c r="AR84" s="201"/>
      <c r="AS84" s="213"/>
      <c r="AT84" s="213"/>
      <c r="AU84" s="476" t="str">
        <f t="shared" si="23"/>
        <v>Ok</v>
      </c>
      <c r="AV84" s="220">
        <v>46238</v>
      </c>
      <c r="AW84" s="221">
        <f t="shared" si="15"/>
        <v>10</v>
      </c>
      <c r="AX84" s="208">
        <f t="shared" si="16"/>
        <v>80</v>
      </c>
      <c r="AY84" s="222"/>
      <c r="AZ84" s="222"/>
      <c r="BA84" s="222"/>
      <c r="BB84" s="222"/>
      <c r="BC84" s="222"/>
      <c r="BD84" s="201"/>
      <c r="BE84" s="201"/>
      <c r="BF84" s="201"/>
      <c r="BG84" s="201"/>
      <c r="BH84" s="455">
        <v>46238</v>
      </c>
      <c r="BI84" s="215">
        <f t="shared" si="20"/>
        <v>10</v>
      </c>
      <c r="BJ84" s="208">
        <f t="shared" si="20"/>
        <v>80</v>
      </c>
      <c r="BK84" s="223">
        <v>7</v>
      </c>
      <c r="BL84" s="208">
        <v>60</v>
      </c>
      <c r="BM84" s="224" t="s">
        <v>222</v>
      </c>
      <c r="BN84" s="201"/>
      <c r="BO84" s="201"/>
      <c r="BP84" s="201"/>
    </row>
    <row r="85" spans="1:68" ht="15.5">
      <c r="A85" s="225">
        <v>5</v>
      </c>
      <c r="B85" s="204" t="s">
        <v>775</v>
      </c>
      <c r="C85" s="226">
        <v>46176</v>
      </c>
      <c r="D85" s="491">
        <f t="shared" si="17"/>
        <v>68</v>
      </c>
      <c r="E85" s="204" t="s">
        <v>75</v>
      </c>
      <c r="F85" s="205">
        <f t="shared" si="14"/>
        <v>46176</v>
      </c>
      <c r="G85" s="206" t="s">
        <v>175</v>
      </c>
      <c r="H85" s="207">
        <f t="shared" si="22"/>
        <v>46178</v>
      </c>
      <c r="I85" s="215">
        <v>11</v>
      </c>
      <c r="J85" s="208">
        <v>81</v>
      </c>
      <c r="K85" s="209">
        <v>0.11425</v>
      </c>
      <c r="L85" s="210">
        <v>0.35500000000000004</v>
      </c>
      <c r="M85" s="210">
        <v>0.33</v>
      </c>
      <c r="N85" s="211">
        <v>48.75</v>
      </c>
      <c r="O85" s="211">
        <f t="shared" si="18"/>
        <v>29.25</v>
      </c>
      <c r="P85" s="211">
        <v>60</v>
      </c>
      <c r="Q85" s="210">
        <v>0.2</v>
      </c>
      <c r="R85" s="212">
        <v>83.5</v>
      </c>
      <c r="S85" s="201" t="s">
        <v>427</v>
      </c>
      <c r="T85" s="201" t="s">
        <v>485</v>
      </c>
      <c r="U85" s="201"/>
      <c r="V85" s="300" t="s">
        <v>562</v>
      </c>
      <c r="W85" s="215">
        <f t="shared" si="19"/>
        <v>11</v>
      </c>
      <c r="X85" s="208">
        <f t="shared" si="19"/>
        <v>81</v>
      </c>
      <c r="Y85" s="209"/>
      <c r="Z85" s="210"/>
      <c r="AA85" s="210"/>
      <c r="AB85" s="227">
        <v>49</v>
      </c>
      <c r="AC85" s="211">
        <v>30.87</v>
      </c>
      <c r="AD85" s="227">
        <v>63</v>
      </c>
      <c r="AE85" s="210"/>
      <c r="AF85" s="216" t="s">
        <v>567</v>
      </c>
      <c r="AG85" s="201" t="s">
        <v>427</v>
      </c>
      <c r="AH85" s="201" t="s">
        <v>485</v>
      </c>
      <c r="AI85" s="297">
        <v>46239</v>
      </c>
      <c r="AJ85" s="201"/>
      <c r="AK85" s="201"/>
      <c r="AL85" s="201"/>
      <c r="AM85" s="201"/>
      <c r="AN85" s="201"/>
      <c r="AO85" s="218" t="str">
        <f t="shared" si="21"/>
        <v>SNI</v>
      </c>
      <c r="AP85" s="201" t="s">
        <v>458</v>
      </c>
      <c r="AQ85" s="201"/>
      <c r="AR85" s="201"/>
      <c r="AS85" s="213"/>
      <c r="AT85" s="213"/>
      <c r="AU85" s="476" t="str">
        <f t="shared" si="23"/>
        <v>Ok</v>
      </c>
      <c r="AV85" s="220">
        <v>46237</v>
      </c>
      <c r="AW85" s="221">
        <f t="shared" si="15"/>
        <v>11</v>
      </c>
      <c r="AX85" s="208">
        <f t="shared" si="16"/>
        <v>81</v>
      </c>
      <c r="AY85" s="222"/>
      <c r="AZ85" s="222"/>
      <c r="BA85" s="222"/>
      <c r="BB85" s="222"/>
      <c r="BC85" s="222"/>
      <c r="BD85" s="201"/>
      <c r="BE85" s="201"/>
      <c r="BF85" s="219" t="s">
        <v>496</v>
      </c>
      <c r="BG85" s="219" t="s">
        <v>497</v>
      </c>
      <c r="BH85" s="455">
        <v>46244</v>
      </c>
      <c r="BI85" s="215">
        <f t="shared" si="20"/>
        <v>11</v>
      </c>
      <c r="BJ85" s="208">
        <f t="shared" si="20"/>
        <v>81</v>
      </c>
      <c r="BK85" s="223">
        <v>9</v>
      </c>
      <c r="BL85" s="208">
        <v>74</v>
      </c>
      <c r="BM85" s="224" t="s">
        <v>222</v>
      </c>
      <c r="BN85" s="201" t="s">
        <v>498</v>
      </c>
      <c r="BO85" s="262" t="s">
        <v>458</v>
      </c>
      <c r="BP85" s="201" t="s">
        <v>499</v>
      </c>
    </row>
    <row r="86" spans="1:68" ht="15.5">
      <c r="A86" s="225">
        <v>5</v>
      </c>
      <c r="B86" s="204">
        <v>24</v>
      </c>
      <c r="C86" s="226">
        <v>46176</v>
      </c>
      <c r="D86" s="491">
        <f t="shared" si="17"/>
        <v>62</v>
      </c>
      <c r="E86" s="204" t="s">
        <v>75</v>
      </c>
      <c r="F86" s="205">
        <f t="shared" si="14"/>
        <v>46176</v>
      </c>
      <c r="G86" s="206" t="s">
        <v>175</v>
      </c>
      <c r="H86" s="207">
        <f t="shared" si="22"/>
        <v>46178</v>
      </c>
      <c r="I86" s="215">
        <v>11</v>
      </c>
      <c r="J86" s="208">
        <v>82</v>
      </c>
      <c r="K86" s="209">
        <v>0.11574999999999999</v>
      </c>
      <c r="L86" s="210">
        <v>0.33500000000000002</v>
      </c>
      <c r="M86" s="210">
        <v>0.3</v>
      </c>
      <c r="N86" s="211">
        <v>49.75</v>
      </c>
      <c r="O86" s="211">
        <f t="shared" si="18"/>
        <v>29.999249999999996</v>
      </c>
      <c r="P86" s="211">
        <v>60.3</v>
      </c>
      <c r="Q86" s="210">
        <v>0.2</v>
      </c>
      <c r="R86" s="212">
        <v>83.5</v>
      </c>
      <c r="S86" s="201" t="s">
        <v>427</v>
      </c>
      <c r="T86" s="201" t="s">
        <v>485</v>
      </c>
      <c r="U86" s="201"/>
      <c r="V86" s="300" t="s">
        <v>568</v>
      </c>
      <c r="W86" s="215">
        <f t="shared" si="19"/>
        <v>11</v>
      </c>
      <c r="X86" s="208">
        <f t="shared" si="19"/>
        <v>82</v>
      </c>
      <c r="Y86" s="209"/>
      <c r="Z86" s="210"/>
      <c r="AA86" s="210"/>
      <c r="AB86" s="211"/>
      <c r="AC86" s="211"/>
      <c r="AD86" s="211"/>
      <c r="AE86" s="210"/>
      <c r="AF86" s="216" t="s">
        <v>569</v>
      </c>
      <c r="AG86" s="201" t="s">
        <v>427</v>
      </c>
      <c r="AH86" s="201" t="s">
        <v>485</v>
      </c>
      <c r="AI86" s="297">
        <v>46238</v>
      </c>
      <c r="AJ86" s="201"/>
      <c r="AK86" s="201"/>
      <c r="AL86" s="201"/>
      <c r="AM86" s="201"/>
      <c r="AN86" s="201"/>
      <c r="AO86" s="218" t="str">
        <f t="shared" si="21"/>
        <v>SNI</v>
      </c>
      <c r="AP86" s="201" t="s">
        <v>458</v>
      </c>
      <c r="AQ86" s="201"/>
      <c r="AR86" s="201"/>
      <c r="AS86" s="213"/>
      <c r="AT86" s="213"/>
      <c r="AU86" s="476" t="str">
        <f t="shared" si="23"/>
        <v>Ok</v>
      </c>
      <c r="AV86" s="220">
        <v>46238</v>
      </c>
      <c r="AW86" s="221">
        <f t="shared" si="15"/>
        <v>11</v>
      </c>
      <c r="AX86" s="208">
        <f t="shared" si="16"/>
        <v>82</v>
      </c>
      <c r="AY86" s="222"/>
      <c r="AZ86" s="222"/>
      <c r="BA86" s="222"/>
      <c r="BB86" s="222"/>
      <c r="BC86" s="222"/>
      <c r="BD86" s="201"/>
      <c r="BE86" s="201"/>
      <c r="BF86" s="201"/>
      <c r="BG86" s="201"/>
      <c r="BH86" s="455">
        <v>46238</v>
      </c>
      <c r="BI86" s="215">
        <f t="shared" si="20"/>
        <v>11</v>
      </c>
      <c r="BJ86" s="208">
        <f t="shared" si="20"/>
        <v>82</v>
      </c>
      <c r="BK86" s="223">
        <v>8</v>
      </c>
      <c r="BL86" s="208">
        <v>61</v>
      </c>
      <c r="BM86" s="224" t="s">
        <v>222</v>
      </c>
      <c r="BN86" s="201"/>
      <c r="BO86" s="201"/>
      <c r="BP86" s="201"/>
    </row>
    <row r="87" spans="1:68" ht="15.5">
      <c r="A87" s="225">
        <v>5</v>
      </c>
      <c r="B87" s="204">
        <v>24</v>
      </c>
      <c r="C87" s="226">
        <v>46176</v>
      </c>
      <c r="D87" s="491">
        <f t="shared" si="17"/>
        <v>62</v>
      </c>
      <c r="E87" s="204" t="s">
        <v>75</v>
      </c>
      <c r="F87" s="205">
        <f t="shared" si="14"/>
        <v>46176</v>
      </c>
      <c r="G87" s="206" t="s">
        <v>175</v>
      </c>
      <c r="H87" s="207">
        <f t="shared" si="22"/>
        <v>46178</v>
      </c>
      <c r="I87" s="215">
        <v>11</v>
      </c>
      <c r="J87" s="208">
        <v>83</v>
      </c>
      <c r="K87" s="209">
        <v>0.11550000000000001</v>
      </c>
      <c r="L87" s="210">
        <v>0.37250000000000005</v>
      </c>
      <c r="M87" s="210">
        <v>0.34</v>
      </c>
      <c r="N87" s="211">
        <v>49</v>
      </c>
      <c r="O87" s="211">
        <f t="shared" si="18"/>
        <v>29.988000000000003</v>
      </c>
      <c r="P87" s="211">
        <v>61.2</v>
      </c>
      <c r="Q87" s="210">
        <v>0.2</v>
      </c>
      <c r="R87" s="212">
        <v>83.5</v>
      </c>
      <c r="S87" s="201" t="s">
        <v>427</v>
      </c>
      <c r="T87" s="201" t="s">
        <v>485</v>
      </c>
      <c r="U87" s="201"/>
      <c r="V87" s="214">
        <v>46226</v>
      </c>
      <c r="W87" s="215">
        <f t="shared" si="19"/>
        <v>11</v>
      </c>
      <c r="X87" s="208">
        <f t="shared" si="19"/>
        <v>83</v>
      </c>
      <c r="Y87" s="209"/>
      <c r="Z87" s="210"/>
      <c r="AA87" s="210"/>
      <c r="AB87" s="211"/>
      <c r="AC87" s="211"/>
      <c r="AD87" s="211"/>
      <c r="AE87" s="210"/>
      <c r="AF87" s="212">
        <v>84</v>
      </c>
      <c r="AG87" s="201" t="s">
        <v>427</v>
      </c>
      <c r="AH87" s="201" t="s">
        <v>485</v>
      </c>
      <c r="AI87" s="297">
        <v>46238</v>
      </c>
      <c r="AJ87" s="201"/>
      <c r="AK87" s="201"/>
      <c r="AL87" s="201"/>
      <c r="AM87" s="201"/>
      <c r="AN87" s="201"/>
      <c r="AO87" s="218" t="str">
        <f t="shared" si="21"/>
        <v>SNI</v>
      </c>
      <c r="AP87" s="201" t="s">
        <v>458</v>
      </c>
      <c r="AQ87" s="201"/>
      <c r="AR87" s="201"/>
      <c r="AS87" s="213"/>
      <c r="AT87" s="213"/>
      <c r="AU87" s="476" t="str">
        <f t="shared" si="23"/>
        <v>Ok</v>
      </c>
      <c r="AV87" s="220">
        <v>46238</v>
      </c>
      <c r="AW87" s="221">
        <f t="shared" si="15"/>
        <v>11</v>
      </c>
      <c r="AX87" s="208">
        <f t="shared" si="16"/>
        <v>83</v>
      </c>
      <c r="AY87" s="222"/>
      <c r="AZ87" s="222"/>
      <c r="BA87" s="222"/>
      <c r="BB87" s="222"/>
      <c r="BC87" s="222"/>
      <c r="BD87" s="201"/>
      <c r="BE87" s="201"/>
      <c r="BF87" s="201"/>
      <c r="BG87" s="201"/>
      <c r="BH87" s="455">
        <v>46238</v>
      </c>
      <c r="BI87" s="215">
        <f t="shared" si="20"/>
        <v>11</v>
      </c>
      <c r="BJ87" s="208">
        <f t="shared" si="20"/>
        <v>83</v>
      </c>
      <c r="BK87" s="223">
        <v>8</v>
      </c>
      <c r="BL87" s="208">
        <v>62</v>
      </c>
      <c r="BM87" s="224" t="s">
        <v>222</v>
      </c>
      <c r="BN87" s="201"/>
      <c r="BO87" s="201"/>
      <c r="BP87" s="201"/>
    </row>
    <row r="88" spans="1:68" ht="15.5">
      <c r="A88" s="225">
        <v>5</v>
      </c>
      <c r="B88" s="204">
        <v>24</v>
      </c>
      <c r="C88" s="226">
        <v>46176</v>
      </c>
      <c r="D88" s="491">
        <f t="shared" si="17"/>
        <v>62</v>
      </c>
      <c r="E88" s="204" t="s">
        <v>75</v>
      </c>
      <c r="F88" s="205">
        <f t="shared" si="14"/>
        <v>46176</v>
      </c>
      <c r="G88" s="206" t="s">
        <v>175</v>
      </c>
      <c r="H88" s="207">
        <f t="shared" si="22"/>
        <v>46178</v>
      </c>
      <c r="I88" s="215">
        <v>11</v>
      </c>
      <c r="J88" s="208">
        <v>84</v>
      </c>
      <c r="K88" s="209">
        <v>0.1115</v>
      </c>
      <c r="L88" s="210">
        <v>0.34250000000000003</v>
      </c>
      <c r="M88" s="210">
        <v>0.37</v>
      </c>
      <c r="N88" s="211">
        <v>47.25</v>
      </c>
      <c r="O88" s="211">
        <f t="shared" si="18"/>
        <v>29.495812499999996</v>
      </c>
      <c r="P88" s="211">
        <v>62.424999999999997</v>
      </c>
      <c r="Q88" s="210">
        <v>0.2</v>
      </c>
      <c r="R88" s="212">
        <v>83.5</v>
      </c>
      <c r="S88" s="201" t="s">
        <v>427</v>
      </c>
      <c r="T88" s="201" t="s">
        <v>485</v>
      </c>
      <c r="U88" s="201"/>
      <c r="V88" s="300"/>
      <c r="W88" s="215">
        <f t="shared" si="19"/>
        <v>11</v>
      </c>
      <c r="X88" s="208">
        <f t="shared" si="19"/>
        <v>84</v>
      </c>
      <c r="Y88" s="209"/>
      <c r="Z88" s="210"/>
      <c r="AA88" s="210"/>
      <c r="AB88" s="211"/>
      <c r="AC88" s="211"/>
      <c r="AD88" s="211"/>
      <c r="AE88" s="210"/>
      <c r="AF88" s="212"/>
      <c r="AG88" s="201" t="s">
        <v>427</v>
      </c>
      <c r="AH88" s="201" t="s">
        <v>485</v>
      </c>
      <c r="AI88" s="297">
        <v>46232</v>
      </c>
      <c r="AJ88" s="201"/>
      <c r="AK88" s="201"/>
      <c r="AL88" s="201"/>
      <c r="AM88" s="201"/>
      <c r="AN88" s="201"/>
      <c r="AO88" s="218" t="str">
        <f t="shared" si="21"/>
        <v>SNI</v>
      </c>
      <c r="AP88" s="201" t="s">
        <v>458</v>
      </c>
      <c r="AQ88" s="201"/>
      <c r="AR88" s="201"/>
      <c r="AS88" s="213"/>
      <c r="AT88" s="213"/>
      <c r="AU88" s="476" t="str">
        <f t="shared" si="23"/>
        <v>Ok</v>
      </c>
      <c r="AV88" s="220">
        <v>46232</v>
      </c>
      <c r="AW88" s="221">
        <f t="shared" si="15"/>
        <v>11</v>
      </c>
      <c r="AX88" s="208">
        <f t="shared" si="16"/>
        <v>84</v>
      </c>
      <c r="AY88" s="222"/>
      <c r="AZ88" s="222"/>
      <c r="BA88" s="222"/>
      <c r="BB88" s="222"/>
      <c r="BC88" s="222"/>
      <c r="BD88" s="201"/>
      <c r="BE88" s="201"/>
      <c r="BF88" s="201"/>
      <c r="BG88" s="201"/>
      <c r="BH88" s="455">
        <v>46238</v>
      </c>
      <c r="BI88" s="215">
        <f t="shared" si="20"/>
        <v>11</v>
      </c>
      <c r="BJ88" s="208">
        <f t="shared" si="20"/>
        <v>84</v>
      </c>
      <c r="BK88" s="223">
        <v>8</v>
      </c>
      <c r="BL88" s="208">
        <v>63</v>
      </c>
      <c r="BM88" s="224" t="s">
        <v>222</v>
      </c>
      <c r="BN88" s="201"/>
      <c r="BO88" s="201"/>
      <c r="BP88" s="201"/>
    </row>
    <row r="89" spans="1:68" ht="15.5">
      <c r="A89" s="225">
        <v>5</v>
      </c>
      <c r="B89" s="204">
        <v>24</v>
      </c>
      <c r="C89" s="226">
        <v>46176</v>
      </c>
      <c r="D89" s="491">
        <f t="shared" si="17"/>
        <v>68</v>
      </c>
      <c r="E89" s="204" t="s">
        <v>75</v>
      </c>
      <c r="F89" s="205">
        <f t="shared" si="14"/>
        <v>46176</v>
      </c>
      <c r="G89" s="206" t="s">
        <v>175</v>
      </c>
      <c r="H89" s="207">
        <f t="shared" si="22"/>
        <v>46178</v>
      </c>
      <c r="I89" s="215">
        <v>11</v>
      </c>
      <c r="J89" s="208">
        <v>85</v>
      </c>
      <c r="K89" s="209">
        <v>0.1115</v>
      </c>
      <c r="L89" s="210">
        <v>0.32500000000000001</v>
      </c>
      <c r="M89" s="210">
        <v>0.32</v>
      </c>
      <c r="N89" s="211">
        <v>46.25</v>
      </c>
      <c r="O89" s="211">
        <f t="shared" si="18"/>
        <v>30.224374999999995</v>
      </c>
      <c r="P89" s="211">
        <v>65.349999999999994</v>
      </c>
      <c r="Q89" s="210">
        <v>0.2</v>
      </c>
      <c r="R89" s="212">
        <v>78.5</v>
      </c>
      <c r="S89" s="201" t="s">
        <v>486</v>
      </c>
      <c r="T89" s="201" t="s">
        <v>485</v>
      </c>
      <c r="U89" s="201"/>
      <c r="V89" s="214">
        <v>46226</v>
      </c>
      <c r="W89" s="215">
        <f t="shared" si="19"/>
        <v>11</v>
      </c>
      <c r="X89" s="208">
        <f t="shared" si="19"/>
        <v>85</v>
      </c>
      <c r="Y89" s="209"/>
      <c r="Z89" s="210"/>
      <c r="AA89" s="210"/>
      <c r="AB89" s="211"/>
      <c r="AC89" s="211"/>
      <c r="AD89" s="211"/>
      <c r="AE89" s="210"/>
      <c r="AF89" s="212">
        <v>91</v>
      </c>
      <c r="AG89" s="201" t="s">
        <v>486</v>
      </c>
      <c r="AH89" s="201" t="s">
        <v>485</v>
      </c>
      <c r="AI89" s="297">
        <v>46239</v>
      </c>
      <c r="AJ89" s="201"/>
      <c r="AK89" s="201"/>
      <c r="AL89" s="201"/>
      <c r="AM89" s="201"/>
      <c r="AN89" s="201"/>
      <c r="AO89" s="218" t="str">
        <f t="shared" si="21"/>
        <v>Belshina</v>
      </c>
      <c r="AP89" s="201" t="s">
        <v>458</v>
      </c>
      <c r="AQ89" s="201"/>
      <c r="AR89" s="201"/>
      <c r="AS89" s="213"/>
      <c r="AT89" s="213"/>
      <c r="AU89" s="476" t="str">
        <f t="shared" si="23"/>
        <v>Ok</v>
      </c>
      <c r="AV89" s="220">
        <v>46238</v>
      </c>
      <c r="AW89" s="221">
        <f t="shared" si="15"/>
        <v>11</v>
      </c>
      <c r="AX89" s="208">
        <f t="shared" si="16"/>
        <v>85</v>
      </c>
      <c r="AY89" s="222"/>
      <c r="AZ89" s="222"/>
      <c r="BA89" s="222"/>
      <c r="BB89" s="222"/>
      <c r="BC89" s="222"/>
      <c r="BD89" s="201"/>
      <c r="BE89" s="201"/>
      <c r="BF89" s="219" t="s">
        <v>496</v>
      </c>
      <c r="BG89" s="219" t="s">
        <v>497</v>
      </c>
      <c r="BH89" s="455">
        <v>46244</v>
      </c>
      <c r="BI89" s="215">
        <f t="shared" si="20"/>
        <v>11</v>
      </c>
      <c r="BJ89" s="208">
        <f t="shared" si="20"/>
        <v>85</v>
      </c>
      <c r="BK89" s="223">
        <v>9</v>
      </c>
      <c r="BL89" s="208">
        <v>75</v>
      </c>
      <c r="BM89" s="224" t="s">
        <v>222</v>
      </c>
      <c r="BN89" s="201" t="s">
        <v>498</v>
      </c>
      <c r="BO89" s="262" t="s">
        <v>458</v>
      </c>
      <c r="BP89" s="201" t="s">
        <v>499</v>
      </c>
    </row>
    <row r="90" spans="1:68" ht="15.5">
      <c r="A90" s="225">
        <v>5</v>
      </c>
      <c r="B90" s="204">
        <v>24</v>
      </c>
      <c r="C90" s="226">
        <v>46176</v>
      </c>
      <c r="D90" s="491">
        <f t="shared" si="17"/>
        <v>62</v>
      </c>
      <c r="E90" s="204" t="s">
        <v>75</v>
      </c>
      <c r="F90" s="205">
        <f t="shared" si="14"/>
        <v>46176</v>
      </c>
      <c r="G90" s="206" t="s">
        <v>175</v>
      </c>
      <c r="H90" s="207">
        <f t="shared" si="22"/>
        <v>46178</v>
      </c>
      <c r="I90" s="215">
        <v>11</v>
      </c>
      <c r="J90" s="208">
        <v>86</v>
      </c>
      <c r="K90" s="209">
        <v>0.11175</v>
      </c>
      <c r="L90" s="210">
        <v>0.35750000000000004</v>
      </c>
      <c r="M90" s="210">
        <v>0.39</v>
      </c>
      <c r="N90" s="211">
        <v>46.75</v>
      </c>
      <c r="O90" s="211">
        <f t="shared" si="18"/>
        <v>28.505812500000001</v>
      </c>
      <c r="P90" s="211">
        <v>60.975000000000001</v>
      </c>
      <c r="Q90" s="210">
        <v>0.2</v>
      </c>
      <c r="R90" s="212">
        <v>78.5</v>
      </c>
      <c r="S90" s="201" t="s">
        <v>486</v>
      </c>
      <c r="T90" s="201" t="s">
        <v>485</v>
      </c>
      <c r="U90" s="201"/>
      <c r="V90" s="214">
        <v>46226</v>
      </c>
      <c r="W90" s="215">
        <f t="shared" si="19"/>
        <v>11</v>
      </c>
      <c r="X90" s="208">
        <f t="shared" si="19"/>
        <v>86</v>
      </c>
      <c r="Y90" s="209"/>
      <c r="Z90" s="210"/>
      <c r="AA90" s="210"/>
      <c r="AB90" s="211"/>
      <c r="AC90" s="211"/>
      <c r="AD90" s="211"/>
      <c r="AE90" s="210"/>
      <c r="AF90" s="212">
        <v>90</v>
      </c>
      <c r="AG90" s="201" t="s">
        <v>486</v>
      </c>
      <c r="AH90" s="201" t="s">
        <v>485</v>
      </c>
      <c r="AI90" s="297">
        <v>46223</v>
      </c>
      <c r="AJ90" s="201"/>
      <c r="AK90" s="201"/>
      <c r="AL90" s="201"/>
      <c r="AM90" s="201"/>
      <c r="AN90" s="201"/>
      <c r="AO90" s="218" t="str">
        <f t="shared" si="21"/>
        <v>Belshina</v>
      </c>
      <c r="AP90" s="201" t="s">
        <v>485</v>
      </c>
      <c r="AQ90" s="201"/>
      <c r="AR90" s="201"/>
      <c r="AS90" s="213"/>
      <c r="AT90" s="213"/>
      <c r="AU90" s="476" t="str">
        <f t="shared" si="23"/>
        <v>Ok</v>
      </c>
      <c r="AV90" s="220">
        <v>46223</v>
      </c>
      <c r="AW90" s="221">
        <f t="shared" si="15"/>
        <v>11</v>
      </c>
      <c r="AX90" s="208">
        <f t="shared" si="16"/>
        <v>86</v>
      </c>
      <c r="AY90" s="222"/>
      <c r="AZ90" s="222"/>
      <c r="BA90" s="222"/>
      <c r="BB90" s="222"/>
      <c r="BC90" s="222"/>
      <c r="BD90" s="201"/>
      <c r="BE90" s="201"/>
      <c r="BF90" s="201"/>
      <c r="BG90" s="201"/>
      <c r="BH90" s="455">
        <v>46238</v>
      </c>
      <c r="BI90" s="215">
        <f t="shared" si="20"/>
        <v>11</v>
      </c>
      <c r="BJ90" s="208">
        <f t="shared" si="20"/>
        <v>86</v>
      </c>
      <c r="BK90" s="223">
        <v>8</v>
      </c>
      <c r="BL90" s="208">
        <v>64</v>
      </c>
      <c r="BM90" s="224" t="s">
        <v>222</v>
      </c>
      <c r="BN90" s="201"/>
      <c r="BO90" s="201"/>
      <c r="BP90" s="201"/>
    </row>
    <row r="91" spans="1:68" ht="15.5">
      <c r="A91" s="225">
        <v>5</v>
      </c>
      <c r="B91" s="204">
        <v>24</v>
      </c>
      <c r="C91" s="226">
        <v>46176</v>
      </c>
      <c r="D91" s="491">
        <f t="shared" si="17"/>
        <v>62</v>
      </c>
      <c r="E91" s="204" t="s">
        <v>75</v>
      </c>
      <c r="F91" s="205">
        <f t="shared" si="14"/>
        <v>46176</v>
      </c>
      <c r="G91" s="206" t="s">
        <v>175</v>
      </c>
      <c r="H91" s="207">
        <f t="shared" si="22"/>
        <v>46178</v>
      </c>
      <c r="I91" s="215">
        <v>11</v>
      </c>
      <c r="J91" s="208">
        <v>87</v>
      </c>
      <c r="K91" s="209">
        <v>0.1095</v>
      </c>
      <c r="L91" s="210">
        <v>0.35</v>
      </c>
      <c r="M91" s="210">
        <v>0.37</v>
      </c>
      <c r="N91" s="211">
        <v>48.25</v>
      </c>
      <c r="O91" s="211">
        <f t="shared" si="18"/>
        <v>31.736437500000001</v>
      </c>
      <c r="P91" s="211">
        <v>65.775000000000006</v>
      </c>
      <c r="Q91" s="210">
        <v>0.2</v>
      </c>
      <c r="R91" s="212">
        <v>78.5</v>
      </c>
      <c r="S91" s="201" t="s">
        <v>486</v>
      </c>
      <c r="T91" s="201" t="s">
        <v>485</v>
      </c>
      <c r="U91" s="201"/>
      <c r="V91" s="300"/>
      <c r="W91" s="215">
        <f t="shared" si="19"/>
        <v>11</v>
      </c>
      <c r="X91" s="208">
        <f t="shared" si="19"/>
        <v>87</v>
      </c>
      <c r="Y91" s="209"/>
      <c r="Z91" s="210"/>
      <c r="AA91" s="210"/>
      <c r="AB91" s="211"/>
      <c r="AC91" s="211"/>
      <c r="AD91" s="211"/>
      <c r="AE91" s="210"/>
      <c r="AF91" s="212"/>
      <c r="AG91" s="201" t="s">
        <v>486</v>
      </c>
      <c r="AH91" s="201" t="s">
        <v>485</v>
      </c>
      <c r="AI91" s="297">
        <v>46232</v>
      </c>
      <c r="AJ91" s="201"/>
      <c r="AK91" s="201"/>
      <c r="AL91" s="201"/>
      <c r="AM91" s="201"/>
      <c r="AN91" s="201"/>
      <c r="AO91" s="218" t="str">
        <f t="shared" si="21"/>
        <v>Belshina</v>
      </c>
      <c r="AP91" s="201" t="s">
        <v>485</v>
      </c>
      <c r="AQ91" s="201"/>
      <c r="AR91" s="201"/>
      <c r="AS91" s="213"/>
      <c r="AT91" s="213"/>
      <c r="AU91" s="476" t="str">
        <f t="shared" si="23"/>
        <v>Ok</v>
      </c>
      <c r="AV91" s="220">
        <v>46232</v>
      </c>
      <c r="AW91" s="221">
        <f t="shared" si="15"/>
        <v>11</v>
      </c>
      <c r="AX91" s="208">
        <f t="shared" si="16"/>
        <v>87</v>
      </c>
      <c r="AY91" s="222"/>
      <c r="AZ91" s="222"/>
      <c r="BA91" s="222"/>
      <c r="BB91" s="222"/>
      <c r="BC91" s="222"/>
      <c r="BD91" s="201"/>
      <c r="BE91" s="201"/>
      <c r="BF91" s="201"/>
      <c r="BG91" s="201"/>
      <c r="BH91" s="455">
        <v>46238</v>
      </c>
      <c r="BI91" s="215">
        <f t="shared" si="20"/>
        <v>11</v>
      </c>
      <c r="BJ91" s="208">
        <f t="shared" si="20"/>
        <v>87</v>
      </c>
      <c r="BK91" s="223">
        <v>8</v>
      </c>
      <c r="BL91" s="208">
        <v>65</v>
      </c>
      <c r="BM91" s="224" t="s">
        <v>222</v>
      </c>
      <c r="BN91" s="201"/>
      <c r="BO91" s="201"/>
      <c r="BP91" s="201"/>
    </row>
    <row r="92" spans="1:68" ht="15.5">
      <c r="A92" s="225">
        <v>5</v>
      </c>
      <c r="B92" s="204">
        <v>24</v>
      </c>
      <c r="C92" s="226">
        <v>46176</v>
      </c>
      <c r="D92" s="491">
        <f t="shared" si="17"/>
        <v>62</v>
      </c>
      <c r="E92" s="204" t="s">
        <v>75</v>
      </c>
      <c r="F92" s="205">
        <f t="shared" si="14"/>
        <v>46176</v>
      </c>
      <c r="G92" s="206" t="s">
        <v>175</v>
      </c>
      <c r="H92" s="207">
        <f t="shared" si="22"/>
        <v>46178</v>
      </c>
      <c r="I92" s="215">
        <v>11</v>
      </c>
      <c r="J92" s="208">
        <v>88</v>
      </c>
      <c r="K92" s="209">
        <v>0.11425</v>
      </c>
      <c r="L92" s="210">
        <v>0.32750000000000001</v>
      </c>
      <c r="M92" s="210">
        <v>0.39</v>
      </c>
      <c r="N92" s="211">
        <v>46.25</v>
      </c>
      <c r="O92" s="211">
        <f t="shared" si="18"/>
        <v>29.5075</v>
      </c>
      <c r="P92" s="211">
        <v>63.8</v>
      </c>
      <c r="Q92" s="210">
        <v>0.2</v>
      </c>
      <c r="R92" s="212">
        <v>78.5</v>
      </c>
      <c r="S92" s="201" t="s">
        <v>486</v>
      </c>
      <c r="T92" s="201" t="s">
        <v>485</v>
      </c>
      <c r="U92" s="201"/>
      <c r="V92" s="214">
        <v>46226</v>
      </c>
      <c r="W92" s="215">
        <f t="shared" si="19"/>
        <v>11</v>
      </c>
      <c r="X92" s="208">
        <f t="shared" si="19"/>
        <v>88</v>
      </c>
      <c r="Y92" s="209"/>
      <c r="Z92" s="210"/>
      <c r="AA92" s="210"/>
      <c r="AB92" s="211"/>
      <c r="AC92" s="211"/>
      <c r="AD92" s="211"/>
      <c r="AE92" s="210"/>
      <c r="AF92" s="212">
        <v>90</v>
      </c>
      <c r="AG92" s="201" t="s">
        <v>486</v>
      </c>
      <c r="AH92" s="201" t="s">
        <v>485</v>
      </c>
      <c r="AI92" s="297">
        <v>46238</v>
      </c>
      <c r="AJ92" s="201"/>
      <c r="AK92" s="201"/>
      <c r="AL92" s="201"/>
      <c r="AM92" s="201"/>
      <c r="AN92" s="201"/>
      <c r="AO92" s="218" t="str">
        <f t="shared" si="21"/>
        <v>Belshina</v>
      </c>
      <c r="AP92" s="201" t="s">
        <v>458</v>
      </c>
      <c r="AQ92" s="201"/>
      <c r="AR92" s="201"/>
      <c r="AS92" s="213"/>
      <c r="AT92" s="213"/>
      <c r="AU92" s="476" t="str">
        <f t="shared" si="23"/>
        <v>Ok</v>
      </c>
      <c r="AV92" s="220">
        <v>46238</v>
      </c>
      <c r="AW92" s="221">
        <f t="shared" si="15"/>
        <v>11</v>
      </c>
      <c r="AX92" s="208">
        <f t="shared" si="16"/>
        <v>88</v>
      </c>
      <c r="AY92" s="222"/>
      <c r="AZ92" s="222"/>
      <c r="BA92" s="222"/>
      <c r="BB92" s="222"/>
      <c r="BC92" s="222"/>
      <c r="BD92" s="201"/>
      <c r="BE92" s="201"/>
      <c r="BF92" s="201"/>
      <c r="BG92" s="201"/>
      <c r="BH92" s="455">
        <v>46238</v>
      </c>
      <c r="BI92" s="215">
        <f t="shared" si="20"/>
        <v>11</v>
      </c>
      <c r="BJ92" s="208">
        <f t="shared" si="20"/>
        <v>88</v>
      </c>
      <c r="BK92" s="223">
        <v>8</v>
      </c>
      <c r="BL92" s="208">
        <v>66</v>
      </c>
      <c r="BM92" s="224" t="s">
        <v>222</v>
      </c>
      <c r="BN92" s="201"/>
      <c r="BO92" s="201"/>
      <c r="BP92" s="201"/>
    </row>
    <row r="93" spans="1:68" ht="15.5">
      <c r="A93" s="225">
        <v>5</v>
      </c>
      <c r="B93" s="204">
        <v>24</v>
      </c>
      <c r="C93" s="226">
        <v>46176</v>
      </c>
      <c r="D93" s="491">
        <f t="shared" si="17"/>
        <v>62</v>
      </c>
      <c r="E93" s="204" t="s">
        <v>75</v>
      </c>
      <c r="F93" s="205">
        <f t="shared" si="14"/>
        <v>46176</v>
      </c>
      <c r="G93" s="206" t="s">
        <v>175</v>
      </c>
      <c r="H93" s="207">
        <f t="shared" si="22"/>
        <v>46178</v>
      </c>
      <c r="I93" s="215">
        <v>12</v>
      </c>
      <c r="J93" s="208">
        <v>89</v>
      </c>
      <c r="K93" s="209">
        <v>0.11374999999999999</v>
      </c>
      <c r="L93" s="210">
        <v>0.35</v>
      </c>
      <c r="M93" s="210">
        <v>0.36</v>
      </c>
      <c r="N93" s="211">
        <v>48.75</v>
      </c>
      <c r="O93" s="211">
        <f t="shared" si="18"/>
        <v>29.749687500000004</v>
      </c>
      <c r="P93" s="211">
        <v>61.025000000000006</v>
      </c>
      <c r="Q93" s="210">
        <v>0.24</v>
      </c>
      <c r="R93" s="212">
        <v>75.5</v>
      </c>
      <c r="S93" s="201" t="s">
        <v>486</v>
      </c>
      <c r="T93" s="201" t="s">
        <v>485</v>
      </c>
      <c r="U93" s="201"/>
      <c r="V93" s="300"/>
      <c r="W93" s="215">
        <f t="shared" si="19"/>
        <v>12</v>
      </c>
      <c r="X93" s="208">
        <f t="shared" si="19"/>
        <v>89</v>
      </c>
      <c r="Y93" s="209"/>
      <c r="Z93" s="210"/>
      <c r="AA93" s="210"/>
      <c r="AB93" s="211"/>
      <c r="AC93" s="211"/>
      <c r="AD93" s="211"/>
      <c r="AE93" s="210"/>
      <c r="AF93" s="212"/>
      <c r="AG93" s="201" t="s">
        <v>486</v>
      </c>
      <c r="AH93" s="201" t="s">
        <v>485</v>
      </c>
      <c r="AI93" s="297">
        <v>46238</v>
      </c>
      <c r="AJ93" s="201"/>
      <c r="AK93" s="201"/>
      <c r="AL93" s="201"/>
      <c r="AM93" s="201"/>
      <c r="AN93" s="201"/>
      <c r="AO93" s="218" t="str">
        <f t="shared" si="21"/>
        <v>Belshina</v>
      </c>
      <c r="AP93" s="201" t="s">
        <v>458</v>
      </c>
      <c r="AQ93" s="201"/>
      <c r="AR93" s="201"/>
      <c r="AS93" s="213"/>
      <c r="AT93" s="213"/>
      <c r="AU93" s="476" t="str">
        <f t="shared" si="23"/>
        <v>Ok</v>
      </c>
      <c r="AV93" s="220">
        <v>46238</v>
      </c>
      <c r="AW93" s="221">
        <f t="shared" si="15"/>
        <v>12</v>
      </c>
      <c r="AX93" s="208">
        <f t="shared" si="16"/>
        <v>89</v>
      </c>
      <c r="AY93" s="222"/>
      <c r="AZ93" s="222"/>
      <c r="BA93" s="222"/>
      <c r="BB93" s="222"/>
      <c r="BC93" s="222"/>
      <c r="BD93" s="201"/>
      <c r="BE93" s="201"/>
      <c r="BF93" s="219" t="s">
        <v>564</v>
      </c>
      <c r="BG93" s="219" t="s">
        <v>497</v>
      </c>
      <c r="BH93" s="455">
        <v>46238</v>
      </c>
      <c r="BI93" s="215">
        <f t="shared" si="20"/>
        <v>12</v>
      </c>
      <c r="BJ93" s="208">
        <f t="shared" si="20"/>
        <v>89</v>
      </c>
      <c r="BK93" s="223">
        <v>8</v>
      </c>
      <c r="BL93" s="208">
        <v>67</v>
      </c>
      <c r="BM93" s="224" t="s">
        <v>222</v>
      </c>
      <c r="BN93" s="201"/>
      <c r="BO93" s="201"/>
      <c r="BP93" s="201"/>
    </row>
    <row r="94" spans="1:68" ht="15.5">
      <c r="A94" s="225">
        <v>5</v>
      </c>
      <c r="B94" s="204" t="s">
        <v>776</v>
      </c>
      <c r="C94" s="226">
        <v>46177</v>
      </c>
      <c r="D94" s="491">
        <f t="shared" si="17"/>
        <v>134</v>
      </c>
      <c r="E94" s="204" t="s">
        <v>75</v>
      </c>
      <c r="F94" s="205">
        <f t="shared" si="14"/>
        <v>46177</v>
      </c>
      <c r="G94" s="206" t="s">
        <v>175</v>
      </c>
      <c r="H94" s="207">
        <f t="shared" si="22"/>
        <v>46179</v>
      </c>
      <c r="I94" s="215">
        <v>12</v>
      </c>
      <c r="J94" s="208">
        <v>90</v>
      </c>
      <c r="K94" s="209">
        <v>0.11549999999999999</v>
      </c>
      <c r="L94" s="210">
        <v>0.34</v>
      </c>
      <c r="M94" s="210">
        <v>0.3</v>
      </c>
      <c r="N94" s="211">
        <v>47.5</v>
      </c>
      <c r="O94" s="211">
        <f t="shared" si="18"/>
        <v>32.204999999999998</v>
      </c>
      <c r="P94" s="211">
        <v>67.8</v>
      </c>
      <c r="Q94" s="210">
        <v>0.24</v>
      </c>
      <c r="R94" s="212">
        <v>75.5</v>
      </c>
      <c r="S94" s="201" t="s">
        <v>486</v>
      </c>
      <c r="T94" s="201" t="s">
        <v>485</v>
      </c>
      <c r="U94" s="201"/>
      <c r="V94" s="214">
        <v>46226</v>
      </c>
      <c r="W94" s="215">
        <f t="shared" si="19"/>
        <v>12</v>
      </c>
      <c r="X94" s="208">
        <f t="shared" si="19"/>
        <v>90</v>
      </c>
      <c r="Y94" s="209"/>
      <c r="Z94" s="210"/>
      <c r="AA94" s="210"/>
      <c r="AB94" s="211"/>
      <c r="AC94" s="211"/>
      <c r="AD94" s="211"/>
      <c r="AE94" s="210"/>
      <c r="AF94" s="212">
        <v>91</v>
      </c>
      <c r="AG94" s="201" t="s">
        <v>486</v>
      </c>
      <c r="AH94" s="201" t="s">
        <v>485</v>
      </c>
      <c r="AI94" s="297">
        <v>46238</v>
      </c>
      <c r="AJ94" s="201"/>
      <c r="AK94" s="201"/>
      <c r="AL94" s="201"/>
      <c r="AM94" s="201"/>
      <c r="AN94" s="201"/>
      <c r="AO94" s="218" t="str">
        <f t="shared" si="21"/>
        <v>Belshina</v>
      </c>
      <c r="AP94" s="201" t="s">
        <v>458</v>
      </c>
      <c r="AQ94" s="201"/>
      <c r="AR94" s="201"/>
      <c r="AS94" s="213"/>
      <c r="AT94" s="213"/>
      <c r="AU94" s="492" t="str">
        <f t="shared" si="23"/>
        <v>Ok</v>
      </c>
      <c r="AV94" s="220">
        <v>46238</v>
      </c>
      <c r="AW94" s="221">
        <f t="shared" si="15"/>
        <v>12</v>
      </c>
      <c r="AX94" s="208">
        <f t="shared" si="16"/>
        <v>90</v>
      </c>
      <c r="AY94" s="222"/>
      <c r="AZ94" s="222"/>
      <c r="BA94" s="222"/>
      <c r="BB94" s="222"/>
      <c r="BC94" s="222"/>
      <c r="BD94" s="201"/>
      <c r="BE94" s="201"/>
      <c r="BF94" s="219" t="s">
        <v>564</v>
      </c>
      <c r="BG94" s="219" t="s">
        <v>497</v>
      </c>
      <c r="BH94" s="455">
        <v>46311</v>
      </c>
      <c r="BI94" s="215">
        <f t="shared" si="20"/>
        <v>12</v>
      </c>
      <c r="BJ94" s="208">
        <f t="shared" si="20"/>
        <v>90</v>
      </c>
      <c r="BK94" s="223"/>
      <c r="BL94" s="208"/>
      <c r="BM94" s="224"/>
      <c r="BN94" s="201" t="s">
        <v>520</v>
      </c>
      <c r="BO94" s="262" t="s">
        <v>471</v>
      </c>
      <c r="BP94" s="201" t="s">
        <v>499</v>
      </c>
    </row>
    <row r="95" spans="1:68" ht="15.5">
      <c r="A95" s="225">
        <v>5</v>
      </c>
      <c r="B95" s="204">
        <v>25</v>
      </c>
      <c r="C95" s="226">
        <v>46177</v>
      </c>
      <c r="D95" s="491">
        <f t="shared" si="17"/>
        <v>89</v>
      </c>
      <c r="E95" s="204" t="s">
        <v>75</v>
      </c>
      <c r="F95" s="205">
        <f t="shared" si="14"/>
        <v>46177</v>
      </c>
      <c r="G95" s="206" t="s">
        <v>175</v>
      </c>
      <c r="H95" s="207">
        <f t="shared" si="22"/>
        <v>46179</v>
      </c>
      <c r="I95" s="215">
        <v>12</v>
      </c>
      <c r="J95" s="208">
        <v>91</v>
      </c>
      <c r="K95" s="209">
        <v>0.11225</v>
      </c>
      <c r="L95" s="210">
        <v>0.35250000000000004</v>
      </c>
      <c r="M95" s="210">
        <v>0.32</v>
      </c>
      <c r="N95" s="211">
        <v>46</v>
      </c>
      <c r="O95" s="211">
        <f t="shared" si="18"/>
        <v>26.967500000000001</v>
      </c>
      <c r="P95" s="211">
        <v>58.625</v>
      </c>
      <c r="Q95" s="210">
        <v>0.24</v>
      </c>
      <c r="R95" s="212">
        <v>75.5</v>
      </c>
      <c r="S95" s="201" t="s">
        <v>486</v>
      </c>
      <c r="T95" s="201" t="s">
        <v>460</v>
      </c>
      <c r="U95" s="201" t="s">
        <v>63</v>
      </c>
      <c r="V95" s="214">
        <v>46226</v>
      </c>
      <c r="W95" s="215">
        <f t="shared" si="19"/>
        <v>12</v>
      </c>
      <c r="X95" s="208">
        <f t="shared" si="19"/>
        <v>91</v>
      </c>
      <c r="Y95" s="209"/>
      <c r="Z95" s="210"/>
      <c r="AA95" s="210"/>
      <c r="AB95" s="211"/>
      <c r="AC95" s="211"/>
      <c r="AD95" s="211"/>
      <c r="AE95" s="210"/>
      <c r="AF95" s="212">
        <v>94</v>
      </c>
      <c r="AG95" s="201" t="s">
        <v>486</v>
      </c>
      <c r="AH95" s="201" t="s">
        <v>485</v>
      </c>
      <c r="AI95" s="297">
        <v>46238</v>
      </c>
      <c r="AJ95" s="201"/>
      <c r="AK95" s="201"/>
      <c r="AL95" s="201"/>
      <c r="AM95" s="201"/>
      <c r="AN95" s="201"/>
      <c r="AO95" s="218" t="str">
        <f t="shared" si="21"/>
        <v>Belshina</v>
      </c>
      <c r="AP95" s="201" t="s">
        <v>458</v>
      </c>
      <c r="AQ95" s="201"/>
      <c r="AR95" s="201"/>
      <c r="AS95" s="213"/>
      <c r="AT95" s="213"/>
      <c r="AU95" s="476" t="str">
        <f t="shared" si="23"/>
        <v>Ok</v>
      </c>
      <c r="AV95" s="220">
        <v>46238</v>
      </c>
      <c r="AW95" s="221">
        <f t="shared" si="15"/>
        <v>12</v>
      </c>
      <c r="AX95" s="208">
        <f t="shared" si="16"/>
        <v>91</v>
      </c>
      <c r="AY95" s="222"/>
      <c r="AZ95" s="222"/>
      <c r="BA95" s="222"/>
      <c r="BB95" s="222"/>
      <c r="BC95" s="222"/>
      <c r="BD95" s="201"/>
      <c r="BE95" s="201"/>
      <c r="BF95" s="219" t="s">
        <v>564</v>
      </c>
      <c r="BG95" s="219" t="s">
        <v>497</v>
      </c>
      <c r="BH95" s="455">
        <v>46266</v>
      </c>
      <c r="BI95" s="215">
        <f t="shared" si="20"/>
        <v>12</v>
      </c>
      <c r="BJ95" s="208">
        <f t="shared" si="20"/>
        <v>91</v>
      </c>
      <c r="BK95" s="223">
        <v>19</v>
      </c>
      <c r="BL95" s="208">
        <v>162</v>
      </c>
      <c r="BM95" s="224" t="s">
        <v>222</v>
      </c>
      <c r="BN95" s="201" t="s">
        <v>520</v>
      </c>
      <c r="BO95" s="262" t="s">
        <v>471</v>
      </c>
      <c r="BP95" s="201" t="s">
        <v>499</v>
      </c>
    </row>
    <row r="96" spans="1:68" ht="15.5">
      <c r="A96" s="225">
        <v>5</v>
      </c>
      <c r="B96" s="204">
        <v>25</v>
      </c>
      <c r="C96" s="226">
        <v>46177</v>
      </c>
      <c r="D96" s="491">
        <f t="shared" si="17"/>
        <v>61</v>
      </c>
      <c r="E96" s="204" t="s">
        <v>75</v>
      </c>
      <c r="F96" s="205">
        <f t="shared" si="14"/>
        <v>46177</v>
      </c>
      <c r="G96" s="206" t="s">
        <v>175</v>
      </c>
      <c r="H96" s="207">
        <f t="shared" si="22"/>
        <v>46179</v>
      </c>
      <c r="I96" s="215">
        <v>12</v>
      </c>
      <c r="J96" s="208">
        <v>92</v>
      </c>
      <c r="K96" s="209">
        <v>0.11325</v>
      </c>
      <c r="L96" s="210">
        <v>0.34750000000000003</v>
      </c>
      <c r="M96" s="210">
        <v>0.34</v>
      </c>
      <c r="N96" s="211">
        <v>46.25</v>
      </c>
      <c r="O96" s="211">
        <f t="shared" si="18"/>
        <v>28.235624999999999</v>
      </c>
      <c r="P96" s="211">
        <v>61.05</v>
      </c>
      <c r="Q96" s="210">
        <v>0.24</v>
      </c>
      <c r="R96" s="212">
        <v>75.5</v>
      </c>
      <c r="S96" s="201" t="s">
        <v>486</v>
      </c>
      <c r="T96" s="201" t="s">
        <v>485</v>
      </c>
      <c r="U96" s="201"/>
      <c r="V96" s="214">
        <v>46226</v>
      </c>
      <c r="W96" s="215">
        <f t="shared" si="19"/>
        <v>12</v>
      </c>
      <c r="X96" s="208">
        <f t="shared" si="19"/>
        <v>92</v>
      </c>
      <c r="Y96" s="209"/>
      <c r="Z96" s="210"/>
      <c r="AA96" s="210"/>
      <c r="AB96" s="211"/>
      <c r="AC96" s="211"/>
      <c r="AD96" s="211"/>
      <c r="AE96" s="210"/>
      <c r="AF96" s="212">
        <v>89</v>
      </c>
      <c r="AG96" s="201" t="s">
        <v>486</v>
      </c>
      <c r="AH96" s="201" t="s">
        <v>485</v>
      </c>
      <c r="AI96" s="297">
        <v>46238</v>
      </c>
      <c r="AJ96" s="201"/>
      <c r="AK96" s="201"/>
      <c r="AL96" s="201"/>
      <c r="AM96" s="201"/>
      <c r="AN96" s="201"/>
      <c r="AO96" s="218" t="str">
        <f t="shared" si="21"/>
        <v>Belshina</v>
      </c>
      <c r="AP96" s="201" t="s">
        <v>458</v>
      </c>
      <c r="AQ96" s="201"/>
      <c r="AR96" s="201"/>
      <c r="AS96" s="213"/>
      <c r="AT96" s="213"/>
      <c r="AU96" s="476" t="str">
        <f t="shared" si="23"/>
        <v>Ok</v>
      </c>
      <c r="AV96" s="220">
        <v>46238</v>
      </c>
      <c r="AW96" s="221">
        <f t="shared" si="15"/>
        <v>12</v>
      </c>
      <c r="AX96" s="208">
        <f t="shared" si="16"/>
        <v>92</v>
      </c>
      <c r="AY96" s="222"/>
      <c r="AZ96" s="222"/>
      <c r="BA96" s="222"/>
      <c r="BB96" s="222"/>
      <c r="BC96" s="222"/>
      <c r="BD96" s="201"/>
      <c r="BE96" s="201"/>
      <c r="BF96" s="201"/>
      <c r="BG96" s="201"/>
      <c r="BH96" s="455">
        <v>46238</v>
      </c>
      <c r="BI96" s="215">
        <f t="shared" si="20"/>
        <v>12</v>
      </c>
      <c r="BJ96" s="208">
        <f t="shared" si="20"/>
        <v>92</v>
      </c>
      <c r="BK96" s="223">
        <v>8</v>
      </c>
      <c r="BL96" s="208">
        <v>68</v>
      </c>
      <c r="BM96" s="224" t="s">
        <v>222</v>
      </c>
      <c r="BN96" s="201"/>
      <c r="BO96" s="201"/>
      <c r="BP96" s="201"/>
    </row>
    <row r="97" spans="1:68" ht="15.5">
      <c r="A97" s="225">
        <v>5</v>
      </c>
      <c r="B97" s="204" t="s">
        <v>777</v>
      </c>
      <c r="C97" s="226">
        <v>46178</v>
      </c>
      <c r="D97" s="491">
        <f t="shared" si="17"/>
        <v>133</v>
      </c>
      <c r="E97" s="204" t="s">
        <v>75</v>
      </c>
      <c r="F97" s="205">
        <f t="shared" si="14"/>
        <v>46178</v>
      </c>
      <c r="G97" s="206" t="s">
        <v>175</v>
      </c>
      <c r="H97" s="207">
        <f t="shared" si="22"/>
        <v>46180</v>
      </c>
      <c r="I97" s="215">
        <v>12</v>
      </c>
      <c r="J97" s="208">
        <v>93</v>
      </c>
      <c r="K97" s="209">
        <v>0.11327500000000001</v>
      </c>
      <c r="L97" s="210">
        <v>0.33499999999999996</v>
      </c>
      <c r="M97" s="210">
        <v>0.32</v>
      </c>
      <c r="N97" s="211">
        <v>46.5</v>
      </c>
      <c r="O97" s="211">
        <f t="shared" si="18"/>
        <v>28.179000000000002</v>
      </c>
      <c r="P97" s="211">
        <v>60.6</v>
      </c>
      <c r="Q97" s="210">
        <v>0.24</v>
      </c>
      <c r="R97" s="212">
        <v>81.5</v>
      </c>
      <c r="S97" s="201" t="s">
        <v>486</v>
      </c>
      <c r="T97" s="201" t="s">
        <v>485</v>
      </c>
      <c r="U97" s="201"/>
      <c r="V97" s="300"/>
      <c r="W97" s="215">
        <f t="shared" si="19"/>
        <v>12</v>
      </c>
      <c r="X97" s="208">
        <f t="shared" si="19"/>
        <v>93</v>
      </c>
      <c r="Y97" s="209"/>
      <c r="Z97" s="210"/>
      <c r="AA97" s="210"/>
      <c r="AB97" s="211"/>
      <c r="AC97" s="211"/>
      <c r="AD97" s="211"/>
      <c r="AE97" s="210"/>
      <c r="AF97" s="212"/>
      <c r="AG97" s="201" t="s">
        <v>486</v>
      </c>
      <c r="AH97" s="201" t="s">
        <v>485</v>
      </c>
      <c r="AI97" s="297">
        <v>46240</v>
      </c>
      <c r="AJ97" s="201"/>
      <c r="AK97" s="201"/>
      <c r="AL97" s="201"/>
      <c r="AM97" s="201"/>
      <c r="AN97" s="201"/>
      <c r="AO97" s="218" t="str">
        <f t="shared" si="21"/>
        <v>Belshina</v>
      </c>
      <c r="AP97" s="201" t="s">
        <v>458</v>
      </c>
      <c r="AQ97" s="201"/>
      <c r="AR97" s="201"/>
      <c r="AS97" s="213"/>
      <c r="AT97" s="213"/>
      <c r="AU97" s="492" t="str">
        <f t="shared" si="23"/>
        <v>Ok</v>
      </c>
      <c r="AV97" s="220"/>
      <c r="AW97" s="221">
        <f t="shared" si="15"/>
        <v>12</v>
      </c>
      <c r="AX97" s="208">
        <f t="shared" si="16"/>
        <v>93</v>
      </c>
      <c r="AY97" s="222"/>
      <c r="AZ97" s="222"/>
      <c r="BA97" s="222"/>
      <c r="BB97" s="222"/>
      <c r="BC97" s="222"/>
      <c r="BD97" s="201"/>
      <c r="BE97" s="201"/>
      <c r="BF97" s="219" t="s">
        <v>496</v>
      </c>
      <c r="BG97" s="219" t="s">
        <v>497</v>
      </c>
      <c r="BH97" s="455">
        <v>46311</v>
      </c>
      <c r="BI97" s="215">
        <f t="shared" si="20"/>
        <v>12</v>
      </c>
      <c r="BJ97" s="208">
        <f t="shared" si="20"/>
        <v>93</v>
      </c>
      <c r="BK97" s="223"/>
      <c r="BL97" s="208"/>
      <c r="BM97" s="224"/>
      <c r="BN97" s="201"/>
      <c r="BO97" s="201"/>
      <c r="BP97" s="201"/>
    </row>
    <row r="98" spans="1:68" ht="15.5">
      <c r="A98" s="225">
        <v>5</v>
      </c>
      <c r="B98" s="204">
        <v>26</v>
      </c>
      <c r="C98" s="226">
        <v>46178</v>
      </c>
      <c r="D98" s="491">
        <f t="shared" si="17"/>
        <v>60</v>
      </c>
      <c r="E98" s="204" t="s">
        <v>75</v>
      </c>
      <c r="F98" s="205">
        <f t="shared" si="14"/>
        <v>46178</v>
      </c>
      <c r="G98" s="206" t="s">
        <v>175</v>
      </c>
      <c r="H98" s="207">
        <f t="shared" si="22"/>
        <v>46180</v>
      </c>
      <c r="I98" s="215">
        <v>12</v>
      </c>
      <c r="J98" s="208">
        <v>94</v>
      </c>
      <c r="K98" s="209">
        <v>0.1095</v>
      </c>
      <c r="L98" s="210">
        <v>0.34250000000000003</v>
      </c>
      <c r="M98" s="210">
        <v>0.33</v>
      </c>
      <c r="N98" s="211">
        <v>44.5</v>
      </c>
      <c r="O98" s="211">
        <f t="shared" si="18"/>
        <v>28.50225</v>
      </c>
      <c r="P98" s="211">
        <v>64.05</v>
      </c>
      <c r="Q98" s="210">
        <v>0.24</v>
      </c>
      <c r="R98" s="212">
        <v>81.5</v>
      </c>
      <c r="S98" s="201" t="s">
        <v>486</v>
      </c>
      <c r="T98" s="201" t="s">
        <v>485</v>
      </c>
      <c r="U98" s="201"/>
      <c r="V98" s="214">
        <v>46226</v>
      </c>
      <c r="W98" s="215">
        <f t="shared" si="19"/>
        <v>12</v>
      </c>
      <c r="X98" s="208">
        <f t="shared" si="19"/>
        <v>94</v>
      </c>
      <c r="Y98" s="209"/>
      <c r="Z98" s="210"/>
      <c r="AA98" s="210"/>
      <c r="AB98" s="211"/>
      <c r="AC98" s="211"/>
      <c r="AD98" s="211"/>
      <c r="AE98" s="210"/>
      <c r="AF98" s="212">
        <v>86</v>
      </c>
      <c r="AG98" s="201" t="s">
        <v>486</v>
      </c>
      <c r="AH98" s="201" t="s">
        <v>485</v>
      </c>
      <c r="AI98" s="297">
        <v>46238</v>
      </c>
      <c r="AJ98" s="201"/>
      <c r="AK98" s="201"/>
      <c r="AL98" s="201"/>
      <c r="AM98" s="201"/>
      <c r="AN98" s="201"/>
      <c r="AO98" s="218" t="str">
        <f t="shared" si="21"/>
        <v>Belshina</v>
      </c>
      <c r="AP98" s="201" t="s">
        <v>458</v>
      </c>
      <c r="AQ98" s="201"/>
      <c r="AR98" s="201"/>
      <c r="AS98" s="213"/>
      <c r="AT98" s="213"/>
      <c r="AU98" s="476" t="str">
        <f t="shared" si="23"/>
        <v>Ok</v>
      </c>
      <c r="AV98" s="220">
        <v>46238</v>
      </c>
      <c r="AW98" s="221">
        <f t="shared" si="15"/>
        <v>12</v>
      </c>
      <c r="AX98" s="208">
        <f t="shared" si="16"/>
        <v>94</v>
      </c>
      <c r="AY98" s="222"/>
      <c r="AZ98" s="222"/>
      <c r="BA98" s="222"/>
      <c r="BB98" s="222"/>
      <c r="BC98" s="222"/>
      <c r="BD98" s="201"/>
      <c r="BE98" s="201"/>
      <c r="BF98" s="219" t="s">
        <v>564</v>
      </c>
      <c r="BG98" s="219" t="s">
        <v>497</v>
      </c>
      <c r="BH98" s="455">
        <v>46238</v>
      </c>
      <c r="BI98" s="215">
        <f t="shared" si="20"/>
        <v>12</v>
      </c>
      <c r="BJ98" s="208">
        <f t="shared" si="20"/>
        <v>94</v>
      </c>
      <c r="BK98" s="223">
        <v>6</v>
      </c>
      <c r="BL98" s="208">
        <v>49</v>
      </c>
      <c r="BM98" s="224" t="s">
        <v>222</v>
      </c>
      <c r="BN98" s="201" t="s">
        <v>520</v>
      </c>
      <c r="BO98" s="262" t="s">
        <v>458</v>
      </c>
      <c r="BP98" s="201" t="s">
        <v>499</v>
      </c>
    </row>
    <row r="99" spans="1:68" s="549" customFormat="1" ht="15.5">
      <c r="A99" s="251">
        <v>5</v>
      </c>
      <c r="B99" s="252">
        <v>26</v>
      </c>
      <c r="C99" s="253">
        <v>46178</v>
      </c>
      <c r="D99" s="491">
        <f t="shared" si="17"/>
        <v>66</v>
      </c>
      <c r="E99" s="252" t="s">
        <v>75</v>
      </c>
      <c r="F99" s="254">
        <f t="shared" si="14"/>
        <v>46178</v>
      </c>
      <c r="G99" s="255" t="s">
        <v>175</v>
      </c>
      <c r="H99" s="256">
        <f t="shared" si="22"/>
        <v>46180</v>
      </c>
      <c r="I99" s="264">
        <v>12</v>
      </c>
      <c r="J99" s="257">
        <v>95</v>
      </c>
      <c r="K99" s="258">
        <v>0.11149999999999999</v>
      </c>
      <c r="L99" s="259">
        <v>0.33</v>
      </c>
      <c r="M99" s="259">
        <v>0.31</v>
      </c>
      <c r="N99" s="260">
        <v>45.5</v>
      </c>
      <c r="O99" s="260">
        <f t="shared" si="18"/>
        <v>28.494375000000002</v>
      </c>
      <c r="P99" s="260">
        <v>62.625</v>
      </c>
      <c r="Q99" s="259">
        <v>0.24</v>
      </c>
      <c r="R99" s="261">
        <v>81.5</v>
      </c>
      <c r="S99" s="262" t="s">
        <v>486</v>
      </c>
      <c r="T99" s="262" t="s">
        <v>485</v>
      </c>
      <c r="U99" s="262"/>
      <c r="V99" s="313"/>
      <c r="W99" s="264">
        <f t="shared" si="19"/>
        <v>12</v>
      </c>
      <c r="X99" s="257">
        <f t="shared" si="19"/>
        <v>95</v>
      </c>
      <c r="Y99" s="258"/>
      <c r="Z99" s="259"/>
      <c r="AA99" s="259"/>
      <c r="AB99" s="260"/>
      <c r="AC99" s="260"/>
      <c r="AD99" s="260"/>
      <c r="AE99" s="259"/>
      <c r="AF99" s="261"/>
      <c r="AG99" s="262" t="s">
        <v>486</v>
      </c>
      <c r="AH99" s="262" t="s">
        <v>485</v>
      </c>
      <c r="AI99" s="314">
        <v>46239</v>
      </c>
      <c r="AJ99" s="262"/>
      <c r="AK99" s="262"/>
      <c r="AL99" s="267" t="s">
        <v>222</v>
      </c>
      <c r="AM99" s="267"/>
      <c r="AN99" s="262"/>
      <c r="AO99" s="268"/>
      <c r="AP99" s="262" t="s">
        <v>459</v>
      </c>
      <c r="AQ99" s="262" t="s">
        <v>471</v>
      </c>
      <c r="AR99" s="262" t="s">
        <v>549</v>
      </c>
      <c r="AS99" s="269"/>
      <c r="AT99" s="269"/>
      <c r="AU99" s="476" t="str">
        <f t="shared" si="23"/>
        <v>Reject</v>
      </c>
      <c r="AV99" s="270">
        <v>46233</v>
      </c>
      <c r="AW99" s="271">
        <f t="shared" si="15"/>
        <v>12</v>
      </c>
      <c r="AX99" s="257">
        <f t="shared" si="16"/>
        <v>95</v>
      </c>
      <c r="AY99" s="272"/>
      <c r="AZ99" s="272"/>
      <c r="BA99" s="272" t="s">
        <v>222</v>
      </c>
      <c r="BB99" s="272"/>
      <c r="BC99" s="272"/>
      <c r="BD99" s="262" t="s">
        <v>459</v>
      </c>
      <c r="BE99" s="262" t="s">
        <v>471</v>
      </c>
      <c r="BF99" s="219" t="s">
        <v>496</v>
      </c>
      <c r="BG99" s="219" t="s">
        <v>497</v>
      </c>
      <c r="BH99" s="455">
        <v>46244</v>
      </c>
      <c r="BI99" s="264">
        <f t="shared" si="20"/>
        <v>12</v>
      </c>
      <c r="BJ99" s="257">
        <f t="shared" si="20"/>
        <v>95</v>
      </c>
      <c r="BK99" s="273">
        <v>10</v>
      </c>
      <c r="BL99" s="257">
        <v>83</v>
      </c>
      <c r="BM99" s="224" t="s">
        <v>222</v>
      </c>
      <c r="BN99" s="201" t="s">
        <v>498</v>
      </c>
      <c r="BO99" s="262" t="s">
        <v>458</v>
      </c>
      <c r="BP99" s="201" t="s">
        <v>499</v>
      </c>
    </row>
    <row r="100" spans="1:68" s="547" customFormat="1" ht="15.5">
      <c r="A100" s="315">
        <v>5</v>
      </c>
      <c r="B100" s="316">
        <v>26</v>
      </c>
      <c r="C100" s="317">
        <v>46178</v>
      </c>
      <c r="D100" s="491">
        <f t="shared" si="17"/>
        <v>66</v>
      </c>
      <c r="E100" s="316" t="s">
        <v>75</v>
      </c>
      <c r="F100" s="318">
        <f t="shared" si="14"/>
        <v>46178</v>
      </c>
      <c r="G100" s="319" t="s">
        <v>175</v>
      </c>
      <c r="H100" s="320">
        <f t="shared" si="22"/>
        <v>46180</v>
      </c>
      <c r="I100" s="328">
        <v>12</v>
      </c>
      <c r="J100" s="321">
        <v>96</v>
      </c>
      <c r="K100" s="322">
        <v>0.11549999999999999</v>
      </c>
      <c r="L100" s="323">
        <v>0.35000000000000003</v>
      </c>
      <c r="M100" s="323">
        <v>0.35</v>
      </c>
      <c r="N100" s="324">
        <v>45.75</v>
      </c>
      <c r="O100" s="324">
        <f t="shared" si="18"/>
        <v>29.245687500000003</v>
      </c>
      <c r="P100" s="324">
        <v>63.925000000000004</v>
      </c>
      <c r="Q100" s="323">
        <v>0.24</v>
      </c>
      <c r="R100" s="325">
        <v>81.5</v>
      </c>
      <c r="S100" s="326" t="s">
        <v>486</v>
      </c>
      <c r="T100" s="326" t="s">
        <v>485</v>
      </c>
      <c r="U100" s="326"/>
      <c r="V100" s="327"/>
      <c r="W100" s="328">
        <f t="shared" si="19"/>
        <v>12</v>
      </c>
      <c r="X100" s="321">
        <f t="shared" si="19"/>
        <v>96</v>
      </c>
      <c r="Y100" s="322"/>
      <c r="Z100" s="323"/>
      <c r="AA100" s="323"/>
      <c r="AB100" s="324"/>
      <c r="AC100" s="324"/>
      <c r="AD100" s="324"/>
      <c r="AE100" s="323"/>
      <c r="AF100" s="325"/>
      <c r="AG100" s="326" t="s">
        <v>486</v>
      </c>
      <c r="AH100" s="326" t="s">
        <v>485</v>
      </c>
      <c r="AI100" s="329">
        <v>46238</v>
      </c>
      <c r="AJ100" s="330" t="s">
        <v>222</v>
      </c>
      <c r="AK100" s="326"/>
      <c r="AL100" s="326"/>
      <c r="AM100" s="326"/>
      <c r="AN100" s="326"/>
      <c r="AO100" s="331"/>
      <c r="AP100" s="326" t="s">
        <v>459</v>
      </c>
      <c r="AQ100" s="326" t="s">
        <v>265</v>
      </c>
      <c r="AR100" s="326" t="s">
        <v>549</v>
      </c>
      <c r="AS100" s="332"/>
      <c r="AT100" s="332"/>
      <c r="AU100" s="476" t="str">
        <f t="shared" si="23"/>
        <v>Reject</v>
      </c>
      <c r="AV100" s="333">
        <v>46238</v>
      </c>
      <c r="AW100" s="334">
        <f t="shared" si="15"/>
        <v>12</v>
      </c>
      <c r="AX100" s="321">
        <f t="shared" si="16"/>
        <v>96</v>
      </c>
      <c r="AY100" s="335" t="s">
        <v>222</v>
      </c>
      <c r="AZ100" s="335"/>
      <c r="BA100" s="335"/>
      <c r="BB100" s="335"/>
      <c r="BC100" s="335"/>
      <c r="BD100" s="326"/>
      <c r="BE100" s="326"/>
      <c r="BF100" s="201"/>
      <c r="BG100" s="201"/>
      <c r="BH100" s="455">
        <v>46244</v>
      </c>
      <c r="BI100" s="328">
        <f t="shared" si="20"/>
        <v>12</v>
      </c>
      <c r="BJ100" s="321">
        <f t="shared" si="20"/>
        <v>96</v>
      </c>
      <c r="BK100" s="336">
        <v>10</v>
      </c>
      <c r="BL100" s="321">
        <v>84</v>
      </c>
      <c r="BM100" s="224" t="s">
        <v>222</v>
      </c>
      <c r="BN100" s="201"/>
      <c r="BO100" s="326"/>
      <c r="BP100" s="201"/>
    </row>
    <row r="101" spans="1:68" ht="15.5">
      <c r="A101" s="225">
        <v>5</v>
      </c>
      <c r="B101" s="204">
        <v>26</v>
      </c>
      <c r="C101" s="226">
        <v>46178</v>
      </c>
      <c r="D101" s="491">
        <f t="shared" si="17"/>
        <v>60</v>
      </c>
      <c r="E101" s="204" t="s">
        <v>75</v>
      </c>
      <c r="F101" s="205">
        <f t="shared" si="14"/>
        <v>46178</v>
      </c>
      <c r="G101" s="206" t="s">
        <v>175</v>
      </c>
      <c r="H101" s="207">
        <f t="shared" si="22"/>
        <v>46180</v>
      </c>
      <c r="I101" s="215">
        <v>13</v>
      </c>
      <c r="J101" s="208">
        <v>97</v>
      </c>
      <c r="K101" s="209">
        <v>0.1115</v>
      </c>
      <c r="L101" s="210">
        <v>0.35249999999999998</v>
      </c>
      <c r="M101" s="210">
        <v>0.3</v>
      </c>
      <c r="N101" s="211">
        <v>45.25</v>
      </c>
      <c r="O101" s="211">
        <f t="shared" si="18"/>
        <v>28.733750000000001</v>
      </c>
      <c r="P101" s="211">
        <v>63.5</v>
      </c>
      <c r="Q101" s="210">
        <v>0.19</v>
      </c>
      <c r="R101" s="212">
        <v>78.5</v>
      </c>
      <c r="S101" s="201" t="s">
        <v>486</v>
      </c>
      <c r="T101" s="201" t="s">
        <v>485</v>
      </c>
      <c r="U101" s="201"/>
      <c r="V101" s="300"/>
      <c r="W101" s="215">
        <f t="shared" si="19"/>
        <v>13</v>
      </c>
      <c r="X101" s="208">
        <f t="shared" si="19"/>
        <v>97</v>
      </c>
      <c r="Y101" s="209"/>
      <c r="Z101" s="210"/>
      <c r="AA101" s="210"/>
      <c r="AB101" s="211"/>
      <c r="AC101" s="211"/>
      <c r="AD101" s="211"/>
      <c r="AE101" s="210"/>
      <c r="AF101" s="212"/>
      <c r="AG101" s="201" t="s">
        <v>486</v>
      </c>
      <c r="AH101" s="201" t="s">
        <v>485</v>
      </c>
      <c r="AI101" s="297">
        <v>46238</v>
      </c>
      <c r="AJ101" s="201"/>
      <c r="AK101" s="201"/>
      <c r="AL101" s="201"/>
      <c r="AM101" s="201"/>
      <c r="AN101" s="201"/>
      <c r="AO101" s="218" t="str">
        <f t="shared" si="21"/>
        <v>Belshina</v>
      </c>
      <c r="AP101" s="201" t="s">
        <v>458</v>
      </c>
      <c r="AQ101" s="201"/>
      <c r="AR101" s="201"/>
      <c r="AS101" s="213"/>
      <c r="AT101" s="213"/>
      <c r="AU101" s="476" t="str">
        <f t="shared" si="23"/>
        <v>Ok</v>
      </c>
      <c r="AV101" s="220">
        <v>46238</v>
      </c>
      <c r="AW101" s="221">
        <f t="shared" si="15"/>
        <v>13</v>
      </c>
      <c r="AX101" s="208">
        <f t="shared" si="16"/>
        <v>97</v>
      </c>
      <c r="AY101" s="222"/>
      <c r="AZ101" s="222"/>
      <c r="BA101" s="222"/>
      <c r="BB101" s="222"/>
      <c r="BC101" s="222"/>
      <c r="BD101" s="201"/>
      <c r="BE101" s="201"/>
      <c r="BF101" s="219" t="s">
        <v>564</v>
      </c>
      <c r="BG101" s="219" t="s">
        <v>497</v>
      </c>
      <c r="BH101" s="455">
        <v>46238</v>
      </c>
      <c r="BI101" s="215">
        <f t="shared" si="20"/>
        <v>13</v>
      </c>
      <c r="BJ101" s="208">
        <f t="shared" si="20"/>
        <v>97</v>
      </c>
      <c r="BK101" s="223">
        <v>6</v>
      </c>
      <c r="BL101" s="208">
        <v>50</v>
      </c>
      <c r="BM101" s="224" t="s">
        <v>222</v>
      </c>
      <c r="BN101" s="201" t="s">
        <v>520</v>
      </c>
      <c r="BO101" s="262" t="s">
        <v>458</v>
      </c>
      <c r="BP101" s="201" t="s">
        <v>499</v>
      </c>
    </row>
    <row r="102" spans="1:68" s="549" customFormat="1" ht="15.5">
      <c r="A102" s="251">
        <v>5</v>
      </c>
      <c r="B102" s="252" t="s">
        <v>778</v>
      </c>
      <c r="C102" s="253">
        <v>46179</v>
      </c>
      <c r="D102" s="491">
        <f t="shared" si="17"/>
        <v>59</v>
      </c>
      <c r="E102" s="252" t="s">
        <v>75</v>
      </c>
      <c r="F102" s="254">
        <f t="shared" si="14"/>
        <v>46179</v>
      </c>
      <c r="G102" s="255" t="s">
        <v>175</v>
      </c>
      <c r="H102" s="256">
        <f t="shared" si="22"/>
        <v>46181</v>
      </c>
      <c r="I102" s="264">
        <v>13</v>
      </c>
      <c r="J102" s="257">
        <v>98</v>
      </c>
      <c r="K102" s="258">
        <v>0.114</v>
      </c>
      <c r="L102" s="259">
        <v>0.35</v>
      </c>
      <c r="M102" s="259">
        <v>0.31</v>
      </c>
      <c r="N102" s="260">
        <v>46</v>
      </c>
      <c r="O102" s="260">
        <f t="shared" si="18"/>
        <v>28.998745</v>
      </c>
      <c r="P102" s="260">
        <v>63.040750000000003</v>
      </c>
      <c r="Q102" s="259">
        <v>0.19</v>
      </c>
      <c r="R102" s="261">
        <v>78.5</v>
      </c>
      <c r="S102" s="262" t="s">
        <v>486</v>
      </c>
      <c r="T102" s="262" t="s">
        <v>485</v>
      </c>
      <c r="U102" s="262"/>
      <c r="V102" s="313"/>
      <c r="W102" s="264">
        <f t="shared" si="19"/>
        <v>13</v>
      </c>
      <c r="X102" s="257">
        <f t="shared" si="19"/>
        <v>98</v>
      </c>
      <c r="Y102" s="258"/>
      <c r="Z102" s="259"/>
      <c r="AA102" s="259"/>
      <c r="AB102" s="260"/>
      <c r="AC102" s="260"/>
      <c r="AD102" s="260"/>
      <c r="AE102" s="259"/>
      <c r="AF102" s="261"/>
      <c r="AG102" s="262" t="s">
        <v>486</v>
      </c>
      <c r="AH102" s="262" t="s">
        <v>485</v>
      </c>
      <c r="AI102" s="314">
        <v>46238</v>
      </c>
      <c r="AJ102" s="262"/>
      <c r="AK102" s="262"/>
      <c r="AL102" s="267" t="s">
        <v>222</v>
      </c>
      <c r="AM102" s="262"/>
      <c r="AN102" s="262"/>
      <c r="AO102" s="268" t="str">
        <f t="shared" si="21"/>
        <v>Belshina</v>
      </c>
      <c r="AP102" s="262" t="s">
        <v>459</v>
      </c>
      <c r="AQ102" s="262" t="s">
        <v>471</v>
      </c>
      <c r="AR102" s="262"/>
      <c r="AS102" s="269"/>
      <c r="AT102" s="269"/>
      <c r="AU102" s="476" t="str">
        <f t="shared" si="23"/>
        <v>Reject</v>
      </c>
      <c r="AV102" s="270">
        <v>46238</v>
      </c>
      <c r="AW102" s="271">
        <f t="shared" si="15"/>
        <v>13</v>
      </c>
      <c r="AX102" s="257">
        <f t="shared" si="16"/>
        <v>98</v>
      </c>
      <c r="AY102" s="272"/>
      <c r="AZ102" s="272"/>
      <c r="BA102" s="272" t="s">
        <v>222</v>
      </c>
      <c r="BB102" s="272"/>
      <c r="BC102" s="272"/>
      <c r="BD102" s="262" t="s">
        <v>459</v>
      </c>
      <c r="BE102" s="262" t="s">
        <v>471</v>
      </c>
      <c r="BF102" s="219" t="s">
        <v>564</v>
      </c>
      <c r="BG102" s="219" t="s">
        <v>497</v>
      </c>
      <c r="BH102" s="455">
        <v>46238</v>
      </c>
      <c r="BI102" s="264">
        <f t="shared" si="20"/>
        <v>13</v>
      </c>
      <c r="BJ102" s="257">
        <f t="shared" si="20"/>
        <v>98</v>
      </c>
      <c r="BK102" s="273">
        <v>6</v>
      </c>
      <c r="BL102" s="257">
        <v>51</v>
      </c>
      <c r="BM102" s="224" t="s">
        <v>222</v>
      </c>
      <c r="BN102" s="201" t="s">
        <v>520</v>
      </c>
      <c r="BO102" s="262" t="s">
        <v>458</v>
      </c>
      <c r="BP102" s="201" t="s">
        <v>499</v>
      </c>
    </row>
    <row r="103" spans="1:68" ht="15.5">
      <c r="A103" s="225">
        <v>5</v>
      </c>
      <c r="B103" s="204" t="s">
        <v>779</v>
      </c>
      <c r="C103" s="226">
        <v>46179</v>
      </c>
      <c r="D103" s="491">
        <f t="shared" si="17"/>
        <v>59</v>
      </c>
      <c r="E103" s="204" t="s">
        <v>75</v>
      </c>
      <c r="F103" s="205">
        <f t="shared" si="14"/>
        <v>46179</v>
      </c>
      <c r="G103" s="206" t="s">
        <v>175</v>
      </c>
      <c r="H103" s="207">
        <f t="shared" si="22"/>
        <v>46181</v>
      </c>
      <c r="I103" s="215">
        <v>13</v>
      </c>
      <c r="J103" s="208">
        <v>99</v>
      </c>
      <c r="K103" s="209">
        <v>0.10475000000000001</v>
      </c>
      <c r="L103" s="210">
        <v>0.33250000000000002</v>
      </c>
      <c r="M103" s="210">
        <v>0.33</v>
      </c>
      <c r="N103" s="211">
        <v>43.5</v>
      </c>
      <c r="O103" s="211">
        <f t="shared" si="18"/>
        <v>26.535</v>
      </c>
      <c r="P103" s="211">
        <v>61</v>
      </c>
      <c r="Q103" s="210">
        <v>0.19</v>
      </c>
      <c r="R103" s="212">
        <v>78.5</v>
      </c>
      <c r="S103" s="201" t="s">
        <v>486</v>
      </c>
      <c r="T103" s="201" t="s">
        <v>485</v>
      </c>
      <c r="U103" s="201"/>
      <c r="V103" s="300"/>
      <c r="W103" s="215">
        <f t="shared" si="19"/>
        <v>13</v>
      </c>
      <c r="X103" s="208">
        <f t="shared" si="19"/>
        <v>99</v>
      </c>
      <c r="Y103" s="209"/>
      <c r="Z103" s="210"/>
      <c r="AA103" s="210"/>
      <c r="AB103" s="211"/>
      <c r="AC103" s="211"/>
      <c r="AD103" s="211"/>
      <c r="AE103" s="210"/>
      <c r="AF103" s="212"/>
      <c r="AG103" s="201" t="s">
        <v>486</v>
      </c>
      <c r="AH103" s="201" t="s">
        <v>485</v>
      </c>
      <c r="AI103" s="297">
        <v>46238</v>
      </c>
      <c r="AJ103" s="201"/>
      <c r="AK103" s="201"/>
      <c r="AL103" s="201"/>
      <c r="AM103" s="201"/>
      <c r="AN103" s="201"/>
      <c r="AO103" s="218" t="str">
        <f t="shared" si="21"/>
        <v>Belshina</v>
      </c>
      <c r="AP103" s="201" t="s">
        <v>458</v>
      </c>
      <c r="AQ103" s="201"/>
      <c r="AR103" s="201"/>
      <c r="AS103" s="213"/>
      <c r="AT103" s="213"/>
      <c r="AU103" s="476" t="str">
        <f t="shared" si="23"/>
        <v>Ok</v>
      </c>
      <c r="AV103" s="220">
        <v>46238</v>
      </c>
      <c r="AW103" s="221">
        <f t="shared" si="15"/>
        <v>13</v>
      </c>
      <c r="AX103" s="208">
        <f t="shared" si="16"/>
        <v>99</v>
      </c>
      <c r="AY103" s="222"/>
      <c r="AZ103" s="222"/>
      <c r="BA103" s="222"/>
      <c r="BB103" s="222"/>
      <c r="BC103" s="222"/>
      <c r="BD103" s="201"/>
      <c r="BE103" s="201"/>
      <c r="BF103" s="219" t="s">
        <v>564</v>
      </c>
      <c r="BG103" s="219" t="s">
        <v>497</v>
      </c>
      <c r="BH103" s="455">
        <v>46238</v>
      </c>
      <c r="BI103" s="215">
        <f t="shared" si="20"/>
        <v>13</v>
      </c>
      <c r="BJ103" s="208">
        <f t="shared" si="20"/>
        <v>99</v>
      </c>
      <c r="BK103" s="223">
        <v>6</v>
      </c>
      <c r="BL103" s="208">
        <v>52</v>
      </c>
      <c r="BM103" s="224" t="s">
        <v>222</v>
      </c>
      <c r="BN103" s="201" t="s">
        <v>520</v>
      </c>
      <c r="BO103" s="262" t="s">
        <v>458</v>
      </c>
      <c r="BP103" s="201" t="s">
        <v>499</v>
      </c>
    </row>
    <row r="104" spans="1:68" ht="15.5">
      <c r="A104" s="225">
        <v>6</v>
      </c>
      <c r="B104" s="204">
        <v>28</v>
      </c>
      <c r="C104" s="226">
        <v>46181</v>
      </c>
      <c r="D104" s="491">
        <f t="shared" si="17"/>
        <v>63</v>
      </c>
      <c r="E104" s="204" t="s">
        <v>75</v>
      </c>
      <c r="F104" s="205">
        <f t="shared" si="14"/>
        <v>46181</v>
      </c>
      <c r="G104" s="206" t="s">
        <v>175</v>
      </c>
      <c r="H104" s="207">
        <f t="shared" si="22"/>
        <v>46183</v>
      </c>
      <c r="I104" s="215">
        <v>13</v>
      </c>
      <c r="J104" s="208">
        <v>100</v>
      </c>
      <c r="K104" s="209">
        <v>0.10249999999999999</v>
      </c>
      <c r="L104" s="210">
        <v>0.33500000000000002</v>
      </c>
      <c r="M104" s="210">
        <v>0.34</v>
      </c>
      <c r="N104" s="211">
        <v>44.5</v>
      </c>
      <c r="O104" s="211">
        <f t="shared" si="18"/>
        <v>27.756875000000001</v>
      </c>
      <c r="P104" s="211">
        <v>62.375</v>
      </c>
      <c r="Q104" s="210">
        <v>0.19</v>
      </c>
      <c r="R104" s="212">
        <v>78.5</v>
      </c>
      <c r="S104" s="201" t="s">
        <v>486</v>
      </c>
      <c r="T104" s="201" t="s">
        <v>485</v>
      </c>
      <c r="U104" s="201"/>
      <c r="V104" s="214">
        <v>46226</v>
      </c>
      <c r="W104" s="215">
        <f t="shared" si="19"/>
        <v>13</v>
      </c>
      <c r="X104" s="208">
        <f t="shared" si="19"/>
        <v>100</v>
      </c>
      <c r="Y104" s="209"/>
      <c r="Z104" s="210"/>
      <c r="AA104" s="210"/>
      <c r="AB104" s="211"/>
      <c r="AC104" s="211"/>
      <c r="AD104" s="211"/>
      <c r="AE104" s="210"/>
      <c r="AF104" s="212">
        <v>88</v>
      </c>
      <c r="AG104" s="201" t="s">
        <v>486</v>
      </c>
      <c r="AH104" s="201" t="s">
        <v>485</v>
      </c>
      <c r="AI104" s="297">
        <v>46213</v>
      </c>
      <c r="AJ104" s="201"/>
      <c r="AK104" s="201"/>
      <c r="AL104" s="201"/>
      <c r="AM104" s="201"/>
      <c r="AN104" s="201"/>
      <c r="AO104" s="218" t="str">
        <f t="shared" si="21"/>
        <v>Belshina</v>
      </c>
      <c r="AP104" s="201" t="s">
        <v>458</v>
      </c>
      <c r="AQ104" s="201"/>
      <c r="AR104" s="201"/>
      <c r="AS104" s="213"/>
      <c r="AT104" s="213"/>
      <c r="AU104" s="476" t="str">
        <f t="shared" si="23"/>
        <v>Ok</v>
      </c>
      <c r="AV104" s="220">
        <v>46213</v>
      </c>
      <c r="AW104" s="221">
        <f t="shared" si="15"/>
        <v>13</v>
      </c>
      <c r="AX104" s="208">
        <f t="shared" si="16"/>
        <v>100</v>
      </c>
      <c r="AY104" s="222"/>
      <c r="AZ104" s="222"/>
      <c r="BA104" s="222"/>
      <c r="BB104" s="222"/>
      <c r="BC104" s="222"/>
      <c r="BD104" s="201"/>
      <c r="BE104" s="201"/>
      <c r="BF104" s="201"/>
      <c r="BG104" s="201"/>
      <c r="BH104" s="455">
        <v>46244</v>
      </c>
      <c r="BI104" s="215">
        <f t="shared" si="20"/>
        <v>13</v>
      </c>
      <c r="BJ104" s="208">
        <f t="shared" si="20"/>
        <v>100</v>
      </c>
      <c r="BK104" s="223">
        <v>9</v>
      </c>
      <c r="BL104" s="208">
        <v>76</v>
      </c>
      <c r="BM104" s="224" t="s">
        <v>222</v>
      </c>
      <c r="BN104" s="201"/>
      <c r="BO104" s="201"/>
      <c r="BP104" s="201"/>
    </row>
    <row r="105" spans="1:68" ht="15.5">
      <c r="A105" s="225">
        <v>6</v>
      </c>
      <c r="B105" s="204">
        <v>28</v>
      </c>
      <c r="C105" s="226">
        <v>46181</v>
      </c>
      <c r="D105" s="491">
        <f t="shared" si="17"/>
        <v>63</v>
      </c>
      <c r="E105" s="204" t="s">
        <v>75</v>
      </c>
      <c r="F105" s="205">
        <f t="shared" si="14"/>
        <v>46181</v>
      </c>
      <c r="G105" s="206" t="s">
        <v>175</v>
      </c>
      <c r="H105" s="207">
        <f t="shared" si="22"/>
        <v>46183</v>
      </c>
      <c r="I105" s="215">
        <v>13</v>
      </c>
      <c r="J105" s="208">
        <v>101</v>
      </c>
      <c r="K105" s="209">
        <v>0.10249999999999999</v>
      </c>
      <c r="L105" s="210">
        <v>0.32250000000000001</v>
      </c>
      <c r="M105" s="210">
        <v>0.35</v>
      </c>
      <c r="N105" s="211">
        <v>45</v>
      </c>
      <c r="O105" s="211">
        <f t="shared" si="18"/>
        <v>27.787499999999994</v>
      </c>
      <c r="P105" s="211">
        <v>61.749999999999993</v>
      </c>
      <c r="Q105" s="210">
        <v>0.19</v>
      </c>
      <c r="R105" s="212">
        <v>80</v>
      </c>
      <c r="S105" s="201" t="s">
        <v>486</v>
      </c>
      <c r="T105" s="201" t="s">
        <v>485</v>
      </c>
      <c r="U105" s="201"/>
      <c r="V105" s="300"/>
      <c r="W105" s="215">
        <f t="shared" si="19"/>
        <v>13</v>
      </c>
      <c r="X105" s="208">
        <f t="shared" si="19"/>
        <v>101</v>
      </c>
      <c r="Y105" s="209"/>
      <c r="Z105" s="210"/>
      <c r="AA105" s="210"/>
      <c r="AB105" s="211"/>
      <c r="AC105" s="211"/>
      <c r="AD105" s="211"/>
      <c r="AE105" s="210"/>
      <c r="AF105" s="212"/>
      <c r="AG105" s="201" t="s">
        <v>486</v>
      </c>
      <c r="AH105" s="201" t="s">
        <v>485</v>
      </c>
      <c r="AI105" s="297">
        <v>46238</v>
      </c>
      <c r="AJ105" s="201"/>
      <c r="AK105" s="201"/>
      <c r="AL105" s="201"/>
      <c r="AM105" s="201"/>
      <c r="AN105" s="201"/>
      <c r="AO105" s="218" t="str">
        <f t="shared" si="21"/>
        <v>Belshina</v>
      </c>
      <c r="AP105" s="201" t="s">
        <v>458</v>
      </c>
      <c r="AQ105" s="201"/>
      <c r="AR105" s="201"/>
      <c r="AS105" s="213"/>
      <c r="AT105" s="213"/>
      <c r="AU105" s="476" t="str">
        <f t="shared" si="23"/>
        <v>Ok</v>
      </c>
      <c r="AV105" s="220">
        <v>46238</v>
      </c>
      <c r="AW105" s="221">
        <f t="shared" si="15"/>
        <v>13</v>
      </c>
      <c r="AX105" s="208">
        <f t="shared" si="16"/>
        <v>101</v>
      </c>
      <c r="AY105" s="222"/>
      <c r="AZ105" s="222"/>
      <c r="BA105" s="222"/>
      <c r="BB105" s="222"/>
      <c r="BC105" s="222"/>
      <c r="BD105" s="201"/>
      <c r="BE105" s="201"/>
      <c r="BF105" s="201"/>
      <c r="BG105" s="201"/>
      <c r="BH105" s="455">
        <v>46244</v>
      </c>
      <c r="BI105" s="215">
        <f t="shared" si="20"/>
        <v>13</v>
      </c>
      <c r="BJ105" s="208">
        <f t="shared" si="20"/>
        <v>101</v>
      </c>
      <c r="BK105" s="223">
        <v>10</v>
      </c>
      <c r="BL105" s="208">
        <v>77</v>
      </c>
      <c r="BM105" s="224" t="s">
        <v>222</v>
      </c>
      <c r="BN105" s="201"/>
      <c r="BO105" s="201"/>
      <c r="BP105" s="201"/>
    </row>
    <row r="106" spans="1:68" ht="15.5">
      <c r="A106" s="225">
        <v>6</v>
      </c>
      <c r="B106" s="204">
        <v>28</v>
      </c>
      <c r="C106" s="226">
        <v>46181</v>
      </c>
      <c r="D106" s="491">
        <f t="shared" si="17"/>
        <v>63</v>
      </c>
      <c r="E106" s="204" t="s">
        <v>75</v>
      </c>
      <c r="F106" s="205">
        <f t="shared" si="14"/>
        <v>46181</v>
      </c>
      <c r="G106" s="206" t="s">
        <v>175</v>
      </c>
      <c r="H106" s="207">
        <f t="shared" si="22"/>
        <v>46183</v>
      </c>
      <c r="I106" s="215">
        <v>13</v>
      </c>
      <c r="J106" s="208">
        <v>102</v>
      </c>
      <c r="K106" s="209">
        <v>0.111</v>
      </c>
      <c r="L106" s="210">
        <v>0.31</v>
      </c>
      <c r="M106" s="210">
        <v>0.33</v>
      </c>
      <c r="N106" s="211">
        <v>44.75</v>
      </c>
      <c r="O106" s="211">
        <f t="shared" si="18"/>
        <v>28.002312499999999</v>
      </c>
      <c r="P106" s="211">
        <v>62.574999999999996</v>
      </c>
      <c r="Q106" s="210">
        <v>0.19</v>
      </c>
      <c r="R106" s="212">
        <v>80</v>
      </c>
      <c r="S106" s="201" t="s">
        <v>486</v>
      </c>
      <c r="T106" s="201" t="s">
        <v>485</v>
      </c>
      <c r="U106" s="201"/>
      <c r="V106" s="214">
        <v>46226</v>
      </c>
      <c r="W106" s="215">
        <f t="shared" si="19"/>
        <v>13</v>
      </c>
      <c r="X106" s="208">
        <f t="shared" si="19"/>
        <v>102</v>
      </c>
      <c r="Y106" s="209"/>
      <c r="Z106" s="210"/>
      <c r="AA106" s="210"/>
      <c r="AB106" s="211"/>
      <c r="AC106" s="211"/>
      <c r="AD106" s="211"/>
      <c r="AE106" s="210"/>
      <c r="AF106" s="212">
        <v>89</v>
      </c>
      <c r="AG106" s="201" t="s">
        <v>486</v>
      </c>
      <c r="AH106" s="201" t="s">
        <v>485</v>
      </c>
      <c r="AI106" s="297">
        <v>46238</v>
      </c>
      <c r="AJ106" s="201"/>
      <c r="AK106" s="201"/>
      <c r="AL106" s="201"/>
      <c r="AM106" s="201"/>
      <c r="AN106" s="201"/>
      <c r="AO106" s="218" t="str">
        <f t="shared" si="21"/>
        <v>Belshina</v>
      </c>
      <c r="AP106" s="201" t="s">
        <v>458</v>
      </c>
      <c r="AQ106" s="201"/>
      <c r="AR106" s="201"/>
      <c r="AS106" s="213"/>
      <c r="AT106" s="213"/>
      <c r="AU106" s="476" t="str">
        <f t="shared" si="23"/>
        <v>Ok</v>
      </c>
      <c r="AV106" s="220">
        <v>46238</v>
      </c>
      <c r="AW106" s="221">
        <f t="shared" si="15"/>
        <v>13</v>
      </c>
      <c r="AX106" s="208">
        <f t="shared" si="16"/>
        <v>102</v>
      </c>
      <c r="AY106" s="222"/>
      <c r="AZ106" s="222"/>
      <c r="BA106" s="222"/>
      <c r="BB106" s="222"/>
      <c r="BC106" s="222"/>
      <c r="BD106" s="201"/>
      <c r="BE106" s="201"/>
      <c r="BF106" s="201"/>
      <c r="BG106" s="201"/>
      <c r="BH106" s="455">
        <v>46244</v>
      </c>
      <c r="BI106" s="215">
        <f t="shared" si="20"/>
        <v>13</v>
      </c>
      <c r="BJ106" s="208">
        <f t="shared" si="20"/>
        <v>102</v>
      </c>
      <c r="BK106" s="223">
        <v>10</v>
      </c>
      <c r="BL106" s="208">
        <v>78</v>
      </c>
      <c r="BM106" s="224" t="s">
        <v>222</v>
      </c>
      <c r="BN106" s="201"/>
      <c r="BO106" s="201"/>
      <c r="BP106" s="201"/>
    </row>
    <row r="107" spans="1:68" ht="15.5">
      <c r="A107" s="225">
        <v>6</v>
      </c>
      <c r="B107" s="204">
        <v>28</v>
      </c>
      <c r="C107" s="226">
        <v>46181</v>
      </c>
      <c r="D107" s="491">
        <f t="shared" si="17"/>
        <v>63</v>
      </c>
      <c r="E107" s="204" t="s">
        <v>75</v>
      </c>
      <c r="F107" s="205">
        <f t="shared" si="14"/>
        <v>46181</v>
      </c>
      <c r="G107" s="206" t="s">
        <v>175</v>
      </c>
      <c r="H107" s="207">
        <f t="shared" si="22"/>
        <v>46183</v>
      </c>
      <c r="I107" s="215">
        <v>13</v>
      </c>
      <c r="J107" s="208">
        <v>103</v>
      </c>
      <c r="K107" s="209">
        <v>0.11449999999999999</v>
      </c>
      <c r="L107" s="210">
        <v>0.29000000000000004</v>
      </c>
      <c r="M107" s="210">
        <v>0.31</v>
      </c>
      <c r="N107" s="211">
        <v>42.75</v>
      </c>
      <c r="O107" s="211">
        <f t="shared" si="18"/>
        <v>27.028687499999997</v>
      </c>
      <c r="P107" s="211">
        <v>63.224999999999994</v>
      </c>
      <c r="Q107" s="210">
        <v>0.19</v>
      </c>
      <c r="R107" s="212">
        <v>80</v>
      </c>
      <c r="S107" s="201" t="s">
        <v>486</v>
      </c>
      <c r="T107" s="201" t="s">
        <v>485</v>
      </c>
      <c r="U107" s="201"/>
      <c r="V107" s="300"/>
      <c r="W107" s="215">
        <f t="shared" si="19"/>
        <v>13</v>
      </c>
      <c r="X107" s="208">
        <f t="shared" si="19"/>
        <v>103</v>
      </c>
      <c r="Y107" s="209"/>
      <c r="Z107" s="210"/>
      <c r="AA107" s="210"/>
      <c r="AB107" s="211"/>
      <c r="AC107" s="211"/>
      <c r="AD107" s="211"/>
      <c r="AE107" s="210"/>
      <c r="AF107" s="212"/>
      <c r="AG107" s="201" t="s">
        <v>486</v>
      </c>
      <c r="AH107" s="201" t="s">
        <v>485</v>
      </c>
      <c r="AI107" s="297">
        <v>46238</v>
      </c>
      <c r="AJ107" s="201"/>
      <c r="AK107" s="201"/>
      <c r="AL107" s="201"/>
      <c r="AM107" s="201"/>
      <c r="AN107" s="201"/>
      <c r="AO107" s="218" t="str">
        <f t="shared" si="21"/>
        <v>Belshina</v>
      </c>
      <c r="AP107" s="201" t="s">
        <v>458</v>
      </c>
      <c r="AQ107" s="201"/>
      <c r="AR107" s="201"/>
      <c r="AS107" s="213"/>
      <c r="AT107" s="213"/>
      <c r="AU107" s="476" t="str">
        <f t="shared" si="23"/>
        <v>Ok</v>
      </c>
      <c r="AV107" s="220">
        <v>46238</v>
      </c>
      <c r="AW107" s="221">
        <f t="shared" si="15"/>
        <v>13</v>
      </c>
      <c r="AX107" s="208">
        <f t="shared" si="16"/>
        <v>103</v>
      </c>
      <c r="AY107" s="222"/>
      <c r="AZ107" s="222"/>
      <c r="BA107" s="222"/>
      <c r="BB107" s="222"/>
      <c r="BC107" s="222"/>
      <c r="BD107" s="201"/>
      <c r="BE107" s="201"/>
      <c r="BF107" s="201"/>
      <c r="BG107" s="201"/>
      <c r="BH107" s="455">
        <v>46244</v>
      </c>
      <c r="BI107" s="215">
        <f t="shared" si="20"/>
        <v>13</v>
      </c>
      <c r="BJ107" s="208">
        <f t="shared" si="20"/>
        <v>103</v>
      </c>
      <c r="BK107" s="223">
        <v>10</v>
      </c>
      <c r="BL107" s="208">
        <v>79</v>
      </c>
      <c r="BM107" s="224" t="s">
        <v>222</v>
      </c>
      <c r="BN107" s="201"/>
      <c r="BO107" s="201"/>
      <c r="BP107" s="201"/>
    </row>
    <row r="108" spans="1:68" ht="15.5">
      <c r="A108" s="225">
        <v>6</v>
      </c>
      <c r="B108" s="204" t="s">
        <v>780</v>
      </c>
      <c r="C108" s="226">
        <v>46182</v>
      </c>
      <c r="D108" s="491">
        <f t="shared" si="17"/>
        <v>62</v>
      </c>
      <c r="E108" s="204" t="s">
        <v>75</v>
      </c>
      <c r="F108" s="205">
        <f t="shared" si="14"/>
        <v>46182</v>
      </c>
      <c r="G108" s="206" t="s">
        <v>175</v>
      </c>
      <c r="H108" s="207">
        <f t="shared" si="22"/>
        <v>46184</v>
      </c>
      <c r="I108" s="215">
        <v>13</v>
      </c>
      <c r="J108" s="208">
        <v>104</v>
      </c>
      <c r="K108" s="209">
        <v>0.10975</v>
      </c>
      <c r="L108" s="210">
        <v>0.3125</v>
      </c>
      <c r="M108" s="210">
        <v>0.3</v>
      </c>
      <c r="N108" s="211">
        <v>45</v>
      </c>
      <c r="O108" s="211">
        <f t="shared" si="18"/>
        <v>28.743749999999999</v>
      </c>
      <c r="P108" s="211">
        <v>63.875</v>
      </c>
      <c r="Q108" s="210">
        <v>0.19</v>
      </c>
      <c r="R108" s="212">
        <v>80</v>
      </c>
      <c r="S108" s="201" t="s">
        <v>486</v>
      </c>
      <c r="T108" s="201" t="s">
        <v>485</v>
      </c>
      <c r="U108" s="201"/>
      <c r="V108" s="214">
        <v>46226</v>
      </c>
      <c r="W108" s="215">
        <f t="shared" si="19"/>
        <v>13</v>
      </c>
      <c r="X108" s="208">
        <f t="shared" si="19"/>
        <v>104</v>
      </c>
      <c r="Y108" s="209"/>
      <c r="Z108" s="210"/>
      <c r="AA108" s="210"/>
      <c r="AB108" s="211"/>
      <c r="AC108" s="211"/>
      <c r="AD108" s="211"/>
      <c r="AE108" s="210"/>
      <c r="AF108" s="212">
        <v>87</v>
      </c>
      <c r="AG108" s="201" t="s">
        <v>486</v>
      </c>
      <c r="AH108" s="201" t="s">
        <v>485</v>
      </c>
      <c r="AI108" s="297">
        <v>46204</v>
      </c>
      <c r="AJ108" s="201"/>
      <c r="AK108" s="201"/>
      <c r="AL108" s="201"/>
      <c r="AM108" s="201"/>
      <c r="AN108" s="201"/>
      <c r="AO108" s="218" t="str">
        <f t="shared" si="21"/>
        <v>Belshina</v>
      </c>
      <c r="AP108" s="201" t="s">
        <v>458</v>
      </c>
      <c r="AQ108" s="201"/>
      <c r="AR108" s="201"/>
      <c r="AS108" s="213"/>
      <c r="AT108" s="213"/>
      <c r="AU108" s="476" t="str">
        <f t="shared" si="23"/>
        <v>Ok</v>
      </c>
      <c r="AV108" s="220">
        <v>46204</v>
      </c>
      <c r="AW108" s="221">
        <f t="shared" si="15"/>
        <v>13</v>
      </c>
      <c r="AX108" s="208">
        <f t="shared" si="16"/>
        <v>104</v>
      </c>
      <c r="AY108" s="222"/>
      <c r="AZ108" s="222"/>
      <c r="BA108" s="222"/>
      <c r="BB108" s="222"/>
      <c r="BC108" s="222"/>
      <c r="BD108" s="201"/>
      <c r="BE108" s="201"/>
      <c r="BF108" s="201"/>
      <c r="BG108" s="201"/>
      <c r="BH108" s="455">
        <v>46244</v>
      </c>
      <c r="BI108" s="215">
        <f t="shared" si="20"/>
        <v>13</v>
      </c>
      <c r="BJ108" s="208">
        <f t="shared" si="20"/>
        <v>104</v>
      </c>
      <c r="BK108" s="223">
        <v>10</v>
      </c>
      <c r="BL108" s="208">
        <v>80</v>
      </c>
      <c r="BM108" s="224" t="s">
        <v>222</v>
      </c>
      <c r="BN108" s="201"/>
      <c r="BO108" s="201"/>
      <c r="BP108" s="201"/>
    </row>
    <row r="109" spans="1:68" ht="15.5">
      <c r="A109" s="225">
        <v>6</v>
      </c>
      <c r="B109" s="204">
        <v>29</v>
      </c>
      <c r="C109" s="226">
        <v>46182</v>
      </c>
      <c r="D109" s="491">
        <f t="shared" si="17"/>
        <v>84</v>
      </c>
      <c r="E109" s="204" t="s">
        <v>75</v>
      </c>
      <c r="F109" s="205">
        <f t="shared" si="14"/>
        <v>46182</v>
      </c>
      <c r="G109" s="206" t="s">
        <v>175</v>
      </c>
      <c r="H109" s="207">
        <f t="shared" si="22"/>
        <v>46184</v>
      </c>
      <c r="I109" s="215">
        <v>14</v>
      </c>
      <c r="J109" s="208">
        <v>105</v>
      </c>
      <c r="K109" s="209">
        <v>0.104</v>
      </c>
      <c r="L109" s="210">
        <v>0.34250000000000003</v>
      </c>
      <c r="M109" s="210">
        <v>0.32</v>
      </c>
      <c r="N109" s="211">
        <v>47.75</v>
      </c>
      <c r="O109" s="211">
        <f t="shared" si="18"/>
        <v>26.513187499999994</v>
      </c>
      <c r="P109" s="211">
        <v>55.524999999999991</v>
      </c>
      <c r="Q109" s="210">
        <v>0.22</v>
      </c>
      <c r="R109" s="212">
        <v>82</v>
      </c>
      <c r="S109" s="201" t="s">
        <v>486</v>
      </c>
      <c r="T109" s="201" t="s">
        <v>460</v>
      </c>
      <c r="U109" s="201" t="s">
        <v>63</v>
      </c>
      <c r="V109" s="214">
        <v>46226</v>
      </c>
      <c r="W109" s="215">
        <f t="shared" si="19"/>
        <v>14</v>
      </c>
      <c r="X109" s="208">
        <f t="shared" si="19"/>
        <v>105</v>
      </c>
      <c r="Y109" s="209"/>
      <c r="Z109" s="210"/>
      <c r="AA109" s="210"/>
      <c r="AB109" s="211"/>
      <c r="AC109" s="211"/>
      <c r="AD109" s="211"/>
      <c r="AE109" s="210"/>
      <c r="AF109" s="212">
        <v>87</v>
      </c>
      <c r="AG109" s="201" t="s">
        <v>486</v>
      </c>
      <c r="AH109" s="201" t="s">
        <v>485</v>
      </c>
      <c r="AI109" s="297">
        <v>46237</v>
      </c>
      <c r="AJ109" s="201"/>
      <c r="AK109" s="201"/>
      <c r="AL109" s="201"/>
      <c r="AM109" s="201"/>
      <c r="AN109" s="201"/>
      <c r="AO109" s="218" t="str">
        <f t="shared" si="21"/>
        <v>Belshina</v>
      </c>
      <c r="AP109" s="201" t="s">
        <v>458</v>
      </c>
      <c r="AQ109" s="201"/>
      <c r="AR109" s="201"/>
      <c r="AS109" s="213"/>
      <c r="AT109" s="213"/>
      <c r="AU109" s="476" t="str">
        <f t="shared" si="23"/>
        <v>Ok</v>
      </c>
      <c r="AV109" s="220">
        <v>46237</v>
      </c>
      <c r="AW109" s="221">
        <f t="shared" si="15"/>
        <v>14</v>
      </c>
      <c r="AX109" s="208">
        <f t="shared" si="16"/>
        <v>105</v>
      </c>
      <c r="AY109" s="222"/>
      <c r="AZ109" s="222"/>
      <c r="BA109" s="222"/>
      <c r="BB109" s="222"/>
      <c r="BC109" s="222"/>
      <c r="BD109" s="201"/>
      <c r="BE109" s="201"/>
      <c r="BF109" s="219" t="s">
        <v>496</v>
      </c>
      <c r="BG109" s="219" t="s">
        <v>497</v>
      </c>
      <c r="BH109" s="455">
        <v>46266</v>
      </c>
      <c r="BI109" s="215">
        <f t="shared" si="20"/>
        <v>14</v>
      </c>
      <c r="BJ109" s="208">
        <f t="shared" si="20"/>
        <v>105</v>
      </c>
      <c r="BK109" s="223">
        <v>19</v>
      </c>
      <c r="BL109" s="208">
        <v>163</v>
      </c>
      <c r="BM109" s="224" t="s">
        <v>222</v>
      </c>
      <c r="BN109" s="201"/>
      <c r="BO109" s="201"/>
      <c r="BP109" s="201"/>
    </row>
    <row r="110" spans="1:68" ht="15.5">
      <c r="A110" s="225">
        <v>6</v>
      </c>
      <c r="B110" s="204">
        <v>29</v>
      </c>
      <c r="C110" s="226">
        <v>46182</v>
      </c>
      <c r="D110" s="491">
        <f t="shared" si="17"/>
        <v>62</v>
      </c>
      <c r="E110" s="204" t="s">
        <v>75</v>
      </c>
      <c r="F110" s="205">
        <f t="shared" si="14"/>
        <v>46182</v>
      </c>
      <c r="G110" s="206" t="s">
        <v>175</v>
      </c>
      <c r="H110" s="207">
        <f t="shared" si="22"/>
        <v>46184</v>
      </c>
      <c r="I110" s="215">
        <v>14</v>
      </c>
      <c r="J110" s="208">
        <v>106</v>
      </c>
      <c r="K110" s="209">
        <v>0.105</v>
      </c>
      <c r="L110" s="210">
        <v>0.33</v>
      </c>
      <c r="M110" s="210">
        <v>0.35</v>
      </c>
      <c r="N110" s="211">
        <v>48.5</v>
      </c>
      <c r="O110" s="211">
        <f t="shared" si="18"/>
        <v>27.754124999999998</v>
      </c>
      <c r="P110" s="211">
        <v>57.224999999999994</v>
      </c>
      <c r="Q110" s="210">
        <v>0.22</v>
      </c>
      <c r="R110" s="212">
        <v>82</v>
      </c>
      <c r="S110" s="201" t="s">
        <v>486</v>
      </c>
      <c r="T110" s="201" t="s">
        <v>460</v>
      </c>
      <c r="U110" s="201" t="s">
        <v>63</v>
      </c>
      <c r="V110" s="214">
        <v>46226</v>
      </c>
      <c r="W110" s="215">
        <f t="shared" si="19"/>
        <v>14</v>
      </c>
      <c r="X110" s="208">
        <f t="shared" si="19"/>
        <v>106</v>
      </c>
      <c r="Y110" s="209"/>
      <c r="Z110" s="210"/>
      <c r="AA110" s="210"/>
      <c r="AB110" s="211"/>
      <c r="AC110" s="211"/>
      <c r="AD110" s="211"/>
      <c r="AE110" s="210"/>
      <c r="AF110" s="212">
        <v>83</v>
      </c>
      <c r="AG110" s="201" t="s">
        <v>486</v>
      </c>
      <c r="AH110" s="201" t="s">
        <v>485</v>
      </c>
      <c r="AI110" s="297">
        <v>46198</v>
      </c>
      <c r="AJ110" s="201"/>
      <c r="AK110" s="201"/>
      <c r="AL110" s="201"/>
      <c r="AM110" s="201"/>
      <c r="AN110" s="201"/>
      <c r="AO110" s="218" t="str">
        <f t="shared" si="21"/>
        <v>Belshina</v>
      </c>
      <c r="AP110" s="201" t="s">
        <v>458</v>
      </c>
      <c r="AQ110" s="201"/>
      <c r="AR110" s="201"/>
      <c r="AS110" s="213"/>
      <c r="AT110" s="213"/>
      <c r="AU110" s="476" t="str">
        <f t="shared" si="23"/>
        <v>Ok</v>
      </c>
      <c r="AV110" s="220">
        <v>46198</v>
      </c>
      <c r="AW110" s="221">
        <f t="shared" si="15"/>
        <v>14</v>
      </c>
      <c r="AX110" s="208">
        <f t="shared" si="16"/>
        <v>106</v>
      </c>
      <c r="AY110" s="222"/>
      <c r="AZ110" s="222"/>
      <c r="BA110" s="222"/>
      <c r="BB110" s="222"/>
      <c r="BC110" s="222"/>
      <c r="BD110" s="201"/>
      <c r="BE110" s="201"/>
      <c r="BF110" s="201"/>
      <c r="BG110" s="201"/>
      <c r="BH110" s="455">
        <v>46244</v>
      </c>
      <c r="BI110" s="215">
        <f t="shared" si="20"/>
        <v>14</v>
      </c>
      <c r="BJ110" s="208">
        <f t="shared" si="20"/>
        <v>106</v>
      </c>
      <c r="BK110" s="223">
        <v>11</v>
      </c>
      <c r="BL110" s="208">
        <v>87</v>
      </c>
      <c r="BM110" s="224" t="s">
        <v>222</v>
      </c>
      <c r="BN110" s="201"/>
      <c r="BO110" s="201"/>
      <c r="BP110" s="201"/>
    </row>
    <row r="111" spans="1:68" ht="15.5">
      <c r="A111" s="225">
        <v>6</v>
      </c>
      <c r="B111" s="204">
        <v>29</v>
      </c>
      <c r="C111" s="226">
        <v>46182</v>
      </c>
      <c r="D111" s="491">
        <f t="shared" si="17"/>
        <v>66</v>
      </c>
      <c r="E111" s="204" t="s">
        <v>75</v>
      </c>
      <c r="F111" s="205">
        <f t="shared" si="14"/>
        <v>46182</v>
      </c>
      <c r="G111" s="206" t="s">
        <v>175</v>
      </c>
      <c r="H111" s="207">
        <f t="shared" si="22"/>
        <v>46184</v>
      </c>
      <c r="I111" s="215">
        <v>14</v>
      </c>
      <c r="J111" s="208">
        <v>107</v>
      </c>
      <c r="K111" s="209">
        <v>0.10425</v>
      </c>
      <c r="L111" s="210">
        <v>0.3125</v>
      </c>
      <c r="M111" s="210">
        <v>0.37</v>
      </c>
      <c r="N111" s="211">
        <v>49</v>
      </c>
      <c r="O111" s="211">
        <f t="shared" si="18"/>
        <v>30.000249999999998</v>
      </c>
      <c r="P111" s="211">
        <v>61.224999999999994</v>
      </c>
      <c r="Q111" s="210">
        <v>0.22</v>
      </c>
      <c r="R111" s="212">
        <v>82</v>
      </c>
      <c r="S111" s="201" t="s">
        <v>486</v>
      </c>
      <c r="T111" s="201" t="s">
        <v>485</v>
      </c>
      <c r="U111" s="201"/>
      <c r="V111" s="300"/>
      <c r="W111" s="215">
        <f t="shared" si="19"/>
        <v>14</v>
      </c>
      <c r="X111" s="208">
        <f t="shared" si="19"/>
        <v>107</v>
      </c>
      <c r="Y111" s="209"/>
      <c r="Z111" s="210"/>
      <c r="AA111" s="210"/>
      <c r="AB111" s="211"/>
      <c r="AC111" s="211"/>
      <c r="AD111" s="211"/>
      <c r="AE111" s="210"/>
      <c r="AF111" s="212"/>
      <c r="AG111" s="201" t="s">
        <v>486</v>
      </c>
      <c r="AH111" s="201" t="s">
        <v>485</v>
      </c>
      <c r="AI111" s="297"/>
      <c r="AJ111" s="201"/>
      <c r="AK111" s="201"/>
      <c r="AL111" s="201"/>
      <c r="AM111" s="201"/>
      <c r="AN111" s="201"/>
      <c r="AO111" s="218" t="str">
        <f t="shared" si="21"/>
        <v>Belshina</v>
      </c>
      <c r="AP111" s="201" t="s">
        <v>458</v>
      </c>
      <c r="AQ111" s="201"/>
      <c r="AR111" s="201"/>
      <c r="AS111" s="213"/>
      <c r="AT111" s="213"/>
      <c r="AU111" s="476" t="str">
        <f t="shared" si="23"/>
        <v>Ok</v>
      </c>
      <c r="AV111" s="220"/>
      <c r="AW111" s="221">
        <f t="shared" si="15"/>
        <v>14</v>
      </c>
      <c r="AX111" s="208">
        <f t="shared" si="16"/>
        <v>107</v>
      </c>
      <c r="AY111" s="222"/>
      <c r="AZ111" s="222"/>
      <c r="BA111" s="222"/>
      <c r="BB111" s="222"/>
      <c r="BC111" s="222"/>
      <c r="BD111" s="201"/>
      <c r="BE111" s="201"/>
      <c r="BF111" s="201"/>
      <c r="BG111" s="201"/>
      <c r="BH111" s="455">
        <v>46248</v>
      </c>
      <c r="BI111" s="215">
        <f t="shared" si="20"/>
        <v>14</v>
      </c>
      <c r="BJ111" s="208">
        <f t="shared" si="20"/>
        <v>107</v>
      </c>
      <c r="BK111" s="223">
        <v>13</v>
      </c>
      <c r="BL111" s="208">
        <v>105</v>
      </c>
      <c r="BM111" s="224" t="s">
        <v>222</v>
      </c>
      <c r="BN111" s="201"/>
      <c r="BO111" s="201"/>
      <c r="BP111" s="201"/>
    </row>
    <row r="112" spans="1:68" ht="15.5">
      <c r="A112" s="225">
        <v>6</v>
      </c>
      <c r="B112" s="204">
        <v>29</v>
      </c>
      <c r="C112" s="226">
        <v>46182</v>
      </c>
      <c r="D112" s="491">
        <f t="shared" si="17"/>
        <v>62</v>
      </c>
      <c r="E112" s="204" t="s">
        <v>75</v>
      </c>
      <c r="F112" s="205">
        <f t="shared" si="14"/>
        <v>46182</v>
      </c>
      <c r="G112" s="206" t="s">
        <v>175</v>
      </c>
      <c r="H112" s="207">
        <f t="shared" si="22"/>
        <v>46184</v>
      </c>
      <c r="I112" s="215">
        <v>14</v>
      </c>
      <c r="J112" s="208">
        <v>108</v>
      </c>
      <c r="K112" s="209">
        <v>0.10475</v>
      </c>
      <c r="L112" s="210">
        <v>0.31</v>
      </c>
      <c r="M112" s="210">
        <v>0.36</v>
      </c>
      <c r="N112" s="211">
        <v>47.25</v>
      </c>
      <c r="O112" s="211">
        <f t="shared" si="18"/>
        <v>29.24775</v>
      </c>
      <c r="P112" s="211">
        <v>61.9</v>
      </c>
      <c r="Q112" s="210">
        <v>0.22</v>
      </c>
      <c r="R112" s="212">
        <v>82</v>
      </c>
      <c r="S112" s="201" t="s">
        <v>486</v>
      </c>
      <c r="T112" s="201" t="s">
        <v>485</v>
      </c>
      <c r="U112" s="201"/>
      <c r="V112" s="214">
        <v>46226</v>
      </c>
      <c r="W112" s="215">
        <f t="shared" si="19"/>
        <v>14</v>
      </c>
      <c r="X112" s="208">
        <f t="shared" si="19"/>
        <v>108</v>
      </c>
      <c r="Y112" s="209"/>
      <c r="Z112" s="210"/>
      <c r="AA112" s="210"/>
      <c r="AB112" s="211"/>
      <c r="AC112" s="211"/>
      <c r="AD112" s="211"/>
      <c r="AE112" s="210"/>
      <c r="AF112" s="212">
        <v>89</v>
      </c>
      <c r="AG112" s="201" t="s">
        <v>486</v>
      </c>
      <c r="AH112" s="201" t="s">
        <v>485</v>
      </c>
      <c r="AI112" s="297">
        <v>46238</v>
      </c>
      <c r="AJ112" s="201"/>
      <c r="AK112" s="201"/>
      <c r="AL112" s="201"/>
      <c r="AM112" s="201"/>
      <c r="AN112" s="201"/>
      <c r="AO112" s="218" t="str">
        <f t="shared" si="21"/>
        <v>Belshina</v>
      </c>
      <c r="AP112" s="201" t="s">
        <v>458</v>
      </c>
      <c r="AQ112" s="201"/>
      <c r="AR112" s="201"/>
      <c r="AS112" s="213"/>
      <c r="AT112" s="213"/>
      <c r="AU112" s="476" t="str">
        <f t="shared" si="23"/>
        <v>Ok</v>
      </c>
      <c r="AV112" s="220">
        <v>46238</v>
      </c>
      <c r="AW112" s="221">
        <f t="shared" si="15"/>
        <v>14</v>
      </c>
      <c r="AX112" s="208">
        <f t="shared" si="16"/>
        <v>108</v>
      </c>
      <c r="AY112" s="222"/>
      <c r="AZ112" s="222"/>
      <c r="BA112" s="222"/>
      <c r="BB112" s="222"/>
      <c r="BC112" s="222"/>
      <c r="BD112" s="201"/>
      <c r="BE112" s="201"/>
      <c r="BF112" s="201"/>
      <c r="BG112" s="201"/>
      <c r="BH112" s="455">
        <v>46244</v>
      </c>
      <c r="BI112" s="215">
        <f t="shared" si="20"/>
        <v>14</v>
      </c>
      <c r="BJ112" s="208">
        <f t="shared" si="20"/>
        <v>108</v>
      </c>
      <c r="BK112" s="223">
        <v>11</v>
      </c>
      <c r="BL112" s="208">
        <v>88</v>
      </c>
      <c r="BM112" s="224" t="s">
        <v>222</v>
      </c>
      <c r="BN112" s="201"/>
      <c r="BO112" s="201"/>
      <c r="BP112" s="201"/>
    </row>
    <row r="113" spans="1:68" ht="15.5">
      <c r="A113" s="225">
        <v>6</v>
      </c>
      <c r="B113" s="204">
        <v>29</v>
      </c>
      <c r="C113" s="226">
        <v>46182</v>
      </c>
      <c r="D113" s="491">
        <f t="shared" si="17"/>
        <v>62</v>
      </c>
      <c r="E113" s="204" t="s">
        <v>75</v>
      </c>
      <c r="F113" s="205">
        <f t="shared" si="14"/>
        <v>46182</v>
      </c>
      <c r="G113" s="206" t="s">
        <v>175</v>
      </c>
      <c r="H113" s="207">
        <f t="shared" si="22"/>
        <v>46184</v>
      </c>
      <c r="I113" s="215">
        <v>14</v>
      </c>
      <c r="J113" s="208">
        <v>109</v>
      </c>
      <c r="K113" s="209">
        <v>0.1045</v>
      </c>
      <c r="L113" s="210">
        <v>0.31</v>
      </c>
      <c r="M113" s="210">
        <v>0.31</v>
      </c>
      <c r="N113" s="211">
        <v>44.75</v>
      </c>
      <c r="O113" s="211">
        <f t="shared" si="18"/>
        <v>27.823312500000007</v>
      </c>
      <c r="P113" s="211">
        <v>62.175000000000011</v>
      </c>
      <c r="Q113" s="210">
        <v>0.22</v>
      </c>
      <c r="R113" s="212">
        <v>82</v>
      </c>
      <c r="S113" s="201" t="s">
        <v>486</v>
      </c>
      <c r="T113" s="201" t="s">
        <v>485</v>
      </c>
      <c r="U113" s="201"/>
      <c r="V113" s="214">
        <v>46226</v>
      </c>
      <c r="W113" s="215">
        <f t="shared" si="19"/>
        <v>14</v>
      </c>
      <c r="X113" s="208">
        <f t="shared" si="19"/>
        <v>109</v>
      </c>
      <c r="Y113" s="209"/>
      <c r="Z113" s="210"/>
      <c r="AA113" s="210"/>
      <c r="AB113" s="211"/>
      <c r="AC113" s="211"/>
      <c r="AD113" s="211"/>
      <c r="AE113" s="210"/>
      <c r="AF113" s="212">
        <v>90</v>
      </c>
      <c r="AG113" s="201" t="s">
        <v>486</v>
      </c>
      <c r="AH113" s="201" t="s">
        <v>485</v>
      </c>
      <c r="AI113" s="297">
        <v>46238</v>
      </c>
      <c r="AJ113" s="201"/>
      <c r="AK113" s="201"/>
      <c r="AL113" s="201"/>
      <c r="AM113" s="201"/>
      <c r="AN113" s="201"/>
      <c r="AO113" s="218" t="str">
        <f t="shared" si="21"/>
        <v>Belshina</v>
      </c>
      <c r="AP113" s="201" t="s">
        <v>458</v>
      </c>
      <c r="AQ113" s="201"/>
      <c r="AR113" s="201"/>
      <c r="AS113" s="213"/>
      <c r="AT113" s="213"/>
      <c r="AU113" s="476" t="str">
        <f t="shared" si="23"/>
        <v>Ok</v>
      </c>
      <c r="AV113" s="220">
        <v>46238</v>
      </c>
      <c r="AW113" s="221">
        <f t="shared" si="15"/>
        <v>14</v>
      </c>
      <c r="AX113" s="208">
        <f t="shared" si="16"/>
        <v>109</v>
      </c>
      <c r="AY113" s="222"/>
      <c r="AZ113" s="222"/>
      <c r="BA113" s="222"/>
      <c r="BB113" s="222"/>
      <c r="BC113" s="222"/>
      <c r="BD113" s="201"/>
      <c r="BE113" s="201"/>
      <c r="BF113" s="201"/>
      <c r="BG113" s="201"/>
      <c r="BH113" s="455">
        <v>46244</v>
      </c>
      <c r="BI113" s="215">
        <f t="shared" si="20"/>
        <v>14</v>
      </c>
      <c r="BJ113" s="208">
        <f t="shared" si="20"/>
        <v>109</v>
      </c>
      <c r="BK113" s="223">
        <v>11</v>
      </c>
      <c r="BL113" s="208">
        <v>89</v>
      </c>
      <c r="BM113" s="224" t="s">
        <v>222</v>
      </c>
      <c r="BN113" s="201"/>
      <c r="BO113" s="201"/>
      <c r="BP113" s="201"/>
    </row>
    <row r="114" spans="1:68" ht="15.5">
      <c r="A114" s="225">
        <v>6</v>
      </c>
      <c r="B114" s="204">
        <v>29</v>
      </c>
      <c r="C114" s="226">
        <v>46182</v>
      </c>
      <c r="D114" s="491">
        <f t="shared" si="17"/>
        <v>62</v>
      </c>
      <c r="E114" s="204" t="s">
        <v>75</v>
      </c>
      <c r="F114" s="205">
        <f t="shared" si="14"/>
        <v>46182</v>
      </c>
      <c r="G114" s="206" t="s">
        <v>175</v>
      </c>
      <c r="H114" s="207">
        <f t="shared" si="22"/>
        <v>46184</v>
      </c>
      <c r="I114" s="215">
        <v>14</v>
      </c>
      <c r="J114" s="208">
        <v>110</v>
      </c>
      <c r="K114" s="209">
        <v>0.11499999999999999</v>
      </c>
      <c r="L114" s="210">
        <v>0.30500000000000005</v>
      </c>
      <c r="M114" s="210">
        <v>0.31</v>
      </c>
      <c r="N114" s="211">
        <v>41.5</v>
      </c>
      <c r="O114" s="211">
        <f t="shared" si="18"/>
        <v>23.966249999999999</v>
      </c>
      <c r="P114" s="211">
        <v>57.75</v>
      </c>
      <c r="Q114" s="210">
        <v>0.22</v>
      </c>
      <c r="R114" s="212">
        <v>82</v>
      </c>
      <c r="S114" s="201" t="s">
        <v>486</v>
      </c>
      <c r="T114" s="201" t="s">
        <v>460</v>
      </c>
      <c r="U114" s="201" t="s">
        <v>63</v>
      </c>
      <c r="V114" s="300"/>
      <c r="W114" s="215">
        <f t="shared" si="19"/>
        <v>14</v>
      </c>
      <c r="X114" s="208">
        <f t="shared" si="19"/>
        <v>110</v>
      </c>
      <c r="Y114" s="209"/>
      <c r="Z114" s="210"/>
      <c r="AA114" s="210"/>
      <c r="AB114" s="211"/>
      <c r="AC114" s="211"/>
      <c r="AD114" s="211"/>
      <c r="AE114" s="210"/>
      <c r="AF114" s="212"/>
      <c r="AG114" s="201" t="s">
        <v>486</v>
      </c>
      <c r="AH114" s="201" t="s">
        <v>485</v>
      </c>
      <c r="AI114" s="297">
        <v>46239</v>
      </c>
      <c r="AJ114" s="201"/>
      <c r="AK114" s="201"/>
      <c r="AL114" s="201"/>
      <c r="AM114" s="201"/>
      <c r="AN114" s="201"/>
      <c r="AO114" s="218" t="str">
        <f t="shared" si="21"/>
        <v>Belshina</v>
      </c>
      <c r="AP114" s="201" t="s">
        <v>458</v>
      </c>
      <c r="AQ114" s="201"/>
      <c r="AR114" s="201"/>
      <c r="AS114" s="213"/>
      <c r="AT114" s="213"/>
      <c r="AU114" s="476" t="str">
        <f t="shared" si="23"/>
        <v>Ok</v>
      </c>
      <c r="AV114" s="220">
        <v>46234</v>
      </c>
      <c r="AW114" s="221">
        <f t="shared" si="15"/>
        <v>14</v>
      </c>
      <c r="AX114" s="208">
        <f t="shared" si="16"/>
        <v>110</v>
      </c>
      <c r="AY114" s="222"/>
      <c r="AZ114" s="222"/>
      <c r="BA114" s="222"/>
      <c r="BB114" s="222"/>
      <c r="BC114" s="222"/>
      <c r="BD114" s="201"/>
      <c r="BE114" s="201"/>
      <c r="BF114" s="219" t="s">
        <v>496</v>
      </c>
      <c r="BG114" s="219" t="s">
        <v>497</v>
      </c>
      <c r="BH114" s="455">
        <v>46244</v>
      </c>
      <c r="BI114" s="215">
        <f t="shared" si="20"/>
        <v>14</v>
      </c>
      <c r="BJ114" s="208">
        <f t="shared" si="20"/>
        <v>110</v>
      </c>
      <c r="BK114" s="223">
        <v>10</v>
      </c>
      <c r="BL114" s="208">
        <v>81</v>
      </c>
      <c r="BM114" s="224" t="s">
        <v>222</v>
      </c>
      <c r="BN114" s="201" t="s">
        <v>498</v>
      </c>
      <c r="BO114" s="262" t="s">
        <v>458</v>
      </c>
      <c r="BP114" s="201" t="s">
        <v>499</v>
      </c>
    </row>
    <row r="115" spans="1:68" s="550" customFormat="1" ht="15.5">
      <c r="A115" s="274">
        <v>6</v>
      </c>
      <c r="B115" s="275">
        <v>30</v>
      </c>
      <c r="C115" s="276">
        <v>46183</v>
      </c>
      <c r="D115" s="491">
        <f t="shared" si="17"/>
        <v>61</v>
      </c>
      <c r="E115" s="275" t="s">
        <v>75</v>
      </c>
      <c r="F115" s="277">
        <f t="shared" si="14"/>
        <v>46183</v>
      </c>
      <c r="G115" s="278" t="s">
        <v>175</v>
      </c>
      <c r="H115" s="279">
        <f t="shared" si="22"/>
        <v>46185</v>
      </c>
      <c r="I115" s="287">
        <v>14</v>
      </c>
      <c r="J115" s="280">
        <v>111</v>
      </c>
      <c r="K115" s="281">
        <v>0.1125</v>
      </c>
      <c r="L115" s="282">
        <v>0.32750000000000001</v>
      </c>
      <c r="M115" s="282">
        <v>0.33</v>
      </c>
      <c r="N115" s="283">
        <v>47.75</v>
      </c>
      <c r="O115" s="283">
        <f t="shared" si="18"/>
        <v>26.978750000000002</v>
      </c>
      <c r="P115" s="283">
        <v>56.5</v>
      </c>
      <c r="Q115" s="282">
        <v>0.22</v>
      </c>
      <c r="R115" s="284">
        <v>82</v>
      </c>
      <c r="S115" s="285" t="s">
        <v>486</v>
      </c>
      <c r="T115" s="285" t="s">
        <v>460</v>
      </c>
      <c r="U115" s="285" t="s">
        <v>63</v>
      </c>
      <c r="V115" s="340"/>
      <c r="W115" s="287">
        <f t="shared" si="19"/>
        <v>14</v>
      </c>
      <c r="X115" s="280">
        <f t="shared" si="19"/>
        <v>111</v>
      </c>
      <c r="Y115" s="281"/>
      <c r="Z115" s="282"/>
      <c r="AA115" s="282">
        <v>0.55000000000000004</v>
      </c>
      <c r="AB115" s="283"/>
      <c r="AC115" s="283"/>
      <c r="AD115" s="283"/>
      <c r="AE115" s="282"/>
      <c r="AF115" s="284"/>
      <c r="AG115" s="285"/>
      <c r="AH115" s="285" t="s">
        <v>459</v>
      </c>
      <c r="AI115" s="340">
        <v>46239</v>
      </c>
      <c r="AJ115" s="285"/>
      <c r="AK115" s="285"/>
      <c r="AL115" s="289" t="s">
        <v>222</v>
      </c>
      <c r="AM115" s="289"/>
      <c r="AN115" s="285"/>
      <c r="AO115" s="290"/>
      <c r="AP115" s="285" t="s">
        <v>459</v>
      </c>
      <c r="AQ115" s="285" t="s">
        <v>471</v>
      </c>
      <c r="AR115" s="285" t="s">
        <v>549</v>
      </c>
      <c r="AS115" s="291"/>
      <c r="AT115" s="291"/>
      <c r="AU115" s="476" t="str">
        <f t="shared" si="23"/>
        <v>Reject</v>
      </c>
      <c r="AV115" s="292">
        <v>46217</v>
      </c>
      <c r="AW115" s="293">
        <f t="shared" si="15"/>
        <v>14</v>
      </c>
      <c r="AX115" s="280">
        <f t="shared" si="16"/>
        <v>111</v>
      </c>
      <c r="AY115" s="294"/>
      <c r="AZ115" s="294"/>
      <c r="BA115" s="294" t="s">
        <v>222</v>
      </c>
      <c r="BB115" s="294"/>
      <c r="BC115" s="294"/>
      <c r="BD115" s="285" t="s">
        <v>459</v>
      </c>
      <c r="BE115" s="285" t="s">
        <v>471</v>
      </c>
      <c r="BF115" s="219" t="s">
        <v>496</v>
      </c>
      <c r="BG115" s="219" t="s">
        <v>497</v>
      </c>
      <c r="BH115" s="455">
        <v>46244</v>
      </c>
      <c r="BI115" s="287">
        <f t="shared" si="20"/>
        <v>14</v>
      </c>
      <c r="BJ115" s="280">
        <f t="shared" si="20"/>
        <v>111</v>
      </c>
      <c r="BK115" s="295">
        <v>11</v>
      </c>
      <c r="BL115" s="280">
        <v>90</v>
      </c>
      <c r="BM115" s="224" t="s">
        <v>222</v>
      </c>
      <c r="BN115" s="201" t="s">
        <v>498</v>
      </c>
      <c r="BO115" s="285" t="s">
        <v>458</v>
      </c>
      <c r="BP115" s="201" t="s">
        <v>499</v>
      </c>
    </row>
    <row r="116" spans="1:68" ht="15.5">
      <c r="A116" s="225">
        <v>6</v>
      </c>
      <c r="B116" s="204">
        <v>30</v>
      </c>
      <c r="C116" s="226">
        <v>46183</v>
      </c>
      <c r="D116" s="491">
        <f t="shared" si="17"/>
        <v>61</v>
      </c>
      <c r="E116" s="204" t="s">
        <v>75</v>
      </c>
      <c r="F116" s="205">
        <f t="shared" si="14"/>
        <v>46183</v>
      </c>
      <c r="G116" s="206" t="s">
        <v>175</v>
      </c>
      <c r="H116" s="207">
        <f t="shared" si="22"/>
        <v>46185</v>
      </c>
      <c r="I116" s="215">
        <v>14</v>
      </c>
      <c r="J116" s="208">
        <v>112</v>
      </c>
      <c r="K116" s="209">
        <v>0.10925</v>
      </c>
      <c r="L116" s="210">
        <v>0.3125</v>
      </c>
      <c r="M116" s="210">
        <v>0.35</v>
      </c>
      <c r="N116" s="211">
        <v>45.75</v>
      </c>
      <c r="O116" s="211">
        <f t="shared" si="18"/>
        <v>28.68525</v>
      </c>
      <c r="P116" s="211">
        <v>62.7</v>
      </c>
      <c r="Q116" s="210">
        <v>0.22</v>
      </c>
      <c r="R116" s="212">
        <v>82</v>
      </c>
      <c r="S116" s="201" t="s">
        <v>486</v>
      </c>
      <c r="T116" s="201" t="s">
        <v>485</v>
      </c>
      <c r="U116" s="201"/>
      <c r="V116" s="300"/>
      <c r="W116" s="215">
        <f t="shared" si="19"/>
        <v>14</v>
      </c>
      <c r="X116" s="208">
        <f t="shared" si="19"/>
        <v>112</v>
      </c>
      <c r="Y116" s="209"/>
      <c r="Z116" s="210"/>
      <c r="AA116" s="210"/>
      <c r="AB116" s="211"/>
      <c r="AC116" s="211"/>
      <c r="AD116" s="211"/>
      <c r="AE116" s="210"/>
      <c r="AF116" s="212"/>
      <c r="AG116" s="201" t="s">
        <v>486</v>
      </c>
      <c r="AH116" s="201" t="s">
        <v>485</v>
      </c>
      <c r="AI116" s="297">
        <v>46233</v>
      </c>
      <c r="AJ116" s="201"/>
      <c r="AK116" s="201"/>
      <c r="AL116" s="201"/>
      <c r="AM116" s="201"/>
      <c r="AN116" s="201"/>
      <c r="AO116" s="218" t="str">
        <f t="shared" si="21"/>
        <v>Belshina</v>
      </c>
      <c r="AP116" s="201" t="s">
        <v>458</v>
      </c>
      <c r="AQ116" s="201"/>
      <c r="AR116" s="201"/>
      <c r="AS116" s="213"/>
      <c r="AT116" s="213"/>
      <c r="AU116" s="476" t="str">
        <f t="shared" si="23"/>
        <v>Ok</v>
      </c>
      <c r="AV116" s="220">
        <v>46233</v>
      </c>
      <c r="AW116" s="221">
        <f t="shared" si="15"/>
        <v>14</v>
      </c>
      <c r="AX116" s="208">
        <f t="shared" si="16"/>
        <v>112</v>
      </c>
      <c r="AY116" s="222"/>
      <c r="AZ116" s="222"/>
      <c r="BA116" s="222"/>
      <c r="BB116" s="222"/>
      <c r="BC116" s="222"/>
      <c r="BD116" s="201"/>
      <c r="BE116" s="201"/>
      <c r="BF116" s="201"/>
      <c r="BG116" s="201"/>
      <c r="BH116" s="455">
        <v>46244</v>
      </c>
      <c r="BI116" s="215">
        <f t="shared" si="20"/>
        <v>14</v>
      </c>
      <c r="BJ116" s="208">
        <f t="shared" si="20"/>
        <v>112</v>
      </c>
      <c r="BK116" s="223">
        <v>11</v>
      </c>
      <c r="BL116" s="208">
        <v>91</v>
      </c>
      <c r="BM116" s="224" t="s">
        <v>222</v>
      </c>
      <c r="BN116" s="201"/>
      <c r="BO116" s="201"/>
      <c r="BP116" s="201"/>
    </row>
    <row r="117" spans="1:68" ht="15.5">
      <c r="A117" s="225">
        <v>6</v>
      </c>
      <c r="B117" s="204">
        <v>30</v>
      </c>
      <c r="C117" s="226">
        <v>46183</v>
      </c>
      <c r="D117" s="491">
        <f t="shared" si="17"/>
        <v>61</v>
      </c>
      <c r="E117" s="204" t="s">
        <v>75</v>
      </c>
      <c r="F117" s="205">
        <f t="shared" si="14"/>
        <v>46183</v>
      </c>
      <c r="G117" s="206" t="s">
        <v>175</v>
      </c>
      <c r="H117" s="207">
        <f t="shared" si="22"/>
        <v>46185</v>
      </c>
      <c r="I117" s="215">
        <v>15</v>
      </c>
      <c r="J117" s="208">
        <v>113</v>
      </c>
      <c r="K117" s="209">
        <v>0.11075</v>
      </c>
      <c r="L117" s="210">
        <v>0.32</v>
      </c>
      <c r="M117" s="210">
        <v>0.3</v>
      </c>
      <c r="N117" s="211">
        <v>47.25</v>
      </c>
      <c r="O117" s="211">
        <f t="shared" si="18"/>
        <v>29.495812499999996</v>
      </c>
      <c r="P117" s="211">
        <v>62.424999999999997</v>
      </c>
      <c r="Q117" s="210">
        <v>0.2</v>
      </c>
      <c r="R117" s="212">
        <v>84</v>
      </c>
      <c r="S117" s="201" t="s">
        <v>427</v>
      </c>
      <c r="T117" s="201" t="s">
        <v>485</v>
      </c>
      <c r="U117" s="201"/>
      <c r="V117" s="300"/>
      <c r="W117" s="215">
        <f t="shared" si="19"/>
        <v>15</v>
      </c>
      <c r="X117" s="208">
        <f t="shared" si="19"/>
        <v>113</v>
      </c>
      <c r="Y117" s="209"/>
      <c r="Z117" s="210"/>
      <c r="AA117" s="210"/>
      <c r="AB117" s="211"/>
      <c r="AC117" s="211"/>
      <c r="AD117" s="211"/>
      <c r="AE117" s="210"/>
      <c r="AF117" s="212"/>
      <c r="AG117" s="201" t="s">
        <v>427</v>
      </c>
      <c r="AH117" s="201" t="s">
        <v>485</v>
      </c>
      <c r="AI117" s="297">
        <v>46239</v>
      </c>
      <c r="AJ117" s="201"/>
      <c r="AK117" s="201"/>
      <c r="AL117" s="201"/>
      <c r="AM117" s="201"/>
      <c r="AN117" s="201"/>
      <c r="AO117" s="218" t="str">
        <f t="shared" si="21"/>
        <v>SNI</v>
      </c>
      <c r="AP117" s="201" t="s">
        <v>458</v>
      </c>
      <c r="AQ117" s="201"/>
      <c r="AR117" s="201"/>
      <c r="AS117" s="213"/>
      <c r="AT117" s="213"/>
      <c r="AU117" s="476" t="str">
        <f t="shared" si="23"/>
        <v>Ok</v>
      </c>
      <c r="AV117" s="220">
        <v>46234</v>
      </c>
      <c r="AW117" s="221">
        <f t="shared" si="15"/>
        <v>15</v>
      </c>
      <c r="AX117" s="208">
        <f t="shared" si="16"/>
        <v>113</v>
      </c>
      <c r="AY117" s="222"/>
      <c r="AZ117" s="222"/>
      <c r="BA117" s="222"/>
      <c r="BB117" s="222"/>
      <c r="BC117" s="222"/>
      <c r="BD117" s="201"/>
      <c r="BE117" s="201"/>
      <c r="BF117" s="219" t="s">
        <v>496</v>
      </c>
      <c r="BG117" s="219" t="s">
        <v>497</v>
      </c>
      <c r="BH117" s="455">
        <v>46244</v>
      </c>
      <c r="BI117" s="215">
        <f t="shared" si="20"/>
        <v>15</v>
      </c>
      <c r="BJ117" s="208">
        <f t="shared" si="20"/>
        <v>113</v>
      </c>
      <c r="BK117" s="223">
        <v>11</v>
      </c>
      <c r="BL117" s="208">
        <v>92</v>
      </c>
      <c r="BM117" s="224" t="s">
        <v>222</v>
      </c>
      <c r="BN117" s="201" t="s">
        <v>498</v>
      </c>
      <c r="BO117" s="262" t="s">
        <v>458</v>
      </c>
      <c r="BP117" s="201" t="s">
        <v>499</v>
      </c>
    </row>
    <row r="118" spans="1:68" ht="15.5">
      <c r="A118" s="225">
        <v>6</v>
      </c>
      <c r="B118" s="204">
        <v>30</v>
      </c>
      <c r="C118" s="226">
        <v>46183</v>
      </c>
      <c r="D118" s="491">
        <f t="shared" si="17"/>
        <v>61</v>
      </c>
      <c r="E118" s="204" t="s">
        <v>75</v>
      </c>
      <c r="F118" s="205">
        <f t="shared" si="14"/>
        <v>46183</v>
      </c>
      <c r="G118" s="206" t="s">
        <v>175</v>
      </c>
      <c r="H118" s="207">
        <f t="shared" si="22"/>
        <v>46185</v>
      </c>
      <c r="I118" s="215">
        <v>15</v>
      </c>
      <c r="J118" s="208">
        <v>114</v>
      </c>
      <c r="K118" s="209">
        <v>0.11075</v>
      </c>
      <c r="L118" s="210">
        <v>0.34</v>
      </c>
      <c r="M118" s="210">
        <v>0.35</v>
      </c>
      <c r="N118" s="211">
        <v>45.75</v>
      </c>
      <c r="O118" s="211">
        <f t="shared" si="18"/>
        <v>29.234250000000003</v>
      </c>
      <c r="P118" s="211">
        <v>63.900000000000006</v>
      </c>
      <c r="Q118" s="210">
        <v>0.2</v>
      </c>
      <c r="R118" s="212">
        <v>84</v>
      </c>
      <c r="S118" s="201" t="s">
        <v>427</v>
      </c>
      <c r="T118" s="201" t="s">
        <v>485</v>
      </c>
      <c r="U118" s="201"/>
      <c r="V118" s="300"/>
      <c r="W118" s="215">
        <f t="shared" si="19"/>
        <v>15</v>
      </c>
      <c r="X118" s="208">
        <f t="shared" si="19"/>
        <v>114</v>
      </c>
      <c r="Y118" s="209"/>
      <c r="Z118" s="210"/>
      <c r="AA118" s="210"/>
      <c r="AB118" s="211"/>
      <c r="AC118" s="211"/>
      <c r="AD118" s="211"/>
      <c r="AE118" s="210"/>
      <c r="AF118" s="212"/>
      <c r="AG118" s="201" t="s">
        <v>427</v>
      </c>
      <c r="AH118" s="201" t="s">
        <v>485</v>
      </c>
      <c r="AI118" s="297">
        <v>46232</v>
      </c>
      <c r="AJ118" s="201"/>
      <c r="AK118" s="201"/>
      <c r="AL118" s="201"/>
      <c r="AM118" s="201"/>
      <c r="AN118" s="201"/>
      <c r="AO118" s="218" t="str">
        <f t="shared" si="21"/>
        <v>SNI</v>
      </c>
      <c r="AP118" s="201" t="s">
        <v>458</v>
      </c>
      <c r="AQ118" s="201"/>
      <c r="AR118" s="201"/>
      <c r="AS118" s="213"/>
      <c r="AT118" s="213"/>
      <c r="AU118" s="476" t="str">
        <f t="shared" si="23"/>
        <v>Ok</v>
      </c>
      <c r="AV118" s="220">
        <v>46232</v>
      </c>
      <c r="AW118" s="221">
        <f t="shared" si="15"/>
        <v>15</v>
      </c>
      <c r="AX118" s="208">
        <f t="shared" si="16"/>
        <v>114</v>
      </c>
      <c r="AY118" s="222"/>
      <c r="AZ118" s="222"/>
      <c r="BA118" s="222"/>
      <c r="BB118" s="222"/>
      <c r="BC118" s="222"/>
      <c r="BD118" s="201"/>
      <c r="BE118" s="201"/>
      <c r="BF118" s="201"/>
      <c r="BG118" s="201"/>
      <c r="BH118" s="455">
        <v>46244</v>
      </c>
      <c r="BI118" s="215">
        <f t="shared" si="20"/>
        <v>15</v>
      </c>
      <c r="BJ118" s="208">
        <f t="shared" si="20"/>
        <v>114</v>
      </c>
      <c r="BK118" s="223">
        <v>11</v>
      </c>
      <c r="BL118" s="208">
        <v>93</v>
      </c>
      <c r="BM118" s="224" t="s">
        <v>222</v>
      </c>
      <c r="BN118" s="201"/>
      <c r="BO118" s="201"/>
      <c r="BP118" s="201"/>
    </row>
    <row r="119" spans="1:68" ht="15.5">
      <c r="A119" s="225">
        <v>6</v>
      </c>
      <c r="B119" s="204" t="s">
        <v>781</v>
      </c>
      <c r="C119" s="226">
        <v>46184</v>
      </c>
      <c r="D119" s="491">
        <f t="shared" si="17"/>
        <v>60</v>
      </c>
      <c r="E119" s="204" t="s">
        <v>75</v>
      </c>
      <c r="F119" s="205">
        <f t="shared" si="14"/>
        <v>46184</v>
      </c>
      <c r="G119" s="206" t="s">
        <v>175</v>
      </c>
      <c r="H119" s="207">
        <f t="shared" si="22"/>
        <v>46186</v>
      </c>
      <c r="I119" s="215">
        <v>15</v>
      </c>
      <c r="J119" s="208">
        <v>115</v>
      </c>
      <c r="K119" s="209">
        <v>0.10875</v>
      </c>
      <c r="L119" s="210">
        <v>0.32250000000000001</v>
      </c>
      <c r="M119" s="210">
        <v>0.33</v>
      </c>
      <c r="N119" s="211">
        <v>47.75</v>
      </c>
      <c r="O119" s="211">
        <f t="shared" si="18"/>
        <v>29.091687500000003</v>
      </c>
      <c r="P119" s="211">
        <v>60.925000000000004</v>
      </c>
      <c r="Q119" s="210">
        <v>0.2</v>
      </c>
      <c r="R119" s="212">
        <v>84</v>
      </c>
      <c r="S119" s="201" t="s">
        <v>427</v>
      </c>
      <c r="T119" s="201" t="s">
        <v>485</v>
      </c>
      <c r="U119" s="201"/>
      <c r="V119" s="300"/>
      <c r="W119" s="215">
        <f t="shared" si="19"/>
        <v>15</v>
      </c>
      <c r="X119" s="208">
        <f t="shared" si="19"/>
        <v>115</v>
      </c>
      <c r="Y119" s="209"/>
      <c r="Z119" s="210"/>
      <c r="AA119" s="210"/>
      <c r="AB119" s="211"/>
      <c r="AC119" s="211"/>
      <c r="AD119" s="211"/>
      <c r="AE119" s="210"/>
      <c r="AF119" s="212"/>
      <c r="AG119" s="201" t="s">
        <v>427</v>
      </c>
      <c r="AH119" s="201" t="s">
        <v>485</v>
      </c>
      <c r="AI119" s="297">
        <v>46239</v>
      </c>
      <c r="AJ119" s="201"/>
      <c r="AK119" s="201"/>
      <c r="AL119" s="201"/>
      <c r="AM119" s="201"/>
      <c r="AN119" s="201"/>
      <c r="AO119" s="218" t="str">
        <f t="shared" si="21"/>
        <v>SNI</v>
      </c>
      <c r="AP119" s="201" t="s">
        <v>458</v>
      </c>
      <c r="AQ119" s="201"/>
      <c r="AR119" s="201"/>
      <c r="AS119" s="213"/>
      <c r="AT119" s="213"/>
      <c r="AU119" s="476" t="str">
        <f t="shared" si="23"/>
        <v>Ok</v>
      </c>
      <c r="AV119" s="220">
        <v>46232</v>
      </c>
      <c r="AW119" s="221">
        <f t="shared" si="15"/>
        <v>15</v>
      </c>
      <c r="AX119" s="208">
        <f t="shared" si="16"/>
        <v>115</v>
      </c>
      <c r="AY119" s="222"/>
      <c r="AZ119" s="222"/>
      <c r="BA119" s="222"/>
      <c r="BB119" s="222"/>
      <c r="BC119" s="222"/>
      <c r="BD119" s="201"/>
      <c r="BE119" s="201"/>
      <c r="BF119" s="219" t="s">
        <v>496</v>
      </c>
      <c r="BG119" s="219" t="s">
        <v>497</v>
      </c>
      <c r="BH119" s="455">
        <v>46244</v>
      </c>
      <c r="BI119" s="215">
        <f t="shared" si="20"/>
        <v>15</v>
      </c>
      <c r="BJ119" s="208">
        <f t="shared" si="20"/>
        <v>115</v>
      </c>
      <c r="BK119" s="223">
        <v>10</v>
      </c>
      <c r="BL119" s="208">
        <v>82</v>
      </c>
      <c r="BM119" s="224" t="s">
        <v>222</v>
      </c>
      <c r="BN119" s="201" t="s">
        <v>498</v>
      </c>
      <c r="BO119" s="262" t="s">
        <v>458</v>
      </c>
      <c r="BP119" s="201" t="s">
        <v>499</v>
      </c>
    </row>
    <row r="120" spans="1:68" ht="15.5">
      <c r="A120" s="225">
        <v>6</v>
      </c>
      <c r="B120" s="204">
        <v>31</v>
      </c>
      <c r="C120" s="226">
        <v>46184</v>
      </c>
      <c r="D120" s="491">
        <f t="shared" si="17"/>
        <v>60</v>
      </c>
      <c r="E120" s="204" t="s">
        <v>75</v>
      </c>
      <c r="F120" s="205">
        <f t="shared" si="14"/>
        <v>46184</v>
      </c>
      <c r="G120" s="206" t="s">
        <v>175</v>
      </c>
      <c r="H120" s="207">
        <f t="shared" si="22"/>
        <v>46186</v>
      </c>
      <c r="I120" s="215">
        <v>15</v>
      </c>
      <c r="J120" s="208">
        <v>116</v>
      </c>
      <c r="K120" s="209">
        <v>0.10875</v>
      </c>
      <c r="L120" s="210">
        <v>0.29249999999999998</v>
      </c>
      <c r="M120" s="210">
        <v>0.32</v>
      </c>
      <c r="N120" s="211">
        <v>48.25</v>
      </c>
      <c r="O120" s="211">
        <f t="shared" si="18"/>
        <v>29.492812499999996</v>
      </c>
      <c r="P120" s="211">
        <v>61.124999999999993</v>
      </c>
      <c r="Q120" s="210">
        <v>0.2</v>
      </c>
      <c r="R120" s="212">
        <v>84</v>
      </c>
      <c r="S120" s="201" t="s">
        <v>427</v>
      </c>
      <c r="T120" s="201" t="s">
        <v>485</v>
      </c>
      <c r="U120" s="201"/>
      <c r="V120" s="214">
        <v>46226</v>
      </c>
      <c r="W120" s="215">
        <f t="shared" si="19"/>
        <v>15</v>
      </c>
      <c r="X120" s="208">
        <f t="shared" si="19"/>
        <v>116</v>
      </c>
      <c r="Y120" s="209"/>
      <c r="Z120" s="210"/>
      <c r="AA120" s="210"/>
      <c r="AB120" s="211"/>
      <c r="AC120" s="211"/>
      <c r="AD120" s="211"/>
      <c r="AE120" s="210"/>
      <c r="AF120" s="212" t="s">
        <v>570</v>
      </c>
      <c r="AG120" s="201" t="s">
        <v>427</v>
      </c>
      <c r="AH120" s="201" t="s">
        <v>485</v>
      </c>
      <c r="AI120" s="297">
        <v>46213</v>
      </c>
      <c r="AJ120" s="201"/>
      <c r="AK120" s="201"/>
      <c r="AL120" s="201"/>
      <c r="AM120" s="201"/>
      <c r="AN120" s="201"/>
      <c r="AO120" s="218" t="str">
        <f t="shared" si="21"/>
        <v>SNI</v>
      </c>
      <c r="AP120" s="201" t="s">
        <v>458</v>
      </c>
      <c r="AQ120" s="201"/>
      <c r="AR120" s="201"/>
      <c r="AS120" s="213"/>
      <c r="AT120" s="213"/>
      <c r="AU120" s="476" t="str">
        <f t="shared" si="23"/>
        <v>Ok</v>
      </c>
      <c r="AV120" s="220">
        <v>46213</v>
      </c>
      <c r="AW120" s="221">
        <f t="shared" si="15"/>
        <v>15</v>
      </c>
      <c r="AX120" s="208">
        <f t="shared" si="16"/>
        <v>116</v>
      </c>
      <c r="AY120" s="222"/>
      <c r="AZ120" s="222"/>
      <c r="BA120" s="222"/>
      <c r="BB120" s="222"/>
      <c r="BC120" s="222"/>
      <c r="BD120" s="201"/>
      <c r="BE120" s="201"/>
      <c r="BF120" s="219" t="s">
        <v>496</v>
      </c>
      <c r="BG120" s="219" t="s">
        <v>497</v>
      </c>
      <c r="BH120" s="455">
        <v>46244</v>
      </c>
      <c r="BI120" s="215">
        <f t="shared" si="20"/>
        <v>15</v>
      </c>
      <c r="BJ120" s="208">
        <f t="shared" si="20"/>
        <v>116</v>
      </c>
      <c r="BK120" s="223">
        <v>11</v>
      </c>
      <c r="BL120" s="208">
        <v>94</v>
      </c>
      <c r="BM120" s="224" t="s">
        <v>222</v>
      </c>
      <c r="BN120" s="201" t="s">
        <v>498</v>
      </c>
      <c r="BO120" s="262" t="s">
        <v>458</v>
      </c>
      <c r="BP120" s="201" t="s">
        <v>499</v>
      </c>
    </row>
    <row r="121" spans="1:68" ht="15.5">
      <c r="A121" s="225">
        <v>6</v>
      </c>
      <c r="B121" s="204">
        <v>31</v>
      </c>
      <c r="C121" s="226">
        <v>46184</v>
      </c>
      <c r="D121" s="491">
        <f t="shared" si="17"/>
        <v>60</v>
      </c>
      <c r="E121" s="204" t="s">
        <v>75</v>
      </c>
      <c r="F121" s="205">
        <f t="shared" si="14"/>
        <v>46184</v>
      </c>
      <c r="G121" s="206" t="s">
        <v>175</v>
      </c>
      <c r="H121" s="207">
        <f t="shared" si="22"/>
        <v>46186</v>
      </c>
      <c r="I121" s="215">
        <v>15</v>
      </c>
      <c r="J121" s="208">
        <v>117</v>
      </c>
      <c r="K121" s="209">
        <v>0.10775</v>
      </c>
      <c r="L121" s="210">
        <v>0.3</v>
      </c>
      <c r="M121" s="210">
        <v>0.33</v>
      </c>
      <c r="N121" s="211">
        <v>47</v>
      </c>
      <c r="O121" s="211">
        <f t="shared" si="18"/>
        <v>30.479500000000002</v>
      </c>
      <c r="P121" s="211">
        <v>64.850000000000009</v>
      </c>
      <c r="Q121" s="210">
        <v>0.2</v>
      </c>
      <c r="R121" s="212">
        <v>83</v>
      </c>
      <c r="S121" s="201" t="s">
        <v>486</v>
      </c>
      <c r="T121" s="201" t="s">
        <v>485</v>
      </c>
      <c r="U121" s="201"/>
      <c r="V121" s="214">
        <v>46226</v>
      </c>
      <c r="W121" s="215">
        <f t="shared" si="19"/>
        <v>15</v>
      </c>
      <c r="X121" s="208">
        <f t="shared" si="19"/>
        <v>117</v>
      </c>
      <c r="Y121" s="209"/>
      <c r="Z121" s="210"/>
      <c r="AA121" s="210"/>
      <c r="AB121" s="211"/>
      <c r="AC121" s="211"/>
      <c r="AD121" s="211"/>
      <c r="AE121" s="210"/>
      <c r="AF121" s="212">
        <v>90</v>
      </c>
      <c r="AG121" s="201" t="s">
        <v>486</v>
      </c>
      <c r="AH121" s="201" t="s">
        <v>485</v>
      </c>
      <c r="AI121" s="297">
        <v>46223</v>
      </c>
      <c r="AJ121" s="201"/>
      <c r="AK121" s="201"/>
      <c r="AL121" s="201"/>
      <c r="AM121" s="201"/>
      <c r="AN121" s="201"/>
      <c r="AO121" s="218" t="str">
        <f t="shared" si="21"/>
        <v>Belshina</v>
      </c>
      <c r="AP121" s="201" t="s">
        <v>458</v>
      </c>
      <c r="AQ121" s="201"/>
      <c r="AR121" s="201"/>
      <c r="AS121" s="213"/>
      <c r="AT121" s="213"/>
      <c r="AU121" s="476" t="str">
        <f t="shared" si="23"/>
        <v>Ok</v>
      </c>
      <c r="AV121" s="220">
        <v>46223</v>
      </c>
      <c r="AW121" s="221">
        <f t="shared" si="15"/>
        <v>15</v>
      </c>
      <c r="AX121" s="208">
        <f t="shared" si="16"/>
        <v>117</v>
      </c>
      <c r="AY121" s="222"/>
      <c r="AZ121" s="222"/>
      <c r="BA121" s="222"/>
      <c r="BB121" s="222"/>
      <c r="BC121" s="222"/>
      <c r="BD121" s="201"/>
      <c r="BE121" s="201"/>
      <c r="BF121" s="201"/>
      <c r="BG121" s="201"/>
      <c r="BH121" s="455">
        <v>46244</v>
      </c>
      <c r="BI121" s="215">
        <f t="shared" si="20"/>
        <v>15</v>
      </c>
      <c r="BJ121" s="208">
        <f t="shared" si="20"/>
        <v>117</v>
      </c>
      <c r="BK121" s="223">
        <v>12</v>
      </c>
      <c r="BL121" s="208">
        <v>95</v>
      </c>
      <c r="BM121" s="224" t="s">
        <v>222</v>
      </c>
      <c r="BN121" s="201"/>
      <c r="BO121" s="201"/>
      <c r="BP121" s="201"/>
    </row>
    <row r="122" spans="1:68" ht="15.5">
      <c r="A122" s="225">
        <v>6</v>
      </c>
      <c r="B122" s="204">
        <v>31</v>
      </c>
      <c r="C122" s="226">
        <v>46184</v>
      </c>
      <c r="D122" s="491">
        <f t="shared" si="17"/>
        <v>60</v>
      </c>
      <c r="E122" s="204" t="s">
        <v>75</v>
      </c>
      <c r="F122" s="205">
        <f t="shared" si="14"/>
        <v>46184</v>
      </c>
      <c r="G122" s="206" t="s">
        <v>175</v>
      </c>
      <c r="H122" s="207">
        <f t="shared" si="22"/>
        <v>46186</v>
      </c>
      <c r="I122" s="215">
        <v>15</v>
      </c>
      <c r="J122" s="208">
        <v>118</v>
      </c>
      <c r="K122" s="209">
        <v>0.108</v>
      </c>
      <c r="L122" s="210">
        <v>0.29750000000000004</v>
      </c>
      <c r="M122" s="210">
        <v>0.34</v>
      </c>
      <c r="N122" s="211">
        <v>47.5</v>
      </c>
      <c r="O122" s="211">
        <f t="shared" si="18"/>
        <v>28.262499999999996</v>
      </c>
      <c r="P122" s="211">
        <v>59.499999999999993</v>
      </c>
      <c r="Q122" s="210">
        <v>0.2</v>
      </c>
      <c r="R122" s="212">
        <v>83</v>
      </c>
      <c r="S122" s="201" t="s">
        <v>486</v>
      </c>
      <c r="T122" s="201" t="s">
        <v>460</v>
      </c>
      <c r="U122" s="201" t="s">
        <v>63</v>
      </c>
      <c r="V122" s="300"/>
      <c r="W122" s="215">
        <f t="shared" si="19"/>
        <v>15</v>
      </c>
      <c r="X122" s="208">
        <f t="shared" si="19"/>
        <v>118</v>
      </c>
      <c r="Y122" s="209"/>
      <c r="Z122" s="210"/>
      <c r="AA122" s="210"/>
      <c r="AB122" s="211"/>
      <c r="AC122" s="211"/>
      <c r="AD122" s="211"/>
      <c r="AE122" s="210"/>
      <c r="AF122" s="212"/>
      <c r="AG122" s="201" t="s">
        <v>486</v>
      </c>
      <c r="AH122" s="201" t="s">
        <v>485</v>
      </c>
      <c r="AI122" s="297">
        <v>46232</v>
      </c>
      <c r="AJ122" s="201"/>
      <c r="AK122" s="201"/>
      <c r="AL122" s="201"/>
      <c r="AM122" s="201"/>
      <c r="AN122" s="201"/>
      <c r="AO122" s="218" t="str">
        <f t="shared" si="21"/>
        <v>Belshina</v>
      </c>
      <c r="AP122" s="201" t="s">
        <v>458</v>
      </c>
      <c r="AQ122" s="201"/>
      <c r="AR122" s="201"/>
      <c r="AS122" s="213"/>
      <c r="AT122" s="213"/>
      <c r="AU122" s="476" t="str">
        <f t="shared" si="23"/>
        <v>Ok</v>
      </c>
      <c r="AV122" s="220">
        <v>46232</v>
      </c>
      <c r="AW122" s="221">
        <f t="shared" si="15"/>
        <v>15</v>
      </c>
      <c r="AX122" s="208">
        <f t="shared" si="16"/>
        <v>118</v>
      </c>
      <c r="AY122" s="222"/>
      <c r="AZ122" s="222"/>
      <c r="BA122" s="222"/>
      <c r="BB122" s="222"/>
      <c r="BC122" s="222"/>
      <c r="BD122" s="201"/>
      <c r="BE122" s="201"/>
      <c r="BF122" s="201"/>
      <c r="BG122" s="201"/>
      <c r="BH122" s="455">
        <v>46244</v>
      </c>
      <c r="BI122" s="215">
        <f t="shared" si="20"/>
        <v>15</v>
      </c>
      <c r="BJ122" s="208">
        <f t="shared" si="20"/>
        <v>118</v>
      </c>
      <c r="BK122" s="223">
        <v>12</v>
      </c>
      <c r="BL122" s="208">
        <v>96</v>
      </c>
      <c r="BM122" s="224" t="s">
        <v>222</v>
      </c>
      <c r="BN122" s="201"/>
      <c r="BO122" s="201"/>
      <c r="BP122" s="201"/>
    </row>
    <row r="123" spans="1:68" ht="15.5">
      <c r="A123" s="225">
        <v>6</v>
      </c>
      <c r="B123" s="204">
        <v>31</v>
      </c>
      <c r="C123" s="226">
        <v>46184</v>
      </c>
      <c r="D123" s="491">
        <f t="shared" si="17"/>
        <v>60</v>
      </c>
      <c r="E123" s="204" t="s">
        <v>75</v>
      </c>
      <c r="F123" s="205">
        <f t="shared" si="14"/>
        <v>46184</v>
      </c>
      <c r="G123" s="206" t="s">
        <v>175</v>
      </c>
      <c r="H123" s="207">
        <f t="shared" si="22"/>
        <v>46186</v>
      </c>
      <c r="I123" s="215">
        <v>15</v>
      </c>
      <c r="J123" s="208">
        <v>119</v>
      </c>
      <c r="K123" s="209">
        <v>0.1075</v>
      </c>
      <c r="L123" s="210">
        <v>0.32999999999999996</v>
      </c>
      <c r="M123" s="210">
        <v>0.36</v>
      </c>
      <c r="N123" s="211">
        <v>46.75</v>
      </c>
      <c r="O123" s="211">
        <f t="shared" si="18"/>
        <v>28.260375</v>
      </c>
      <c r="P123" s="211">
        <v>60.449999999999996</v>
      </c>
      <c r="Q123" s="210">
        <v>0.2</v>
      </c>
      <c r="R123" s="212">
        <v>83</v>
      </c>
      <c r="S123" s="201" t="s">
        <v>486</v>
      </c>
      <c r="T123" s="201" t="s">
        <v>485</v>
      </c>
      <c r="U123" s="201"/>
      <c r="V123" s="214">
        <v>46226</v>
      </c>
      <c r="W123" s="215">
        <f t="shared" si="19"/>
        <v>15</v>
      </c>
      <c r="X123" s="208">
        <f t="shared" si="19"/>
        <v>119</v>
      </c>
      <c r="Y123" s="209"/>
      <c r="Z123" s="210"/>
      <c r="AA123" s="210"/>
      <c r="AB123" s="211"/>
      <c r="AC123" s="211"/>
      <c r="AD123" s="211"/>
      <c r="AE123" s="210"/>
      <c r="AF123" s="212">
        <v>88</v>
      </c>
      <c r="AG123" s="201" t="s">
        <v>486</v>
      </c>
      <c r="AH123" s="201" t="s">
        <v>485</v>
      </c>
      <c r="AI123" s="297">
        <v>46217</v>
      </c>
      <c r="AJ123" s="201"/>
      <c r="AK123" s="201"/>
      <c r="AL123" s="201"/>
      <c r="AM123" s="201"/>
      <c r="AN123" s="201"/>
      <c r="AO123" s="218" t="str">
        <f t="shared" si="21"/>
        <v>Belshina</v>
      </c>
      <c r="AP123" s="201" t="s">
        <v>458</v>
      </c>
      <c r="AQ123" s="201"/>
      <c r="AR123" s="201"/>
      <c r="AS123" s="213"/>
      <c r="AT123" s="213"/>
      <c r="AU123" s="476" t="str">
        <f t="shared" si="23"/>
        <v>Ok</v>
      </c>
      <c r="AV123" s="220">
        <v>46217</v>
      </c>
      <c r="AW123" s="221">
        <f t="shared" si="15"/>
        <v>15</v>
      </c>
      <c r="AX123" s="208">
        <f t="shared" si="16"/>
        <v>119</v>
      </c>
      <c r="AY123" s="222"/>
      <c r="AZ123" s="222"/>
      <c r="BA123" s="222"/>
      <c r="BB123" s="222"/>
      <c r="BC123" s="222"/>
      <c r="BD123" s="201"/>
      <c r="BE123" s="201"/>
      <c r="BF123" s="201"/>
      <c r="BG123" s="201"/>
      <c r="BH123" s="455">
        <v>46244</v>
      </c>
      <c r="BI123" s="215">
        <f t="shared" si="20"/>
        <v>15</v>
      </c>
      <c r="BJ123" s="208">
        <f t="shared" si="20"/>
        <v>119</v>
      </c>
      <c r="BK123" s="223">
        <v>12</v>
      </c>
      <c r="BL123" s="208">
        <v>97</v>
      </c>
      <c r="BM123" s="224" t="s">
        <v>222</v>
      </c>
      <c r="BN123" s="201"/>
      <c r="BO123" s="201"/>
      <c r="BP123" s="201"/>
    </row>
    <row r="124" spans="1:68" ht="15.5">
      <c r="A124" s="225">
        <v>6</v>
      </c>
      <c r="B124" s="204">
        <v>31</v>
      </c>
      <c r="C124" s="226">
        <v>46184</v>
      </c>
      <c r="D124" s="491">
        <f t="shared" si="17"/>
        <v>78</v>
      </c>
      <c r="E124" s="204" t="s">
        <v>75</v>
      </c>
      <c r="F124" s="205">
        <f t="shared" si="14"/>
        <v>46184</v>
      </c>
      <c r="G124" s="206" t="s">
        <v>175</v>
      </c>
      <c r="H124" s="207">
        <f t="shared" si="22"/>
        <v>46186</v>
      </c>
      <c r="I124" s="215">
        <v>15</v>
      </c>
      <c r="J124" s="208">
        <v>120</v>
      </c>
      <c r="K124" s="209">
        <v>0.114</v>
      </c>
      <c r="L124" s="210">
        <v>0.3125</v>
      </c>
      <c r="M124" s="210">
        <v>0.31</v>
      </c>
      <c r="N124" s="211">
        <v>42.75</v>
      </c>
      <c r="O124" s="211">
        <f t="shared" si="18"/>
        <v>24.5278125</v>
      </c>
      <c r="P124" s="211">
        <v>57.375</v>
      </c>
      <c r="Q124" s="210">
        <v>0.2</v>
      </c>
      <c r="R124" s="212">
        <v>83</v>
      </c>
      <c r="S124" s="201" t="s">
        <v>486</v>
      </c>
      <c r="T124" s="201" t="s">
        <v>460</v>
      </c>
      <c r="U124" s="201" t="s">
        <v>63</v>
      </c>
      <c r="V124" s="300"/>
      <c r="W124" s="215">
        <f t="shared" si="19"/>
        <v>15</v>
      </c>
      <c r="X124" s="208">
        <f t="shared" si="19"/>
        <v>120</v>
      </c>
      <c r="Y124" s="209"/>
      <c r="Z124" s="210"/>
      <c r="AA124" s="210"/>
      <c r="AB124" s="211"/>
      <c r="AC124" s="211"/>
      <c r="AD124" s="211"/>
      <c r="AE124" s="210"/>
      <c r="AF124" s="212"/>
      <c r="AG124" s="201" t="s">
        <v>486</v>
      </c>
      <c r="AH124" s="201" t="s">
        <v>485</v>
      </c>
      <c r="AI124" s="297">
        <v>46233</v>
      </c>
      <c r="AJ124" s="201"/>
      <c r="AK124" s="201"/>
      <c r="AL124" s="201"/>
      <c r="AM124" s="201"/>
      <c r="AN124" s="201"/>
      <c r="AO124" s="218" t="str">
        <f t="shared" si="21"/>
        <v>Belshina</v>
      </c>
      <c r="AP124" s="201" t="s">
        <v>458</v>
      </c>
      <c r="AQ124" s="201"/>
      <c r="AR124" s="201"/>
      <c r="AS124" s="213"/>
      <c r="AT124" s="213"/>
      <c r="AU124" s="476" t="str">
        <f t="shared" si="23"/>
        <v>Ok</v>
      </c>
      <c r="AV124" s="220">
        <v>46233</v>
      </c>
      <c r="AW124" s="221">
        <f t="shared" si="15"/>
        <v>15</v>
      </c>
      <c r="AX124" s="208">
        <f t="shared" si="16"/>
        <v>120</v>
      </c>
      <c r="AY124" s="222"/>
      <c r="AZ124" s="222"/>
      <c r="BA124" s="222"/>
      <c r="BB124" s="222"/>
      <c r="BC124" s="222"/>
      <c r="BD124" s="201"/>
      <c r="BE124" s="201"/>
      <c r="BF124" s="201"/>
      <c r="BG124" s="201"/>
      <c r="BH124" s="455">
        <v>46262</v>
      </c>
      <c r="BI124" s="215">
        <f t="shared" si="20"/>
        <v>15</v>
      </c>
      <c r="BJ124" s="208">
        <f t="shared" si="20"/>
        <v>120</v>
      </c>
      <c r="BK124" s="223">
        <v>17</v>
      </c>
      <c r="BL124" s="208">
        <v>141</v>
      </c>
      <c r="BM124" s="224" t="s">
        <v>222</v>
      </c>
      <c r="BN124" s="201"/>
      <c r="BO124" s="201"/>
      <c r="BP124" s="201"/>
    </row>
    <row r="125" spans="1:68" ht="15.5">
      <c r="A125" s="225">
        <v>6</v>
      </c>
      <c r="B125" s="204">
        <v>31</v>
      </c>
      <c r="C125" s="226">
        <v>46184</v>
      </c>
      <c r="D125" s="491">
        <f t="shared" si="17"/>
        <v>60</v>
      </c>
      <c r="E125" s="204" t="s">
        <v>75</v>
      </c>
      <c r="F125" s="205">
        <f t="shared" si="14"/>
        <v>46184</v>
      </c>
      <c r="G125" s="206" t="s">
        <v>175</v>
      </c>
      <c r="H125" s="207">
        <f t="shared" si="22"/>
        <v>46186</v>
      </c>
      <c r="I125" s="215">
        <v>16</v>
      </c>
      <c r="J125" s="208">
        <v>121</v>
      </c>
      <c r="K125" s="209">
        <v>0.10775</v>
      </c>
      <c r="L125" s="210">
        <v>0.32750000000000001</v>
      </c>
      <c r="M125" s="210">
        <v>0.34</v>
      </c>
      <c r="N125" s="211">
        <v>45.25</v>
      </c>
      <c r="O125" s="211">
        <f t="shared" si="18"/>
        <v>27.4780625</v>
      </c>
      <c r="P125" s="211">
        <v>60.725000000000001</v>
      </c>
      <c r="Q125" s="210">
        <v>0.21</v>
      </c>
      <c r="R125" s="212">
        <v>84.5</v>
      </c>
      <c r="S125" s="201" t="s">
        <v>427</v>
      </c>
      <c r="T125" s="201" t="s">
        <v>485</v>
      </c>
      <c r="U125" s="201"/>
      <c r="V125" s="300" t="s">
        <v>571</v>
      </c>
      <c r="W125" s="215">
        <f t="shared" si="19"/>
        <v>16</v>
      </c>
      <c r="X125" s="208">
        <f t="shared" si="19"/>
        <v>121</v>
      </c>
      <c r="Y125" s="209"/>
      <c r="Z125" s="210"/>
      <c r="AA125" s="210"/>
      <c r="AB125" s="227">
        <v>42</v>
      </c>
      <c r="AC125" s="211">
        <v>26.04</v>
      </c>
      <c r="AD125" s="227">
        <v>62</v>
      </c>
      <c r="AE125" s="210"/>
      <c r="AF125" s="216" t="s">
        <v>572</v>
      </c>
      <c r="AG125" s="201" t="s">
        <v>427</v>
      </c>
      <c r="AH125" s="201" t="s">
        <v>485</v>
      </c>
      <c r="AI125" s="297">
        <v>46207</v>
      </c>
      <c r="AJ125" s="201"/>
      <c r="AK125" s="201"/>
      <c r="AL125" s="201"/>
      <c r="AM125" s="201"/>
      <c r="AN125" s="201"/>
      <c r="AO125" s="218" t="str">
        <f t="shared" si="21"/>
        <v>SNI</v>
      </c>
      <c r="AP125" s="201" t="s">
        <v>458</v>
      </c>
      <c r="AQ125" s="201"/>
      <c r="AR125" s="201"/>
      <c r="AS125" s="213"/>
      <c r="AT125" s="213"/>
      <c r="AU125" s="476" t="str">
        <f t="shared" si="23"/>
        <v>Ok</v>
      </c>
      <c r="AV125" s="220">
        <v>46207</v>
      </c>
      <c r="AW125" s="221">
        <f t="shared" si="15"/>
        <v>16</v>
      </c>
      <c r="AX125" s="208">
        <f t="shared" si="16"/>
        <v>121</v>
      </c>
      <c r="AY125" s="222"/>
      <c r="AZ125" s="222"/>
      <c r="BA125" s="222"/>
      <c r="BB125" s="222"/>
      <c r="BC125" s="222"/>
      <c r="BD125" s="201"/>
      <c r="BE125" s="201"/>
      <c r="BF125" s="201"/>
      <c r="BG125" s="201"/>
      <c r="BH125" s="455">
        <v>46244</v>
      </c>
      <c r="BI125" s="215">
        <f t="shared" si="20"/>
        <v>16</v>
      </c>
      <c r="BJ125" s="208">
        <f t="shared" si="20"/>
        <v>121</v>
      </c>
      <c r="BK125" s="223">
        <v>12</v>
      </c>
      <c r="BL125" s="208">
        <v>98</v>
      </c>
      <c r="BM125" s="224" t="s">
        <v>222</v>
      </c>
      <c r="BN125" s="201"/>
      <c r="BO125" s="201"/>
      <c r="BP125" s="201"/>
    </row>
    <row r="126" spans="1:68" ht="15.5">
      <c r="A126" s="225">
        <v>6</v>
      </c>
      <c r="B126" s="204">
        <v>31</v>
      </c>
      <c r="C126" s="226">
        <v>46184</v>
      </c>
      <c r="D126" s="491">
        <f t="shared" si="17"/>
        <v>60</v>
      </c>
      <c r="E126" s="204" t="s">
        <v>75</v>
      </c>
      <c r="F126" s="205">
        <f t="shared" si="14"/>
        <v>46184</v>
      </c>
      <c r="G126" s="206" t="s">
        <v>175</v>
      </c>
      <c r="H126" s="207">
        <f t="shared" si="22"/>
        <v>46186</v>
      </c>
      <c r="I126" s="215">
        <v>16</v>
      </c>
      <c r="J126" s="208">
        <v>122</v>
      </c>
      <c r="K126" s="209">
        <v>0.11874999999999999</v>
      </c>
      <c r="L126" s="210">
        <v>0.32750000000000001</v>
      </c>
      <c r="M126" s="210">
        <v>0.36</v>
      </c>
      <c r="N126" s="211">
        <v>49.25</v>
      </c>
      <c r="O126" s="211">
        <f t="shared" si="18"/>
        <v>29.217562500000003</v>
      </c>
      <c r="P126" s="211">
        <v>59.325000000000003</v>
      </c>
      <c r="Q126" s="210">
        <v>0.21</v>
      </c>
      <c r="R126" s="212">
        <v>84.5</v>
      </c>
      <c r="S126" s="201" t="s">
        <v>427</v>
      </c>
      <c r="T126" s="201" t="s">
        <v>460</v>
      </c>
      <c r="U126" s="201" t="s">
        <v>63</v>
      </c>
      <c r="V126" s="214">
        <v>46226</v>
      </c>
      <c r="W126" s="215">
        <f t="shared" si="19"/>
        <v>16</v>
      </c>
      <c r="X126" s="208">
        <f t="shared" si="19"/>
        <v>122</v>
      </c>
      <c r="Y126" s="209"/>
      <c r="Z126" s="210"/>
      <c r="AA126" s="210"/>
      <c r="AB126" s="227">
        <v>45</v>
      </c>
      <c r="AC126" s="211">
        <v>29.969999999999995</v>
      </c>
      <c r="AD126" s="227">
        <v>66.599999999999994</v>
      </c>
      <c r="AE126" s="210"/>
      <c r="AF126" s="216" t="s">
        <v>573</v>
      </c>
      <c r="AG126" s="201" t="s">
        <v>427</v>
      </c>
      <c r="AH126" s="201" t="s">
        <v>485</v>
      </c>
      <c r="AI126" s="297">
        <v>46218</v>
      </c>
      <c r="AJ126" s="201"/>
      <c r="AK126" s="201"/>
      <c r="AL126" s="201"/>
      <c r="AM126" s="201"/>
      <c r="AN126" s="201"/>
      <c r="AO126" s="218" t="str">
        <f t="shared" si="21"/>
        <v>SNI</v>
      </c>
      <c r="AP126" s="201" t="s">
        <v>458</v>
      </c>
      <c r="AQ126" s="201"/>
      <c r="AR126" s="201"/>
      <c r="AS126" s="213"/>
      <c r="AT126" s="213"/>
      <c r="AU126" s="476" t="str">
        <f t="shared" si="23"/>
        <v>Ok</v>
      </c>
      <c r="AV126" s="220">
        <v>46218</v>
      </c>
      <c r="AW126" s="221">
        <f t="shared" si="15"/>
        <v>16</v>
      </c>
      <c r="AX126" s="208">
        <f t="shared" si="16"/>
        <v>122</v>
      </c>
      <c r="AY126" s="222"/>
      <c r="AZ126" s="222"/>
      <c r="BA126" s="222"/>
      <c r="BB126" s="222"/>
      <c r="BC126" s="222"/>
      <c r="BD126" s="201"/>
      <c r="BE126" s="201"/>
      <c r="BF126" s="201"/>
      <c r="BG126" s="201"/>
      <c r="BH126" s="455">
        <v>46244</v>
      </c>
      <c r="BI126" s="215">
        <f t="shared" si="20"/>
        <v>16</v>
      </c>
      <c r="BJ126" s="208">
        <f t="shared" si="20"/>
        <v>122</v>
      </c>
      <c r="BK126" s="223">
        <v>12</v>
      </c>
      <c r="BL126" s="208">
        <v>99</v>
      </c>
      <c r="BM126" s="224" t="s">
        <v>222</v>
      </c>
      <c r="BN126" s="201"/>
      <c r="BO126" s="201"/>
      <c r="BP126" s="201"/>
    </row>
    <row r="127" spans="1:68" ht="15.5">
      <c r="A127" s="225">
        <v>6</v>
      </c>
      <c r="B127" s="204" t="s">
        <v>782</v>
      </c>
      <c r="C127" s="226">
        <v>46185</v>
      </c>
      <c r="D127" s="491">
        <f t="shared" si="17"/>
        <v>59</v>
      </c>
      <c r="E127" s="204" t="s">
        <v>75</v>
      </c>
      <c r="F127" s="205">
        <f t="shared" si="14"/>
        <v>46185</v>
      </c>
      <c r="G127" s="206" t="s">
        <v>175</v>
      </c>
      <c r="H127" s="207">
        <f t="shared" si="22"/>
        <v>46187</v>
      </c>
      <c r="I127" s="215">
        <v>16</v>
      </c>
      <c r="J127" s="208">
        <v>123</v>
      </c>
      <c r="K127" s="209">
        <v>0.10975</v>
      </c>
      <c r="L127" s="210">
        <v>0.32250000000000001</v>
      </c>
      <c r="M127" s="210">
        <v>0.31</v>
      </c>
      <c r="N127" s="211">
        <v>47.75</v>
      </c>
      <c r="O127" s="211">
        <f t="shared" si="18"/>
        <v>30.750999999999994</v>
      </c>
      <c r="P127" s="211">
        <v>64.399999999999991</v>
      </c>
      <c r="Q127" s="210">
        <v>0.21</v>
      </c>
      <c r="R127" s="212">
        <v>84.5</v>
      </c>
      <c r="S127" s="201" t="s">
        <v>427</v>
      </c>
      <c r="T127" s="201" t="s">
        <v>485</v>
      </c>
      <c r="U127" s="201"/>
      <c r="V127" s="300" t="s">
        <v>545</v>
      </c>
      <c r="W127" s="215">
        <f t="shared" si="19"/>
        <v>16</v>
      </c>
      <c r="X127" s="208">
        <f t="shared" si="19"/>
        <v>123</v>
      </c>
      <c r="Y127" s="209"/>
      <c r="Z127" s="210"/>
      <c r="AA127" s="210"/>
      <c r="AB127" s="211"/>
      <c r="AC127" s="211"/>
      <c r="AD127" s="211"/>
      <c r="AE127" s="210"/>
      <c r="AF127" s="216" t="s">
        <v>574</v>
      </c>
      <c r="AG127" s="201" t="s">
        <v>427</v>
      </c>
      <c r="AH127" s="201" t="s">
        <v>485</v>
      </c>
      <c r="AI127" s="297">
        <v>46198</v>
      </c>
      <c r="AJ127" s="201"/>
      <c r="AK127" s="201"/>
      <c r="AL127" s="201"/>
      <c r="AM127" s="201"/>
      <c r="AN127" s="201"/>
      <c r="AO127" s="218" t="str">
        <f t="shared" si="21"/>
        <v>SNI</v>
      </c>
      <c r="AP127" s="201" t="s">
        <v>458</v>
      </c>
      <c r="AQ127" s="201"/>
      <c r="AR127" s="201"/>
      <c r="AS127" s="213"/>
      <c r="AT127" s="213"/>
      <c r="AU127" s="476" t="str">
        <f t="shared" si="23"/>
        <v>Ok</v>
      </c>
      <c r="AV127" s="220">
        <v>46198</v>
      </c>
      <c r="AW127" s="221">
        <f t="shared" si="15"/>
        <v>16</v>
      </c>
      <c r="AX127" s="208">
        <f t="shared" si="16"/>
        <v>123</v>
      </c>
      <c r="AY127" s="222"/>
      <c r="AZ127" s="222"/>
      <c r="BA127" s="222"/>
      <c r="BB127" s="222"/>
      <c r="BC127" s="222"/>
      <c r="BD127" s="201"/>
      <c r="BE127" s="201"/>
      <c r="BF127" s="201"/>
      <c r="BG127" s="201"/>
      <c r="BH127" s="455">
        <v>46244</v>
      </c>
      <c r="BI127" s="215">
        <f t="shared" si="20"/>
        <v>16</v>
      </c>
      <c r="BJ127" s="208">
        <f t="shared" si="20"/>
        <v>123</v>
      </c>
      <c r="BK127" s="223">
        <v>12</v>
      </c>
      <c r="BL127" s="208">
        <v>100</v>
      </c>
      <c r="BM127" s="224" t="s">
        <v>222</v>
      </c>
      <c r="BN127" s="201"/>
      <c r="BO127" s="201"/>
      <c r="BP127" s="201"/>
    </row>
    <row r="128" spans="1:68" s="549" customFormat="1" ht="15.5">
      <c r="A128" s="493" t="s">
        <v>196</v>
      </c>
      <c r="B128" s="252" t="s">
        <v>783</v>
      </c>
      <c r="C128" s="253">
        <v>46185</v>
      </c>
      <c r="D128" s="491">
        <f t="shared" si="17"/>
        <v>126</v>
      </c>
      <c r="E128" s="252" t="s">
        <v>75</v>
      </c>
      <c r="F128" s="254">
        <f t="shared" si="14"/>
        <v>46185</v>
      </c>
      <c r="G128" s="255" t="s">
        <v>175</v>
      </c>
      <c r="H128" s="256">
        <f t="shared" si="22"/>
        <v>46187</v>
      </c>
      <c r="I128" s="264">
        <v>16</v>
      </c>
      <c r="J128" s="257">
        <v>124</v>
      </c>
      <c r="K128" s="258">
        <v>0.11724999999999999</v>
      </c>
      <c r="L128" s="259">
        <v>0.33750000000000002</v>
      </c>
      <c r="M128" s="259">
        <v>0.39</v>
      </c>
      <c r="N128" s="260">
        <v>48.25</v>
      </c>
      <c r="O128" s="260">
        <f t="shared" si="18"/>
        <v>28.998250000000002</v>
      </c>
      <c r="P128" s="260">
        <v>60.1</v>
      </c>
      <c r="Q128" s="259">
        <v>0.21</v>
      </c>
      <c r="R128" s="261">
        <v>84.5</v>
      </c>
      <c r="S128" s="262" t="s">
        <v>427</v>
      </c>
      <c r="T128" s="262" t="s">
        <v>485</v>
      </c>
      <c r="U128" s="262"/>
      <c r="V128" s="313"/>
      <c r="W128" s="264">
        <f t="shared" si="19"/>
        <v>16</v>
      </c>
      <c r="X128" s="257">
        <f t="shared" si="19"/>
        <v>124</v>
      </c>
      <c r="Y128" s="258"/>
      <c r="Z128" s="259"/>
      <c r="AA128" s="259"/>
      <c r="AB128" s="260"/>
      <c r="AC128" s="260"/>
      <c r="AD128" s="260"/>
      <c r="AE128" s="259"/>
      <c r="AF128" s="265">
        <v>78</v>
      </c>
      <c r="AG128" s="262" t="s">
        <v>427</v>
      </c>
      <c r="AH128" s="262" t="s">
        <v>485</v>
      </c>
      <c r="AI128" s="314">
        <v>46239</v>
      </c>
      <c r="AJ128" s="262"/>
      <c r="AK128" s="262"/>
      <c r="AL128" s="272" t="s">
        <v>222</v>
      </c>
      <c r="AM128" s="262"/>
      <c r="AN128" s="262"/>
      <c r="AO128" s="268" t="str">
        <f t="shared" si="21"/>
        <v>SNI</v>
      </c>
      <c r="AP128" s="262" t="s">
        <v>459</v>
      </c>
      <c r="AQ128" s="262" t="s">
        <v>471</v>
      </c>
      <c r="AR128" s="262"/>
      <c r="AS128" s="269"/>
      <c r="AT128" s="269"/>
      <c r="AU128" s="492" t="str">
        <f t="shared" si="23"/>
        <v>Reject</v>
      </c>
      <c r="AV128" s="270">
        <v>46237</v>
      </c>
      <c r="AW128" s="271">
        <f t="shared" si="15"/>
        <v>16</v>
      </c>
      <c r="AX128" s="257">
        <f t="shared" si="16"/>
        <v>124</v>
      </c>
      <c r="AY128" s="272"/>
      <c r="AZ128" s="272"/>
      <c r="BA128" s="272" t="s">
        <v>222</v>
      </c>
      <c r="BB128" s="272"/>
      <c r="BC128" s="272"/>
      <c r="BD128" s="262" t="s">
        <v>459</v>
      </c>
      <c r="BE128" s="262" t="s">
        <v>471</v>
      </c>
      <c r="BF128" s="219" t="s">
        <v>496</v>
      </c>
      <c r="BG128" s="219" t="s">
        <v>497</v>
      </c>
      <c r="BH128" s="455">
        <v>46311</v>
      </c>
      <c r="BI128" s="264">
        <f t="shared" si="20"/>
        <v>16</v>
      </c>
      <c r="BJ128" s="257">
        <f t="shared" si="20"/>
        <v>124</v>
      </c>
      <c r="BK128" s="273"/>
      <c r="BL128" s="257"/>
      <c r="BM128" s="267"/>
      <c r="BN128" s="201" t="s">
        <v>520</v>
      </c>
      <c r="BO128" s="262" t="s">
        <v>471</v>
      </c>
      <c r="BP128" s="201" t="s">
        <v>499</v>
      </c>
    </row>
    <row r="129" spans="1:68" ht="15.5">
      <c r="A129" s="225">
        <v>7</v>
      </c>
      <c r="B129" s="204">
        <v>33</v>
      </c>
      <c r="C129" s="226">
        <v>46188</v>
      </c>
      <c r="D129" s="491">
        <f t="shared" si="17"/>
        <v>68</v>
      </c>
      <c r="E129" s="204" t="s">
        <v>75</v>
      </c>
      <c r="F129" s="205">
        <f t="shared" si="14"/>
        <v>46188</v>
      </c>
      <c r="G129" s="206" t="s">
        <v>175</v>
      </c>
      <c r="H129" s="207">
        <f t="shared" si="22"/>
        <v>46190</v>
      </c>
      <c r="I129" s="215">
        <v>16</v>
      </c>
      <c r="J129" s="208">
        <v>125</v>
      </c>
      <c r="K129" s="209">
        <v>0.1065</v>
      </c>
      <c r="L129" s="210">
        <v>0.35249999999999992</v>
      </c>
      <c r="M129" s="210">
        <v>0.36</v>
      </c>
      <c r="N129" s="211">
        <v>47.25</v>
      </c>
      <c r="O129" s="211">
        <f t="shared" si="18"/>
        <v>29.743874999999992</v>
      </c>
      <c r="P129" s="211">
        <v>62.949999999999989</v>
      </c>
      <c r="Q129" s="210">
        <v>0.21</v>
      </c>
      <c r="R129" s="212">
        <v>83.5</v>
      </c>
      <c r="S129" s="201" t="s">
        <v>427</v>
      </c>
      <c r="T129" s="201" t="s">
        <v>485</v>
      </c>
      <c r="U129" s="201"/>
      <c r="V129" s="300"/>
      <c r="W129" s="215">
        <f t="shared" si="19"/>
        <v>16</v>
      </c>
      <c r="X129" s="208">
        <f t="shared" si="19"/>
        <v>125</v>
      </c>
      <c r="Y129" s="209"/>
      <c r="Z129" s="210"/>
      <c r="AA129" s="210"/>
      <c r="AB129" s="211"/>
      <c r="AC129" s="211"/>
      <c r="AD129" s="211"/>
      <c r="AE129" s="210"/>
      <c r="AF129" s="212"/>
      <c r="AG129" s="201" t="s">
        <v>427</v>
      </c>
      <c r="AH129" s="201" t="s">
        <v>485</v>
      </c>
      <c r="AI129" s="297">
        <v>46239</v>
      </c>
      <c r="AJ129" s="201"/>
      <c r="AK129" s="201"/>
      <c r="AL129" s="201"/>
      <c r="AM129" s="201"/>
      <c r="AN129" s="201"/>
      <c r="AO129" s="218" t="str">
        <f t="shared" si="21"/>
        <v>SNI</v>
      </c>
      <c r="AP129" s="201" t="s">
        <v>458</v>
      </c>
      <c r="AQ129" s="201"/>
      <c r="AR129" s="201"/>
      <c r="AS129" s="213"/>
      <c r="AT129" s="213"/>
      <c r="AU129" s="476" t="str">
        <f t="shared" si="23"/>
        <v>Ok</v>
      </c>
      <c r="AV129" s="220">
        <v>46234</v>
      </c>
      <c r="AW129" s="221">
        <f t="shared" si="15"/>
        <v>16</v>
      </c>
      <c r="AX129" s="208">
        <f t="shared" si="16"/>
        <v>125</v>
      </c>
      <c r="AY129" s="222"/>
      <c r="AZ129" s="222"/>
      <c r="BA129" s="222"/>
      <c r="BB129" s="222"/>
      <c r="BC129" s="222"/>
      <c r="BD129" s="201"/>
      <c r="BE129" s="201"/>
      <c r="BF129" s="219" t="s">
        <v>496</v>
      </c>
      <c r="BG129" s="219" t="s">
        <v>497</v>
      </c>
      <c r="BH129" s="455">
        <v>46256</v>
      </c>
      <c r="BI129" s="215">
        <f t="shared" si="20"/>
        <v>16</v>
      </c>
      <c r="BJ129" s="208">
        <f t="shared" si="20"/>
        <v>125</v>
      </c>
      <c r="BK129" s="223">
        <v>15</v>
      </c>
      <c r="BL129" s="208">
        <v>128</v>
      </c>
      <c r="BM129" s="224" t="s">
        <v>222</v>
      </c>
      <c r="BN129" s="201" t="s">
        <v>498</v>
      </c>
      <c r="BO129" s="262" t="s">
        <v>458</v>
      </c>
      <c r="BP129" s="201" t="s">
        <v>499</v>
      </c>
    </row>
    <row r="130" spans="1:68" ht="15.5">
      <c r="A130" s="225">
        <v>7</v>
      </c>
      <c r="B130" s="204">
        <v>33</v>
      </c>
      <c r="C130" s="226">
        <v>46188</v>
      </c>
      <c r="D130" s="491">
        <f t="shared" si="17"/>
        <v>68</v>
      </c>
      <c r="E130" s="204" t="s">
        <v>75</v>
      </c>
      <c r="F130" s="205">
        <f t="shared" si="14"/>
        <v>46188</v>
      </c>
      <c r="G130" s="206" t="s">
        <v>175</v>
      </c>
      <c r="H130" s="207">
        <f t="shared" si="22"/>
        <v>46190</v>
      </c>
      <c r="I130" s="215">
        <v>16</v>
      </c>
      <c r="J130" s="208">
        <v>126</v>
      </c>
      <c r="K130" s="209">
        <v>0.10775</v>
      </c>
      <c r="L130" s="210">
        <v>0.33</v>
      </c>
      <c r="M130" s="210">
        <v>0.38</v>
      </c>
      <c r="N130" s="211">
        <v>47.25</v>
      </c>
      <c r="O130" s="211">
        <f t="shared" si="18"/>
        <v>28.9996875</v>
      </c>
      <c r="P130" s="211">
        <v>61.375</v>
      </c>
      <c r="Q130" s="210">
        <v>0.21</v>
      </c>
      <c r="R130" s="212">
        <v>83.5</v>
      </c>
      <c r="S130" s="201" t="s">
        <v>427</v>
      </c>
      <c r="T130" s="201" t="s">
        <v>485</v>
      </c>
      <c r="U130" s="201"/>
      <c r="V130" s="300"/>
      <c r="W130" s="215">
        <f t="shared" si="19"/>
        <v>16</v>
      </c>
      <c r="X130" s="208">
        <f t="shared" si="19"/>
        <v>126</v>
      </c>
      <c r="Y130" s="209"/>
      <c r="Z130" s="210"/>
      <c r="AA130" s="210"/>
      <c r="AB130" s="211"/>
      <c r="AC130" s="211"/>
      <c r="AD130" s="211"/>
      <c r="AE130" s="210"/>
      <c r="AF130" s="212"/>
      <c r="AG130" s="201" t="s">
        <v>427</v>
      </c>
      <c r="AH130" s="201" t="s">
        <v>485</v>
      </c>
      <c r="AI130" s="297">
        <v>46239</v>
      </c>
      <c r="AJ130" s="201"/>
      <c r="AK130" s="201"/>
      <c r="AL130" s="201"/>
      <c r="AM130" s="201"/>
      <c r="AN130" s="201"/>
      <c r="AO130" s="218" t="str">
        <f t="shared" si="21"/>
        <v>SNI</v>
      </c>
      <c r="AP130" s="201" t="s">
        <v>458</v>
      </c>
      <c r="AQ130" s="201"/>
      <c r="AR130" s="201"/>
      <c r="AS130" s="213"/>
      <c r="AT130" s="213"/>
      <c r="AU130" s="476" t="str">
        <f t="shared" si="23"/>
        <v>Ok</v>
      </c>
      <c r="AV130" s="220">
        <v>46237</v>
      </c>
      <c r="AW130" s="221">
        <f t="shared" si="15"/>
        <v>16</v>
      </c>
      <c r="AX130" s="208">
        <f t="shared" si="16"/>
        <v>126</v>
      </c>
      <c r="AY130" s="222"/>
      <c r="AZ130" s="222"/>
      <c r="BA130" s="222"/>
      <c r="BB130" s="222"/>
      <c r="BC130" s="222"/>
      <c r="BD130" s="201"/>
      <c r="BE130" s="201"/>
      <c r="BF130" s="219" t="s">
        <v>496</v>
      </c>
      <c r="BG130" s="219" t="s">
        <v>497</v>
      </c>
      <c r="BH130" s="455">
        <v>46256</v>
      </c>
      <c r="BI130" s="215">
        <f t="shared" si="20"/>
        <v>16</v>
      </c>
      <c r="BJ130" s="208">
        <f t="shared" si="20"/>
        <v>126</v>
      </c>
      <c r="BK130" s="223">
        <v>15</v>
      </c>
      <c r="BL130" s="208">
        <v>129</v>
      </c>
      <c r="BM130" s="224" t="s">
        <v>222</v>
      </c>
      <c r="BN130" s="201" t="s">
        <v>498</v>
      </c>
      <c r="BO130" s="262" t="s">
        <v>458</v>
      </c>
      <c r="BP130" s="201" t="s">
        <v>499</v>
      </c>
    </row>
    <row r="131" spans="1:68" ht="15.5">
      <c r="A131" s="225">
        <v>7</v>
      </c>
      <c r="B131" s="204">
        <v>33</v>
      </c>
      <c r="C131" s="226">
        <v>46188</v>
      </c>
      <c r="D131" s="491">
        <f t="shared" si="17"/>
        <v>68</v>
      </c>
      <c r="E131" s="204" t="s">
        <v>75</v>
      </c>
      <c r="F131" s="205">
        <f t="shared" si="14"/>
        <v>46188</v>
      </c>
      <c r="G131" s="206" t="s">
        <v>175</v>
      </c>
      <c r="H131" s="207">
        <f t="shared" si="22"/>
        <v>46190</v>
      </c>
      <c r="I131" s="215">
        <v>16</v>
      </c>
      <c r="J131" s="208">
        <v>127</v>
      </c>
      <c r="K131" s="209">
        <v>0.10725</v>
      </c>
      <c r="L131" s="210">
        <v>0.34499999999999997</v>
      </c>
      <c r="M131" s="210">
        <v>0.38</v>
      </c>
      <c r="N131" s="211">
        <v>46.75</v>
      </c>
      <c r="O131" s="211">
        <f t="shared" si="18"/>
        <v>26.250124999999997</v>
      </c>
      <c r="P131" s="211">
        <v>56.149999999999991</v>
      </c>
      <c r="Q131" s="210">
        <v>0.21</v>
      </c>
      <c r="R131" s="212">
        <v>83.5</v>
      </c>
      <c r="S131" s="201" t="s">
        <v>427</v>
      </c>
      <c r="T131" s="201" t="s">
        <v>460</v>
      </c>
      <c r="U131" s="201" t="s">
        <v>63</v>
      </c>
      <c r="V131" s="214">
        <v>46226</v>
      </c>
      <c r="W131" s="215">
        <f t="shared" si="19"/>
        <v>16</v>
      </c>
      <c r="X131" s="208">
        <f t="shared" si="19"/>
        <v>127</v>
      </c>
      <c r="Y131" s="209"/>
      <c r="Z131" s="210"/>
      <c r="AA131" s="210"/>
      <c r="AB131" s="227">
        <v>47</v>
      </c>
      <c r="AC131" s="211">
        <v>30.08</v>
      </c>
      <c r="AD131" s="227">
        <v>64</v>
      </c>
      <c r="AE131" s="210"/>
      <c r="AF131" s="216" t="s">
        <v>575</v>
      </c>
      <c r="AG131" s="201" t="s">
        <v>427</v>
      </c>
      <c r="AH131" s="201" t="s">
        <v>485</v>
      </c>
      <c r="AI131" s="297">
        <v>46212</v>
      </c>
      <c r="AJ131" s="201"/>
      <c r="AK131" s="201"/>
      <c r="AL131" s="201"/>
      <c r="AM131" s="201"/>
      <c r="AN131" s="201"/>
      <c r="AO131" s="218" t="str">
        <f t="shared" si="21"/>
        <v>SNI</v>
      </c>
      <c r="AP131" s="201" t="s">
        <v>458</v>
      </c>
      <c r="AQ131" s="201"/>
      <c r="AR131" s="201"/>
      <c r="AS131" s="213"/>
      <c r="AT131" s="213"/>
      <c r="AU131" s="476" t="str">
        <f t="shared" si="23"/>
        <v>Ok</v>
      </c>
      <c r="AV131" s="220">
        <v>46212</v>
      </c>
      <c r="AW131" s="221">
        <f t="shared" si="15"/>
        <v>16</v>
      </c>
      <c r="AX131" s="208">
        <f t="shared" si="16"/>
        <v>127</v>
      </c>
      <c r="AY131" s="222"/>
      <c r="AZ131" s="222"/>
      <c r="BA131" s="222"/>
      <c r="BB131" s="222"/>
      <c r="BC131" s="222"/>
      <c r="BD131" s="201"/>
      <c r="BE131" s="201"/>
      <c r="BF131" s="201"/>
      <c r="BG131" s="201"/>
      <c r="BH131" s="455">
        <v>46256</v>
      </c>
      <c r="BI131" s="215">
        <f t="shared" si="20"/>
        <v>16</v>
      </c>
      <c r="BJ131" s="208">
        <f t="shared" si="20"/>
        <v>127</v>
      </c>
      <c r="BK131" s="223">
        <v>15</v>
      </c>
      <c r="BL131" s="208">
        <v>130</v>
      </c>
      <c r="BM131" s="224" t="s">
        <v>222</v>
      </c>
      <c r="BN131" s="201"/>
      <c r="BO131" s="201"/>
      <c r="BP131" s="201"/>
    </row>
    <row r="132" spans="1:68" ht="15.5">
      <c r="A132" s="225">
        <v>7</v>
      </c>
      <c r="B132" s="204">
        <v>33</v>
      </c>
      <c r="C132" s="226">
        <v>46188</v>
      </c>
      <c r="D132" s="491">
        <f t="shared" si="17"/>
        <v>68</v>
      </c>
      <c r="E132" s="204" t="s">
        <v>75</v>
      </c>
      <c r="F132" s="205">
        <f t="shared" si="14"/>
        <v>46188</v>
      </c>
      <c r="G132" s="206" t="s">
        <v>175</v>
      </c>
      <c r="H132" s="207">
        <f t="shared" si="22"/>
        <v>46190</v>
      </c>
      <c r="I132" s="215">
        <v>16</v>
      </c>
      <c r="J132" s="208">
        <v>128</v>
      </c>
      <c r="K132" s="209">
        <v>0.109</v>
      </c>
      <c r="L132" s="210">
        <v>0.34750000000000003</v>
      </c>
      <c r="M132" s="210">
        <v>0.35</v>
      </c>
      <c r="N132" s="211">
        <v>45</v>
      </c>
      <c r="O132" s="211">
        <f t="shared" si="18"/>
        <v>28.248750000000005</v>
      </c>
      <c r="P132" s="211">
        <v>62.775000000000006</v>
      </c>
      <c r="Q132" s="210">
        <v>0.21</v>
      </c>
      <c r="R132" s="212">
        <v>83.5</v>
      </c>
      <c r="S132" s="201" t="s">
        <v>427</v>
      </c>
      <c r="T132" s="201" t="s">
        <v>485</v>
      </c>
      <c r="U132" s="201"/>
      <c r="V132" s="300"/>
      <c r="W132" s="215">
        <f t="shared" si="19"/>
        <v>16</v>
      </c>
      <c r="X132" s="208">
        <f t="shared" si="19"/>
        <v>128</v>
      </c>
      <c r="Y132" s="209"/>
      <c r="Z132" s="210"/>
      <c r="AA132" s="210"/>
      <c r="AB132" s="211"/>
      <c r="AC132" s="211"/>
      <c r="AD132" s="211"/>
      <c r="AE132" s="210"/>
      <c r="AF132" s="212"/>
      <c r="AG132" s="201" t="s">
        <v>427</v>
      </c>
      <c r="AH132" s="201" t="s">
        <v>485</v>
      </c>
      <c r="AI132" s="297">
        <v>46239</v>
      </c>
      <c r="AJ132" s="201"/>
      <c r="AK132" s="201"/>
      <c r="AL132" s="201"/>
      <c r="AM132" s="201"/>
      <c r="AN132" s="201"/>
      <c r="AO132" s="218" t="str">
        <f t="shared" si="21"/>
        <v>SNI</v>
      </c>
      <c r="AP132" s="201" t="s">
        <v>458</v>
      </c>
      <c r="AQ132" s="201"/>
      <c r="AR132" s="201"/>
      <c r="AS132" s="213"/>
      <c r="AT132" s="213"/>
      <c r="AU132" s="476" t="str">
        <f t="shared" si="23"/>
        <v>Ok</v>
      </c>
      <c r="AV132" s="220">
        <v>46234</v>
      </c>
      <c r="AW132" s="221">
        <f t="shared" si="15"/>
        <v>16</v>
      </c>
      <c r="AX132" s="208">
        <f t="shared" si="16"/>
        <v>128</v>
      </c>
      <c r="AY132" s="222"/>
      <c r="AZ132" s="222"/>
      <c r="BA132" s="222"/>
      <c r="BB132" s="222"/>
      <c r="BC132" s="222"/>
      <c r="BD132" s="201"/>
      <c r="BE132" s="201"/>
      <c r="BF132" s="219" t="s">
        <v>496</v>
      </c>
      <c r="BG132" s="219" t="s">
        <v>497</v>
      </c>
      <c r="BH132" s="455">
        <v>46256</v>
      </c>
      <c r="BI132" s="215">
        <f t="shared" si="20"/>
        <v>16</v>
      </c>
      <c r="BJ132" s="208">
        <f t="shared" si="20"/>
        <v>128</v>
      </c>
      <c r="BK132" s="223">
        <v>16</v>
      </c>
      <c r="BL132" s="208">
        <v>131</v>
      </c>
      <c r="BM132" s="224" t="s">
        <v>222</v>
      </c>
      <c r="BN132" s="201"/>
      <c r="BO132" s="201"/>
      <c r="BP132" s="201"/>
    </row>
    <row r="133" spans="1:68" ht="15.5">
      <c r="A133" s="225">
        <v>7</v>
      </c>
      <c r="B133" s="204">
        <v>33</v>
      </c>
      <c r="C133" s="226">
        <v>46188</v>
      </c>
      <c r="D133" s="491">
        <f t="shared" si="17"/>
        <v>68</v>
      </c>
      <c r="E133" s="204" t="s">
        <v>75</v>
      </c>
      <c r="F133" s="205">
        <f t="shared" ref="F133:F162" si="24">C133</f>
        <v>46188</v>
      </c>
      <c r="G133" s="206" t="s">
        <v>175</v>
      </c>
      <c r="H133" s="207">
        <f t="shared" si="22"/>
        <v>46190</v>
      </c>
      <c r="I133" s="215">
        <v>17</v>
      </c>
      <c r="J133" s="208">
        <v>129</v>
      </c>
      <c r="K133" s="209">
        <v>0.106</v>
      </c>
      <c r="L133" s="210">
        <v>0.32500000000000001</v>
      </c>
      <c r="M133" s="210">
        <v>0.4</v>
      </c>
      <c r="N133" s="211">
        <v>47.75</v>
      </c>
      <c r="O133" s="211">
        <f t="shared" si="18"/>
        <v>28.996187500000001</v>
      </c>
      <c r="P133" s="211">
        <v>60.725000000000001</v>
      </c>
      <c r="Q133" s="210">
        <v>0.22</v>
      </c>
      <c r="R133" s="212">
        <v>83.5</v>
      </c>
      <c r="S133" s="201" t="s">
        <v>427</v>
      </c>
      <c r="T133" s="201" t="s">
        <v>485</v>
      </c>
      <c r="U133" s="201"/>
      <c r="V133" s="300"/>
      <c r="W133" s="215">
        <f t="shared" si="19"/>
        <v>17</v>
      </c>
      <c r="X133" s="208">
        <f t="shared" si="19"/>
        <v>129</v>
      </c>
      <c r="Y133" s="209"/>
      <c r="Z133" s="210"/>
      <c r="AA133" s="210"/>
      <c r="AB133" s="211"/>
      <c r="AC133" s="211"/>
      <c r="AD133" s="211"/>
      <c r="AE133" s="210"/>
      <c r="AF133" s="212"/>
      <c r="AG133" s="201" t="s">
        <v>427</v>
      </c>
      <c r="AH133" s="201" t="s">
        <v>485</v>
      </c>
      <c r="AI133" s="297">
        <v>46231</v>
      </c>
      <c r="AJ133" s="201"/>
      <c r="AK133" s="201"/>
      <c r="AL133" s="201"/>
      <c r="AM133" s="201"/>
      <c r="AN133" s="201"/>
      <c r="AO133" s="218" t="str">
        <f t="shared" si="21"/>
        <v>SNI</v>
      </c>
      <c r="AP133" s="201" t="s">
        <v>458</v>
      </c>
      <c r="AQ133" s="201"/>
      <c r="AR133" s="201"/>
      <c r="AS133" s="213"/>
      <c r="AT133" s="213"/>
      <c r="AU133" s="476" t="str">
        <f t="shared" si="23"/>
        <v>Ok</v>
      </c>
      <c r="AV133" s="220">
        <v>46231</v>
      </c>
      <c r="AW133" s="221">
        <f t="shared" ref="AW133:AW196" si="25">I133</f>
        <v>17</v>
      </c>
      <c r="AX133" s="208">
        <f t="shared" ref="AX133:AX196" si="26">J133</f>
        <v>129</v>
      </c>
      <c r="AY133" s="222"/>
      <c r="AZ133" s="222"/>
      <c r="BA133" s="222"/>
      <c r="BB133" s="222"/>
      <c r="BC133" s="222"/>
      <c r="BD133" s="201"/>
      <c r="BE133" s="201"/>
      <c r="BF133" s="201"/>
      <c r="BG133" s="201"/>
      <c r="BH133" s="455">
        <v>46256</v>
      </c>
      <c r="BI133" s="215">
        <f t="shared" si="20"/>
        <v>17</v>
      </c>
      <c r="BJ133" s="208">
        <f t="shared" si="20"/>
        <v>129</v>
      </c>
      <c r="BK133" s="223">
        <v>16</v>
      </c>
      <c r="BL133" s="208">
        <v>132</v>
      </c>
      <c r="BM133" s="224" t="s">
        <v>222</v>
      </c>
      <c r="BN133" s="201"/>
      <c r="BO133" s="201"/>
      <c r="BP133" s="201"/>
    </row>
    <row r="134" spans="1:68" ht="15.5">
      <c r="A134" s="225">
        <v>7</v>
      </c>
      <c r="B134" s="204">
        <v>33</v>
      </c>
      <c r="C134" s="226">
        <v>46188</v>
      </c>
      <c r="D134" s="491">
        <f t="shared" ref="D134:D197" si="27">BH134-C134</f>
        <v>78</v>
      </c>
      <c r="E134" s="204" t="s">
        <v>75</v>
      </c>
      <c r="F134" s="205">
        <f t="shared" si="24"/>
        <v>46188</v>
      </c>
      <c r="G134" s="206" t="s">
        <v>175</v>
      </c>
      <c r="H134" s="207">
        <f t="shared" si="22"/>
        <v>46190</v>
      </c>
      <c r="I134" s="215">
        <v>17</v>
      </c>
      <c r="J134" s="208">
        <v>130</v>
      </c>
      <c r="K134" s="209">
        <v>0.10925</v>
      </c>
      <c r="L134" s="210">
        <v>0.32500000000000001</v>
      </c>
      <c r="M134" s="210">
        <v>0.38</v>
      </c>
      <c r="N134" s="211">
        <v>47</v>
      </c>
      <c r="O134" s="211">
        <f t="shared" ref="O134:O197" si="28">N134*P134/100</f>
        <v>27.753500000000003</v>
      </c>
      <c r="P134" s="211">
        <v>59.050000000000004</v>
      </c>
      <c r="Q134" s="210">
        <v>0.22</v>
      </c>
      <c r="R134" s="212">
        <v>83.5</v>
      </c>
      <c r="S134" s="201" t="s">
        <v>427</v>
      </c>
      <c r="T134" s="201" t="s">
        <v>460</v>
      </c>
      <c r="U134" s="201" t="s">
        <v>63</v>
      </c>
      <c r="V134" s="300"/>
      <c r="W134" s="215">
        <f t="shared" ref="W134:X165" si="29">I134</f>
        <v>17</v>
      </c>
      <c r="X134" s="208">
        <f t="shared" si="29"/>
        <v>130</v>
      </c>
      <c r="Y134" s="209"/>
      <c r="Z134" s="210"/>
      <c r="AA134" s="210"/>
      <c r="AB134" s="211"/>
      <c r="AC134" s="211"/>
      <c r="AD134" s="211"/>
      <c r="AE134" s="210"/>
      <c r="AF134" s="212"/>
      <c r="AG134" s="201" t="s">
        <v>427</v>
      </c>
      <c r="AH134" s="201" t="s">
        <v>485</v>
      </c>
      <c r="AI134" s="297">
        <v>46237</v>
      </c>
      <c r="AJ134" s="201"/>
      <c r="AK134" s="201"/>
      <c r="AL134" s="201"/>
      <c r="AM134" s="201"/>
      <c r="AN134" s="201"/>
      <c r="AO134" s="218" t="str">
        <f t="shared" si="21"/>
        <v>SNI</v>
      </c>
      <c r="AP134" s="201" t="s">
        <v>458</v>
      </c>
      <c r="AQ134" s="201"/>
      <c r="AR134" s="201"/>
      <c r="AS134" s="213"/>
      <c r="AT134" s="213"/>
      <c r="AU134" s="476" t="str">
        <f t="shared" si="23"/>
        <v>Ok</v>
      </c>
      <c r="AV134" s="220">
        <v>46237</v>
      </c>
      <c r="AW134" s="221">
        <f t="shared" si="25"/>
        <v>17</v>
      </c>
      <c r="AX134" s="208">
        <f t="shared" si="26"/>
        <v>130</v>
      </c>
      <c r="AY134" s="222"/>
      <c r="AZ134" s="222"/>
      <c r="BA134" s="222"/>
      <c r="BB134" s="222"/>
      <c r="BC134" s="222"/>
      <c r="BD134" s="201"/>
      <c r="BE134" s="201"/>
      <c r="BF134" s="219" t="s">
        <v>496</v>
      </c>
      <c r="BG134" s="219" t="s">
        <v>497</v>
      </c>
      <c r="BH134" s="455">
        <v>46266</v>
      </c>
      <c r="BI134" s="215">
        <f t="shared" ref="BI134:BJ197" si="30">AW134</f>
        <v>17</v>
      </c>
      <c r="BJ134" s="208">
        <f t="shared" si="30"/>
        <v>130</v>
      </c>
      <c r="BK134" s="223">
        <v>19</v>
      </c>
      <c r="BL134" s="208">
        <v>164</v>
      </c>
      <c r="BM134" s="224" t="s">
        <v>222</v>
      </c>
      <c r="BN134" s="201" t="s">
        <v>498</v>
      </c>
      <c r="BO134" s="262" t="s">
        <v>471</v>
      </c>
      <c r="BP134" s="201" t="s">
        <v>499</v>
      </c>
    </row>
    <row r="135" spans="1:68" ht="15.5">
      <c r="A135" s="225">
        <v>7</v>
      </c>
      <c r="B135" s="204">
        <v>33</v>
      </c>
      <c r="C135" s="226">
        <v>46188</v>
      </c>
      <c r="D135" s="491">
        <f t="shared" si="27"/>
        <v>68</v>
      </c>
      <c r="E135" s="204" t="s">
        <v>75</v>
      </c>
      <c r="F135" s="205">
        <f t="shared" si="24"/>
        <v>46188</v>
      </c>
      <c r="G135" s="206" t="s">
        <v>175</v>
      </c>
      <c r="H135" s="207">
        <f t="shared" si="22"/>
        <v>46190</v>
      </c>
      <c r="I135" s="215">
        <v>17</v>
      </c>
      <c r="J135" s="208">
        <v>131</v>
      </c>
      <c r="K135" s="209">
        <v>0.1125</v>
      </c>
      <c r="L135" s="210">
        <v>0.32</v>
      </c>
      <c r="M135" s="210">
        <v>0.4</v>
      </c>
      <c r="N135" s="211">
        <v>45.75</v>
      </c>
      <c r="O135" s="211">
        <f t="shared" si="28"/>
        <v>28.742437500000001</v>
      </c>
      <c r="P135" s="211">
        <v>62.825000000000003</v>
      </c>
      <c r="Q135" s="210">
        <v>0.22</v>
      </c>
      <c r="R135" s="212">
        <v>83.5</v>
      </c>
      <c r="S135" s="201" t="s">
        <v>427</v>
      </c>
      <c r="T135" s="201" t="s">
        <v>485</v>
      </c>
      <c r="U135" s="201"/>
      <c r="V135" s="300"/>
      <c r="W135" s="215">
        <f t="shared" si="29"/>
        <v>17</v>
      </c>
      <c r="X135" s="208">
        <f t="shared" si="29"/>
        <v>131</v>
      </c>
      <c r="Y135" s="209"/>
      <c r="Z135" s="210"/>
      <c r="AA135" s="210"/>
      <c r="AB135" s="211"/>
      <c r="AC135" s="211"/>
      <c r="AD135" s="211"/>
      <c r="AE135" s="210"/>
      <c r="AF135" s="212"/>
      <c r="AG135" s="201" t="s">
        <v>427</v>
      </c>
      <c r="AH135" s="201" t="s">
        <v>485</v>
      </c>
      <c r="AI135" s="297">
        <v>46239</v>
      </c>
      <c r="AJ135" s="201"/>
      <c r="AK135" s="201"/>
      <c r="AL135" s="201"/>
      <c r="AM135" s="201"/>
      <c r="AN135" s="201"/>
      <c r="AO135" s="218" t="str">
        <f t="shared" ref="AO135:AO198" si="31">AG135</f>
        <v>SNI</v>
      </c>
      <c r="AP135" s="201" t="s">
        <v>458</v>
      </c>
      <c r="AQ135" s="201"/>
      <c r="AR135" s="201"/>
      <c r="AS135" s="213"/>
      <c r="AT135" s="213"/>
      <c r="AU135" s="476" t="str">
        <f t="shared" si="23"/>
        <v>Ok</v>
      </c>
      <c r="AV135" s="220">
        <v>46237</v>
      </c>
      <c r="AW135" s="221">
        <f t="shared" si="25"/>
        <v>17</v>
      </c>
      <c r="AX135" s="208">
        <f t="shared" si="26"/>
        <v>131</v>
      </c>
      <c r="AY135" s="222"/>
      <c r="AZ135" s="222"/>
      <c r="BA135" s="222"/>
      <c r="BB135" s="222"/>
      <c r="BC135" s="222"/>
      <c r="BD135" s="201"/>
      <c r="BE135" s="201"/>
      <c r="BF135" s="219" t="s">
        <v>496</v>
      </c>
      <c r="BG135" s="219" t="s">
        <v>497</v>
      </c>
      <c r="BH135" s="455">
        <v>46256</v>
      </c>
      <c r="BI135" s="215">
        <f t="shared" si="30"/>
        <v>17</v>
      </c>
      <c r="BJ135" s="208">
        <f t="shared" si="30"/>
        <v>131</v>
      </c>
      <c r="BK135" s="223">
        <v>16</v>
      </c>
      <c r="BL135" s="208">
        <v>133</v>
      </c>
      <c r="BM135" s="224" t="s">
        <v>222</v>
      </c>
      <c r="BN135" s="201" t="s">
        <v>498</v>
      </c>
      <c r="BO135" s="262" t="s">
        <v>458</v>
      </c>
      <c r="BP135" s="201" t="s">
        <v>499</v>
      </c>
    </row>
    <row r="136" spans="1:68" s="549" customFormat="1" ht="15.5">
      <c r="A136" s="251">
        <v>7</v>
      </c>
      <c r="B136" s="252">
        <v>34</v>
      </c>
      <c r="C136" s="253">
        <v>46190</v>
      </c>
      <c r="D136" s="491">
        <f t="shared" si="27"/>
        <v>66</v>
      </c>
      <c r="E136" s="252" t="s">
        <v>75</v>
      </c>
      <c r="F136" s="254">
        <f t="shared" si="24"/>
        <v>46190</v>
      </c>
      <c r="G136" s="255" t="s">
        <v>175</v>
      </c>
      <c r="H136" s="256">
        <f t="shared" ref="H136:H162" si="32">F136+2</f>
        <v>46192</v>
      </c>
      <c r="I136" s="264">
        <v>17</v>
      </c>
      <c r="J136" s="257">
        <v>132</v>
      </c>
      <c r="K136" s="258">
        <v>0.105</v>
      </c>
      <c r="L136" s="259">
        <v>0.27750000000000002</v>
      </c>
      <c r="M136" s="259">
        <v>0.39</v>
      </c>
      <c r="N136" s="260">
        <v>45.5</v>
      </c>
      <c r="O136" s="260">
        <f t="shared" si="28"/>
        <v>27.459249999999997</v>
      </c>
      <c r="P136" s="260">
        <v>60.349999999999994</v>
      </c>
      <c r="Q136" s="259">
        <v>0.22</v>
      </c>
      <c r="R136" s="261">
        <v>83.5</v>
      </c>
      <c r="S136" s="262" t="s">
        <v>427</v>
      </c>
      <c r="T136" s="262" t="s">
        <v>485</v>
      </c>
      <c r="U136" s="262"/>
      <c r="V136" s="313"/>
      <c r="W136" s="264">
        <f t="shared" si="29"/>
        <v>17</v>
      </c>
      <c r="X136" s="257">
        <f t="shared" si="29"/>
        <v>132</v>
      </c>
      <c r="Y136" s="258"/>
      <c r="Z136" s="259"/>
      <c r="AA136" s="259"/>
      <c r="AB136" s="260"/>
      <c r="AC136" s="260"/>
      <c r="AD136" s="260"/>
      <c r="AE136" s="259"/>
      <c r="AF136" s="261"/>
      <c r="AG136" s="262" t="s">
        <v>427</v>
      </c>
      <c r="AH136" s="262" t="s">
        <v>485</v>
      </c>
      <c r="AI136" s="314">
        <v>46239</v>
      </c>
      <c r="AJ136" s="262"/>
      <c r="AK136" s="262"/>
      <c r="AL136" s="272" t="s">
        <v>222</v>
      </c>
      <c r="AM136" s="262"/>
      <c r="AN136" s="262"/>
      <c r="AO136" s="268" t="str">
        <f t="shared" si="31"/>
        <v>SNI</v>
      </c>
      <c r="AP136" s="262" t="s">
        <v>459</v>
      </c>
      <c r="AQ136" s="262" t="s">
        <v>471</v>
      </c>
      <c r="AR136" s="262"/>
      <c r="AS136" s="269"/>
      <c r="AT136" s="269"/>
      <c r="AU136" s="476" t="str">
        <f t="shared" si="23"/>
        <v>Reject</v>
      </c>
      <c r="AV136" s="270">
        <v>46234</v>
      </c>
      <c r="AW136" s="271">
        <f t="shared" si="25"/>
        <v>17</v>
      </c>
      <c r="AX136" s="257">
        <f t="shared" si="26"/>
        <v>132</v>
      </c>
      <c r="AY136" s="272"/>
      <c r="AZ136" s="272"/>
      <c r="BA136" s="272" t="s">
        <v>222</v>
      </c>
      <c r="BB136" s="272"/>
      <c r="BC136" s="272"/>
      <c r="BD136" s="262" t="s">
        <v>459</v>
      </c>
      <c r="BE136" s="262" t="s">
        <v>471</v>
      </c>
      <c r="BF136" s="219" t="s">
        <v>496</v>
      </c>
      <c r="BG136" s="219" t="s">
        <v>497</v>
      </c>
      <c r="BH136" s="455">
        <v>46256</v>
      </c>
      <c r="BI136" s="264">
        <f t="shared" si="30"/>
        <v>17</v>
      </c>
      <c r="BJ136" s="257">
        <f t="shared" si="30"/>
        <v>132</v>
      </c>
      <c r="BK136" s="273">
        <v>16</v>
      </c>
      <c r="BL136" s="257">
        <v>134</v>
      </c>
      <c r="BM136" s="224" t="s">
        <v>222</v>
      </c>
      <c r="BN136" s="201" t="s">
        <v>498</v>
      </c>
      <c r="BO136" s="262" t="s">
        <v>458</v>
      </c>
      <c r="BP136" s="201" t="s">
        <v>499</v>
      </c>
    </row>
    <row r="137" spans="1:68" ht="15.5">
      <c r="A137" s="225">
        <v>7</v>
      </c>
      <c r="B137" s="204">
        <v>34</v>
      </c>
      <c r="C137" s="226">
        <v>46190</v>
      </c>
      <c r="D137" s="491">
        <f t="shared" si="27"/>
        <v>54</v>
      </c>
      <c r="E137" s="204" t="s">
        <v>75</v>
      </c>
      <c r="F137" s="205">
        <f t="shared" si="24"/>
        <v>46190</v>
      </c>
      <c r="G137" s="206" t="s">
        <v>175</v>
      </c>
      <c r="H137" s="207">
        <f t="shared" si="32"/>
        <v>46192</v>
      </c>
      <c r="I137" s="215">
        <v>17</v>
      </c>
      <c r="J137" s="208">
        <v>133</v>
      </c>
      <c r="K137" s="209">
        <v>0.1065</v>
      </c>
      <c r="L137" s="210">
        <v>0.28000000000000003</v>
      </c>
      <c r="M137" s="210">
        <v>0.36</v>
      </c>
      <c r="N137" s="211">
        <v>46.25</v>
      </c>
      <c r="O137" s="211">
        <f t="shared" si="28"/>
        <v>26.235312499999996</v>
      </c>
      <c r="P137" s="211">
        <v>56.724999999999994</v>
      </c>
      <c r="Q137" s="210">
        <v>0.22</v>
      </c>
      <c r="R137" s="212">
        <v>84.5</v>
      </c>
      <c r="S137" s="201" t="s">
        <v>427</v>
      </c>
      <c r="T137" s="201" t="s">
        <v>460</v>
      </c>
      <c r="U137" s="201" t="s">
        <v>63</v>
      </c>
      <c r="V137" s="300" t="s">
        <v>571</v>
      </c>
      <c r="W137" s="215">
        <f t="shared" si="29"/>
        <v>17</v>
      </c>
      <c r="X137" s="208">
        <f t="shared" si="29"/>
        <v>133</v>
      </c>
      <c r="Y137" s="209"/>
      <c r="Z137" s="210"/>
      <c r="AA137" s="210"/>
      <c r="AB137" s="227">
        <v>44</v>
      </c>
      <c r="AC137" s="211">
        <v>28.16</v>
      </c>
      <c r="AD137" s="227">
        <v>64</v>
      </c>
      <c r="AE137" s="210"/>
      <c r="AF137" s="216" t="s">
        <v>576</v>
      </c>
      <c r="AG137" s="201" t="s">
        <v>427</v>
      </c>
      <c r="AH137" s="201" t="s">
        <v>485</v>
      </c>
      <c r="AI137" s="297">
        <v>46239</v>
      </c>
      <c r="AJ137" s="201"/>
      <c r="AK137" s="201"/>
      <c r="AL137" s="201"/>
      <c r="AM137" s="201"/>
      <c r="AN137" s="201"/>
      <c r="AO137" s="218" t="str">
        <f t="shared" si="31"/>
        <v>SNI</v>
      </c>
      <c r="AP137" s="201" t="s">
        <v>458</v>
      </c>
      <c r="AQ137" s="201"/>
      <c r="AR137" s="201"/>
      <c r="AS137" s="213"/>
      <c r="AT137" s="213"/>
      <c r="AU137" s="476" t="str">
        <f t="shared" si="23"/>
        <v>Ok</v>
      </c>
      <c r="AV137" s="220">
        <v>46207</v>
      </c>
      <c r="AW137" s="221">
        <f t="shared" si="25"/>
        <v>17</v>
      </c>
      <c r="AX137" s="208">
        <f t="shared" si="26"/>
        <v>133</v>
      </c>
      <c r="AY137" s="222"/>
      <c r="AZ137" s="222"/>
      <c r="BA137" s="222"/>
      <c r="BB137" s="222"/>
      <c r="BC137" s="222"/>
      <c r="BD137" s="201"/>
      <c r="BE137" s="201"/>
      <c r="BF137" s="219" t="s">
        <v>496</v>
      </c>
      <c r="BG137" s="219" t="s">
        <v>497</v>
      </c>
      <c r="BH137" s="455">
        <v>46244</v>
      </c>
      <c r="BI137" s="215">
        <f t="shared" si="30"/>
        <v>17</v>
      </c>
      <c r="BJ137" s="208">
        <f t="shared" si="30"/>
        <v>133</v>
      </c>
      <c r="BK137" s="223">
        <v>12</v>
      </c>
      <c r="BL137" s="208">
        <v>101</v>
      </c>
      <c r="BM137" s="224" t="s">
        <v>222</v>
      </c>
      <c r="BN137" s="201" t="s">
        <v>520</v>
      </c>
      <c r="BO137" s="262" t="s">
        <v>458</v>
      </c>
      <c r="BP137" s="201" t="s">
        <v>499</v>
      </c>
    </row>
    <row r="138" spans="1:68" ht="15.5">
      <c r="A138" s="225">
        <v>7</v>
      </c>
      <c r="B138" s="204">
        <v>34</v>
      </c>
      <c r="C138" s="226">
        <v>46190</v>
      </c>
      <c r="D138" s="491">
        <f t="shared" si="27"/>
        <v>54</v>
      </c>
      <c r="E138" s="204" t="s">
        <v>75</v>
      </c>
      <c r="F138" s="205">
        <f t="shared" si="24"/>
        <v>46190</v>
      </c>
      <c r="G138" s="206" t="s">
        <v>175</v>
      </c>
      <c r="H138" s="207">
        <f t="shared" si="32"/>
        <v>46192</v>
      </c>
      <c r="I138" s="215">
        <v>17</v>
      </c>
      <c r="J138" s="208">
        <v>134</v>
      </c>
      <c r="K138" s="209">
        <v>0.1065</v>
      </c>
      <c r="L138" s="210">
        <v>0.29000000000000004</v>
      </c>
      <c r="M138" s="210">
        <v>0.39</v>
      </c>
      <c r="N138" s="211">
        <v>47.5</v>
      </c>
      <c r="O138" s="211">
        <f t="shared" si="28"/>
        <v>27.478750000000005</v>
      </c>
      <c r="P138" s="211">
        <v>57.850000000000009</v>
      </c>
      <c r="Q138" s="210">
        <v>0.22</v>
      </c>
      <c r="R138" s="212">
        <v>84.5</v>
      </c>
      <c r="S138" s="201" t="s">
        <v>427</v>
      </c>
      <c r="T138" s="201" t="s">
        <v>460</v>
      </c>
      <c r="U138" s="201" t="s">
        <v>63</v>
      </c>
      <c r="V138" s="214">
        <v>46226</v>
      </c>
      <c r="W138" s="215">
        <f t="shared" si="29"/>
        <v>17</v>
      </c>
      <c r="X138" s="208">
        <f t="shared" si="29"/>
        <v>134</v>
      </c>
      <c r="Y138" s="209"/>
      <c r="Z138" s="210"/>
      <c r="AA138" s="210"/>
      <c r="AB138" s="211">
        <v>45</v>
      </c>
      <c r="AC138" s="211">
        <v>29.7</v>
      </c>
      <c r="AD138" s="211">
        <v>66</v>
      </c>
      <c r="AE138" s="210"/>
      <c r="AF138" s="216" t="s">
        <v>577</v>
      </c>
      <c r="AG138" s="201" t="s">
        <v>427</v>
      </c>
      <c r="AH138" s="201" t="s">
        <v>485</v>
      </c>
      <c r="AI138" s="297">
        <v>46209</v>
      </c>
      <c r="AJ138" s="201"/>
      <c r="AK138" s="201"/>
      <c r="AL138" s="201"/>
      <c r="AM138" s="201"/>
      <c r="AN138" s="201"/>
      <c r="AO138" s="218" t="str">
        <f t="shared" si="31"/>
        <v>SNI</v>
      </c>
      <c r="AP138" s="201" t="s">
        <v>458</v>
      </c>
      <c r="AQ138" s="201"/>
      <c r="AR138" s="201"/>
      <c r="AS138" s="213"/>
      <c r="AT138" s="213"/>
      <c r="AU138" s="476" t="str">
        <f t="shared" si="23"/>
        <v>Ok</v>
      </c>
      <c r="AV138" s="220">
        <v>46209</v>
      </c>
      <c r="AW138" s="221">
        <f t="shared" si="25"/>
        <v>17</v>
      </c>
      <c r="AX138" s="208">
        <f t="shared" si="26"/>
        <v>134</v>
      </c>
      <c r="AY138" s="222"/>
      <c r="AZ138" s="222"/>
      <c r="BA138" s="222"/>
      <c r="BB138" s="222"/>
      <c r="BC138" s="222"/>
      <c r="BD138" s="201"/>
      <c r="BE138" s="201"/>
      <c r="BF138" s="201"/>
      <c r="BG138" s="201"/>
      <c r="BH138" s="455">
        <v>46244</v>
      </c>
      <c r="BI138" s="215">
        <f t="shared" si="30"/>
        <v>17</v>
      </c>
      <c r="BJ138" s="208">
        <f t="shared" si="30"/>
        <v>134</v>
      </c>
      <c r="BK138" s="223">
        <v>12</v>
      </c>
      <c r="BL138" s="208">
        <v>102</v>
      </c>
      <c r="BM138" s="224" t="s">
        <v>222</v>
      </c>
      <c r="BN138" s="201"/>
      <c r="BO138" s="201"/>
      <c r="BP138" s="201"/>
    </row>
    <row r="139" spans="1:68" ht="15.5">
      <c r="A139" s="225">
        <v>7</v>
      </c>
      <c r="B139" s="204">
        <v>34</v>
      </c>
      <c r="C139" s="226">
        <v>46190</v>
      </c>
      <c r="D139" s="491">
        <f t="shared" si="27"/>
        <v>66</v>
      </c>
      <c r="E139" s="204" t="s">
        <v>75</v>
      </c>
      <c r="F139" s="205">
        <f t="shared" si="24"/>
        <v>46190</v>
      </c>
      <c r="G139" s="206" t="s">
        <v>175</v>
      </c>
      <c r="H139" s="207">
        <f t="shared" si="32"/>
        <v>46192</v>
      </c>
      <c r="I139" s="215">
        <v>17</v>
      </c>
      <c r="J139" s="208">
        <v>135</v>
      </c>
      <c r="K139" s="209">
        <v>0.108</v>
      </c>
      <c r="L139" s="210">
        <v>0.29250000000000004</v>
      </c>
      <c r="M139" s="210">
        <v>0.38</v>
      </c>
      <c r="N139" s="211">
        <v>48.25</v>
      </c>
      <c r="O139" s="211">
        <f t="shared" si="28"/>
        <v>27.743749999999999</v>
      </c>
      <c r="P139" s="211">
        <v>57.5</v>
      </c>
      <c r="Q139" s="210">
        <v>0.22</v>
      </c>
      <c r="R139" s="212">
        <v>84.5</v>
      </c>
      <c r="S139" s="201" t="s">
        <v>427</v>
      </c>
      <c r="T139" s="201" t="s">
        <v>460</v>
      </c>
      <c r="U139" s="201" t="s">
        <v>63</v>
      </c>
      <c r="V139" s="214">
        <v>46226</v>
      </c>
      <c r="W139" s="215">
        <f t="shared" si="29"/>
        <v>17</v>
      </c>
      <c r="X139" s="208">
        <f t="shared" si="29"/>
        <v>135</v>
      </c>
      <c r="Y139" s="209"/>
      <c r="Z139" s="210"/>
      <c r="AA139" s="210"/>
      <c r="AB139" s="227">
        <v>44</v>
      </c>
      <c r="AC139" s="211">
        <v>26.4</v>
      </c>
      <c r="AD139" s="227">
        <v>60</v>
      </c>
      <c r="AE139" s="210"/>
      <c r="AF139" s="216" t="s">
        <v>525</v>
      </c>
      <c r="AG139" s="201" t="s">
        <v>427</v>
      </c>
      <c r="AH139" s="201" t="s">
        <v>485</v>
      </c>
      <c r="AI139" s="297">
        <v>46212</v>
      </c>
      <c r="AJ139" s="201"/>
      <c r="AK139" s="201"/>
      <c r="AL139" s="201"/>
      <c r="AM139" s="201"/>
      <c r="AN139" s="201"/>
      <c r="AO139" s="218" t="str">
        <f t="shared" si="31"/>
        <v>SNI</v>
      </c>
      <c r="AP139" s="201" t="s">
        <v>458</v>
      </c>
      <c r="AQ139" s="201"/>
      <c r="AR139" s="201"/>
      <c r="AS139" s="213"/>
      <c r="AT139" s="213"/>
      <c r="AU139" s="476" t="str">
        <f t="shared" si="23"/>
        <v>Ok</v>
      </c>
      <c r="AV139" s="220">
        <v>46212</v>
      </c>
      <c r="AW139" s="221">
        <f t="shared" si="25"/>
        <v>17</v>
      </c>
      <c r="AX139" s="208">
        <f t="shared" si="26"/>
        <v>135</v>
      </c>
      <c r="AY139" s="222"/>
      <c r="AZ139" s="222"/>
      <c r="BA139" s="222"/>
      <c r="BB139" s="222"/>
      <c r="BC139" s="222"/>
      <c r="BD139" s="201"/>
      <c r="BE139" s="201"/>
      <c r="BF139" s="201"/>
      <c r="BG139" s="201"/>
      <c r="BH139" s="455">
        <v>46256</v>
      </c>
      <c r="BI139" s="215">
        <f t="shared" si="30"/>
        <v>17</v>
      </c>
      <c r="BJ139" s="208">
        <f t="shared" si="30"/>
        <v>135</v>
      </c>
      <c r="BK139" s="223">
        <v>16</v>
      </c>
      <c r="BL139" s="208">
        <v>135</v>
      </c>
      <c r="BM139" s="224" t="s">
        <v>222</v>
      </c>
      <c r="BN139" s="201"/>
      <c r="BO139" s="201"/>
      <c r="BP139" s="201"/>
    </row>
    <row r="140" spans="1:68" ht="15.5">
      <c r="A140" s="225">
        <v>7</v>
      </c>
      <c r="B140" s="204">
        <v>34</v>
      </c>
      <c r="C140" s="226">
        <v>46190</v>
      </c>
      <c r="D140" s="491">
        <f t="shared" si="27"/>
        <v>66</v>
      </c>
      <c r="E140" s="204" t="s">
        <v>75</v>
      </c>
      <c r="F140" s="205">
        <f t="shared" si="24"/>
        <v>46190</v>
      </c>
      <c r="G140" s="206" t="s">
        <v>175</v>
      </c>
      <c r="H140" s="207">
        <f t="shared" si="32"/>
        <v>46192</v>
      </c>
      <c r="I140" s="215">
        <v>17</v>
      </c>
      <c r="J140" s="208">
        <v>136</v>
      </c>
      <c r="K140" s="209">
        <v>0.11075</v>
      </c>
      <c r="L140" s="210">
        <v>0.28500000000000003</v>
      </c>
      <c r="M140" s="210">
        <v>0.36</v>
      </c>
      <c r="N140" s="211">
        <v>46.75</v>
      </c>
      <c r="O140" s="211">
        <f t="shared" si="28"/>
        <v>27.489000000000001</v>
      </c>
      <c r="P140" s="211">
        <v>58.8</v>
      </c>
      <c r="Q140" s="210">
        <v>0.22</v>
      </c>
      <c r="R140" s="212">
        <v>84.5</v>
      </c>
      <c r="S140" s="201" t="s">
        <v>427</v>
      </c>
      <c r="T140" s="201" t="s">
        <v>460</v>
      </c>
      <c r="U140" s="201" t="s">
        <v>63</v>
      </c>
      <c r="V140" s="300"/>
      <c r="W140" s="215">
        <f t="shared" si="29"/>
        <v>17</v>
      </c>
      <c r="X140" s="208">
        <f t="shared" si="29"/>
        <v>136</v>
      </c>
      <c r="Y140" s="209"/>
      <c r="Z140" s="210"/>
      <c r="AA140" s="210"/>
      <c r="AB140" s="211"/>
      <c r="AC140" s="211"/>
      <c r="AD140" s="211"/>
      <c r="AE140" s="210"/>
      <c r="AF140" s="212"/>
      <c r="AG140" s="201" t="s">
        <v>427</v>
      </c>
      <c r="AH140" s="201" t="s">
        <v>485</v>
      </c>
      <c r="AI140" s="297">
        <v>46234</v>
      </c>
      <c r="AJ140" s="201"/>
      <c r="AK140" s="201"/>
      <c r="AL140" s="201"/>
      <c r="AM140" s="201"/>
      <c r="AN140" s="201"/>
      <c r="AO140" s="218" t="str">
        <f t="shared" si="31"/>
        <v>SNI</v>
      </c>
      <c r="AP140" s="201" t="s">
        <v>485</v>
      </c>
      <c r="AQ140" s="201"/>
      <c r="AR140" s="201"/>
      <c r="AS140" s="213"/>
      <c r="AT140" s="213"/>
      <c r="AU140" s="476" t="str">
        <f t="shared" si="23"/>
        <v>Ok</v>
      </c>
      <c r="AV140" s="220">
        <v>46234</v>
      </c>
      <c r="AW140" s="221">
        <f t="shared" si="25"/>
        <v>17</v>
      </c>
      <c r="AX140" s="208">
        <f t="shared" si="26"/>
        <v>136</v>
      </c>
      <c r="AY140" s="222"/>
      <c r="AZ140" s="222"/>
      <c r="BA140" s="222"/>
      <c r="BB140" s="222"/>
      <c r="BC140" s="222"/>
      <c r="BD140" s="201"/>
      <c r="BE140" s="201"/>
      <c r="BF140" s="201"/>
      <c r="BG140" s="201"/>
      <c r="BH140" s="455">
        <v>46256</v>
      </c>
      <c r="BI140" s="215">
        <f t="shared" si="30"/>
        <v>17</v>
      </c>
      <c r="BJ140" s="208">
        <f t="shared" si="30"/>
        <v>136</v>
      </c>
      <c r="BK140" s="223">
        <v>16</v>
      </c>
      <c r="BL140" s="208">
        <v>136</v>
      </c>
      <c r="BM140" s="224" t="s">
        <v>222</v>
      </c>
      <c r="BN140" s="201"/>
      <c r="BO140" s="201"/>
      <c r="BP140" s="201"/>
    </row>
    <row r="141" spans="1:68" ht="15.5">
      <c r="A141" s="225">
        <v>7</v>
      </c>
      <c r="B141" s="204">
        <v>34</v>
      </c>
      <c r="C141" s="226">
        <v>46190</v>
      </c>
      <c r="D141" s="491">
        <f t="shared" si="27"/>
        <v>66</v>
      </c>
      <c r="E141" s="204" t="s">
        <v>75</v>
      </c>
      <c r="F141" s="205">
        <f t="shared" si="24"/>
        <v>46190</v>
      </c>
      <c r="G141" s="206" t="s">
        <v>175</v>
      </c>
      <c r="H141" s="207">
        <f t="shared" si="32"/>
        <v>46192</v>
      </c>
      <c r="I141" s="215">
        <v>18</v>
      </c>
      <c r="J141" s="208">
        <v>137</v>
      </c>
      <c r="K141" s="209">
        <v>0.10625</v>
      </c>
      <c r="L141" s="210">
        <v>0.27250000000000002</v>
      </c>
      <c r="M141" s="210">
        <v>0.4</v>
      </c>
      <c r="N141" s="211">
        <v>47</v>
      </c>
      <c r="O141" s="211">
        <f t="shared" si="28"/>
        <v>28.482000000000003</v>
      </c>
      <c r="P141" s="211">
        <v>60.6</v>
      </c>
      <c r="Q141" s="210">
        <v>0.23</v>
      </c>
      <c r="R141" s="212">
        <v>81</v>
      </c>
      <c r="S141" s="201" t="s">
        <v>486</v>
      </c>
      <c r="T141" s="201" t="s">
        <v>485</v>
      </c>
      <c r="U141" s="201"/>
      <c r="V141" s="214">
        <v>46226</v>
      </c>
      <c r="W141" s="215">
        <f t="shared" si="29"/>
        <v>18</v>
      </c>
      <c r="X141" s="208">
        <f t="shared" si="29"/>
        <v>137</v>
      </c>
      <c r="Y141" s="209"/>
      <c r="Z141" s="210"/>
      <c r="AA141" s="210"/>
      <c r="AB141" s="211"/>
      <c r="AC141" s="211"/>
      <c r="AD141" s="211"/>
      <c r="AE141" s="210"/>
      <c r="AF141" s="212">
        <v>89</v>
      </c>
      <c r="AG141" s="201" t="s">
        <v>486</v>
      </c>
      <c r="AH141" s="201" t="s">
        <v>485</v>
      </c>
      <c r="AI141" s="297">
        <v>46198</v>
      </c>
      <c r="AJ141" s="201"/>
      <c r="AK141" s="201"/>
      <c r="AL141" s="201"/>
      <c r="AM141" s="201"/>
      <c r="AN141" s="201"/>
      <c r="AO141" s="218" t="str">
        <f t="shared" si="31"/>
        <v>Belshina</v>
      </c>
      <c r="AP141" s="201" t="s">
        <v>458</v>
      </c>
      <c r="AQ141" s="201"/>
      <c r="AR141" s="201"/>
      <c r="AS141" s="213"/>
      <c r="AT141" s="213"/>
      <c r="AU141" s="476" t="str">
        <f t="shared" si="23"/>
        <v>Ok</v>
      </c>
      <c r="AV141" s="220">
        <v>46198</v>
      </c>
      <c r="AW141" s="221">
        <f t="shared" si="25"/>
        <v>18</v>
      </c>
      <c r="AX141" s="208">
        <f t="shared" si="26"/>
        <v>137</v>
      </c>
      <c r="AY141" s="222"/>
      <c r="AZ141" s="222"/>
      <c r="BA141" s="222"/>
      <c r="BB141" s="222"/>
      <c r="BC141" s="222"/>
      <c r="BD141" s="201"/>
      <c r="BE141" s="201"/>
      <c r="BF141" s="201"/>
      <c r="BG141" s="201"/>
      <c r="BH141" s="455">
        <v>46256</v>
      </c>
      <c r="BI141" s="215">
        <f t="shared" si="30"/>
        <v>18</v>
      </c>
      <c r="BJ141" s="208">
        <f t="shared" si="30"/>
        <v>137</v>
      </c>
      <c r="BK141" s="223">
        <v>16</v>
      </c>
      <c r="BL141" s="208">
        <v>137</v>
      </c>
      <c r="BM141" s="224" t="s">
        <v>222</v>
      </c>
      <c r="BN141" s="201"/>
      <c r="BO141" s="201"/>
      <c r="BP141" s="201"/>
    </row>
    <row r="142" spans="1:68" ht="15.5">
      <c r="A142" s="225">
        <v>7</v>
      </c>
      <c r="B142" s="204">
        <v>34</v>
      </c>
      <c r="C142" s="226">
        <v>46190</v>
      </c>
      <c r="D142" s="491">
        <f t="shared" si="27"/>
        <v>66</v>
      </c>
      <c r="E142" s="204" t="s">
        <v>75</v>
      </c>
      <c r="F142" s="205">
        <f t="shared" si="24"/>
        <v>46190</v>
      </c>
      <c r="G142" s="206" t="s">
        <v>175</v>
      </c>
      <c r="H142" s="207">
        <f t="shared" si="32"/>
        <v>46192</v>
      </c>
      <c r="I142" s="215">
        <v>18</v>
      </c>
      <c r="J142" s="208">
        <v>138</v>
      </c>
      <c r="K142" s="209">
        <v>0.104</v>
      </c>
      <c r="L142" s="210">
        <v>0.29500000000000004</v>
      </c>
      <c r="M142" s="210">
        <v>0.31</v>
      </c>
      <c r="N142" s="211">
        <v>46.5</v>
      </c>
      <c r="O142" s="211">
        <f t="shared" si="28"/>
        <v>28.736999999999998</v>
      </c>
      <c r="P142" s="211">
        <v>61.8</v>
      </c>
      <c r="Q142" s="210">
        <v>0.23</v>
      </c>
      <c r="R142" s="212">
        <v>81</v>
      </c>
      <c r="S142" s="201" t="s">
        <v>486</v>
      </c>
      <c r="T142" s="201" t="s">
        <v>485</v>
      </c>
      <c r="U142" s="201"/>
      <c r="V142" s="300"/>
      <c r="W142" s="215">
        <f t="shared" si="29"/>
        <v>18</v>
      </c>
      <c r="X142" s="208">
        <f t="shared" si="29"/>
        <v>138</v>
      </c>
      <c r="Y142" s="209"/>
      <c r="Z142" s="210"/>
      <c r="AA142" s="210"/>
      <c r="AB142" s="211"/>
      <c r="AC142" s="211"/>
      <c r="AD142" s="211"/>
      <c r="AE142" s="210"/>
      <c r="AF142" s="212"/>
      <c r="AG142" s="201" t="s">
        <v>486</v>
      </c>
      <c r="AH142" s="201" t="s">
        <v>485</v>
      </c>
      <c r="AI142" s="297">
        <v>46234</v>
      </c>
      <c r="AJ142" s="201"/>
      <c r="AK142" s="201"/>
      <c r="AL142" s="201"/>
      <c r="AM142" s="201"/>
      <c r="AN142" s="201"/>
      <c r="AO142" s="218" t="str">
        <f t="shared" si="31"/>
        <v>Belshina</v>
      </c>
      <c r="AP142" s="201" t="s">
        <v>458</v>
      </c>
      <c r="AQ142" s="201"/>
      <c r="AR142" s="201"/>
      <c r="AS142" s="213"/>
      <c r="AT142" s="213"/>
      <c r="AU142" s="476" t="str">
        <f t="shared" si="23"/>
        <v>Ok</v>
      </c>
      <c r="AV142" s="220">
        <v>46234</v>
      </c>
      <c r="AW142" s="221">
        <f t="shared" si="25"/>
        <v>18</v>
      </c>
      <c r="AX142" s="208">
        <f t="shared" si="26"/>
        <v>138</v>
      </c>
      <c r="AY142" s="222"/>
      <c r="AZ142" s="222"/>
      <c r="BA142" s="222"/>
      <c r="BB142" s="222"/>
      <c r="BC142" s="222"/>
      <c r="BD142" s="201"/>
      <c r="BE142" s="201"/>
      <c r="BF142" s="201"/>
      <c r="BG142" s="201"/>
      <c r="BH142" s="455">
        <v>46256</v>
      </c>
      <c r="BI142" s="215">
        <f t="shared" si="30"/>
        <v>18</v>
      </c>
      <c r="BJ142" s="208">
        <f t="shared" si="30"/>
        <v>138</v>
      </c>
      <c r="BK142" s="223">
        <v>16</v>
      </c>
      <c r="BL142" s="208">
        <v>138</v>
      </c>
      <c r="BM142" s="224" t="s">
        <v>222</v>
      </c>
      <c r="BN142" s="201"/>
      <c r="BO142" s="201"/>
      <c r="BP142" s="201"/>
    </row>
    <row r="143" spans="1:68" ht="15.5">
      <c r="A143" s="225">
        <v>7</v>
      </c>
      <c r="B143" s="204">
        <v>34</v>
      </c>
      <c r="C143" s="226">
        <v>46190</v>
      </c>
      <c r="D143" s="491">
        <f t="shared" si="27"/>
        <v>66</v>
      </c>
      <c r="E143" s="204" t="s">
        <v>75</v>
      </c>
      <c r="F143" s="205">
        <f t="shared" si="24"/>
        <v>46190</v>
      </c>
      <c r="G143" s="206" t="s">
        <v>175</v>
      </c>
      <c r="H143" s="207">
        <f t="shared" si="32"/>
        <v>46192</v>
      </c>
      <c r="I143" s="215">
        <v>18</v>
      </c>
      <c r="J143" s="208">
        <v>139</v>
      </c>
      <c r="K143" s="209">
        <v>0.11125</v>
      </c>
      <c r="L143" s="210">
        <v>0.29749999999999999</v>
      </c>
      <c r="M143" s="210">
        <v>0.37</v>
      </c>
      <c r="N143" s="211">
        <v>46.25</v>
      </c>
      <c r="O143" s="211">
        <f t="shared" si="28"/>
        <v>30.247500000000006</v>
      </c>
      <c r="P143" s="211">
        <v>65.400000000000006</v>
      </c>
      <c r="Q143" s="210">
        <v>0.23</v>
      </c>
      <c r="R143" s="212">
        <v>81</v>
      </c>
      <c r="S143" s="201" t="s">
        <v>486</v>
      </c>
      <c r="T143" s="201" t="s">
        <v>485</v>
      </c>
      <c r="U143" s="201"/>
      <c r="V143" s="214">
        <v>46226</v>
      </c>
      <c r="W143" s="215">
        <f t="shared" si="29"/>
        <v>18</v>
      </c>
      <c r="X143" s="208">
        <f t="shared" si="29"/>
        <v>139</v>
      </c>
      <c r="Y143" s="209"/>
      <c r="Z143" s="210"/>
      <c r="AA143" s="210"/>
      <c r="AB143" s="211"/>
      <c r="AC143" s="211"/>
      <c r="AD143" s="211"/>
      <c r="AE143" s="210"/>
      <c r="AF143" s="212">
        <v>85</v>
      </c>
      <c r="AG143" s="201" t="s">
        <v>486</v>
      </c>
      <c r="AH143" s="201" t="s">
        <v>485</v>
      </c>
      <c r="AI143" s="297">
        <v>46210</v>
      </c>
      <c r="AJ143" s="201"/>
      <c r="AK143" s="201"/>
      <c r="AL143" s="201"/>
      <c r="AM143" s="201"/>
      <c r="AN143" s="201"/>
      <c r="AO143" s="218" t="str">
        <f t="shared" si="31"/>
        <v>Belshina</v>
      </c>
      <c r="AP143" s="201" t="s">
        <v>458</v>
      </c>
      <c r="AQ143" s="201"/>
      <c r="AR143" s="201"/>
      <c r="AS143" s="213"/>
      <c r="AT143" s="213"/>
      <c r="AU143" s="476" t="str">
        <f t="shared" si="23"/>
        <v>Ok</v>
      </c>
      <c r="AV143" s="220">
        <v>46210</v>
      </c>
      <c r="AW143" s="221">
        <f t="shared" si="25"/>
        <v>18</v>
      </c>
      <c r="AX143" s="208">
        <f t="shared" si="26"/>
        <v>139</v>
      </c>
      <c r="AY143" s="222"/>
      <c r="AZ143" s="222"/>
      <c r="BA143" s="222"/>
      <c r="BB143" s="222"/>
      <c r="BC143" s="222"/>
      <c r="BD143" s="201"/>
      <c r="BE143" s="201"/>
      <c r="BF143" s="201"/>
      <c r="BG143" s="201"/>
      <c r="BH143" s="455">
        <v>46256</v>
      </c>
      <c r="BI143" s="215">
        <f t="shared" si="30"/>
        <v>18</v>
      </c>
      <c r="BJ143" s="208">
        <f t="shared" si="30"/>
        <v>139</v>
      </c>
      <c r="BK143" s="223">
        <v>16</v>
      </c>
      <c r="BL143" s="208">
        <v>139</v>
      </c>
      <c r="BM143" s="224" t="s">
        <v>222</v>
      </c>
      <c r="BN143" s="201"/>
      <c r="BO143" s="201"/>
      <c r="BP143" s="201"/>
    </row>
    <row r="144" spans="1:68" ht="15.5">
      <c r="A144" s="225">
        <v>7</v>
      </c>
      <c r="B144" s="204">
        <v>34</v>
      </c>
      <c r="C144" s="226">
        <v>46190</v>
      </c>
      <c r="D144" s="491">
        <f t="shared" si="27"/>
        <v>66</v>
      </c>
      <c r="E144" s="204" t="s">
        <v>75</v>
      </c>
      <c r="F144" s="205">
        <f t="shared" si="24"/>
        <v>46190</v>
      </c>
      <c r="G144" s="206" t="s">
        <v>175</v>
      </c>
      <c r="H144" s="207">
        <f t="shared" si="32"/>
        <v>46192</v>
      </c>
      <c r="I144" s="215">
        <v>18</v>
      </c>
      <c r="J144" s="208">
        <v>140</v>
      </c>
      <c r="K144" s="209">
        <v>0.1095</v>
      </c>
      <c r="L144" s="210">
        <v>0.29250000000000004</v>
      </c>
      <c r="M144" s="210">
        <v>0.37</v>
      </c>
      <c r="N144" s="211">
        <v>45.25</v>
      </c>
      <c r="O144" s="211">
        <f t="shared" si="28"/>
        <v>29.819750000000003</v>
      </c>
      <c r="P144" s="211">
        <v>65.900000000000006</v>
      </c>
      <c r="Q144" s="210">
        <v>0.23</v>
      </c>
      <c r="R144" s="212">
        <v>81</v>
      </c>
      <c r="S144" s="201" t="s">
        <v>486</v>
      </c>
      <c r="T144" s="201" t="s">
        <v>485</v>
      </c>
      <c r="U144" s="201"/>
      <c r="V144" s="300"/>
      <c r="W144" s="215">
        <f t="shared" si="29"/>
        <v>18</v>
      </c>
      <c r="X144" s="208">
        <f t="shared" si="29"/>
        <v>140</v>
      </c>
      <c r="Y144" s="209"/>
      <c r="Z144" s="210"/>
      <c r="AA144" s="210"/>
      <c r="AB144" s="211"/>
      <c r="AC144" s="211"/>
      <c r="AD144" s="211"/>
      <c r="AE144" s="210"/>
      <c r="AF144" s="212"/>
      <c r="AG144" s="201" t="s">
        <v>486</v>
      </c>
      <c r="AH144" s="201" t="s">
        <v>485</v>
      </c>
      <c r="AI144" s="297">
        <v>46239</v>
      </c>
      <c r="AJ144" s="201"/>
      <c r="AK144" s="201"/>
      <c r="AL144" s="201"/>
      <c r="AM144" s="201"/>
      <c r="AN144" s="201"/>
      <c r="AO144" s="218" t="str">
        <f t="shared" si="31"/>
        <v>Belshina</v>
      </c>
      <c r="AP144" s="201" t="s">
        <v>458</v>
      </c>
      <c r="AQ144" s="201"/>
      <c r="AR144" s="201"/>
      <c r="AS144" s="213"/>
      <c r="AT144" s="213"/>
      <c r="AU144" s="476" t="str">
        <f t="shared" si="23"/>
        <v>Ok</v>
      </c>
      <c r="AV144" s="220">
        <v>46234</v>
      </c>
      <c r="AW144" s="221">
        <f t="shared" si="25"/>
        <v>18</v>
      </c>
      <c r="AX144" s="208">
        <f t="shared" si="26"/>
        <v>140</v>
      </c>
      <c r="AY144" s="222"/>
      <c r="AZ144" s="222"/>
      <c r="BA144" s="222"/>
      <c r="BB144" s="222"/>
      <c r="BC144" s="222"/>
      <c r="BD144" s="201"/>
      <c r="BE144" s="201"/>
      <c r="BF144" s="219" t="s">
        <v>496</v>
      </c>
      <c r="BG144" s="219" t="s">
        <v>497</v>
      </c>
      <c r="BH144" s="455">
        <v>46256</v>
      </c>
      <c r="BI144" s="215">
        <f t="shared" si="30"/>
        <v>18</v>
      </c>
      <c r="BJ144" s="208">
        <f t="shared" si="30"/>
        <v>140</v>
      </c>
      <c r="BK144" s="223">
        <v>16</v>
      </c>
      <c r="BL144" s="208">
        <v>140</v>
      </c>
      <c r="BM144" s="224" t="s">
        <v>222</v>
      </c>
      <c r="BN144" s="201" t="s">
        <v>498</v>
      </c>
      <c r="BO144" s="262" t="s">
        <v>458</v>
      </c>
      <c r="BP144" s="201" t="s">
        <v>499</v>
      </c>
    </row>
    <row r="145" spans="1:68" s="550" customFormat="1" ht="15.5">
      <c r="A145" s="274">
        <v>7</v>
      </c>
      <c r="B145" s="275" t="s">
        <v>784</v>
      </c>
      <c r="C145" s="276">
        <v>46191</v>
      </c>
      <c r="D145" s="491">
        <f t="shared" si="27"/>
        <v>53</v>
      </c>
      <c r="E145" s="275" t="s">
        <v>75</v>
      </c>
      <c r="F145" s="277">
        <f t="shared" si="24"/>
        <v>46191</v>
      </c>
      <c r="G145" s="278" t="s">
        <v>175</v>
      </c>
      <c r="H145" s="279">
        <f t="shared" si="32"/>
        <v>46193</v>
      </c>
      <c r="I145" s="287">
        <v>18</v>
      </c>
      <c r="J145" s="280">
        <v>141</v>
      </c>
      <c r="K145" s="281">
        <v>0.11025</v>
      </c>
      <c r="L145" s="282">
        <v>0.28000000000000003</v>
      </c>
      <c r="M145" s="282">
        <v>0.31</v>
      </c>
      <c r="N145" s="283">
        <v>45</v>
      </c>
      <c r="O145" s="283">
        <f t="shared" si="28"/>
        <v>29.756250000000001</v>
      </c>
      <c r="P145" s="283">
        <v>66.125</v>
      </c>
      <c r="Q145" s="282">
        <v>0.23</v>
      </c>
      <c r="R145" s="284">
        <v>83.5</v>
      </c>
      <c r="S145" s="285" t="s">
        <v>427</v>
      </c>
      <c r="T145" s="285" t="s">
        <v>485</v>
      </c>
      <c r="U145" s="285"/>
      <c r="V145" s="342"/>
      <c r="W145" s="287">
        <f t="shared" si="29"/>
        <v>18</v>
      </c>
      <c r="X145" s="280">
        <f t="shared" si="29"/>
        <v>141</v>
      </c>
      <c r="Y145" s="281"/>
      <c r="Z145" s="282"/>
      <c r="AA145" s="282"/>
      <c r="AB145" s="283"/>
      <c r="AC145" s="283"/>
      <c r="AD145" s="283"/>
      <c r="AE145" s="282"/>
      <c r="AF145" s="284"/>
      <c r="AG145" s="285" t="s">
        <v>427</v>
      </c>
      <c r="AH145" s="285" t="s">
        <v>485</v>
      </c>
      <c r="AI145" s="340">
        <v>46239</v>
      </c>
      <c r="AJ145" s="285"/>
      <c r="AK145" s="285"/>
      <c r="AL145" s="294" t="s">
        <v>222</v>
      </c>
      <c r="AM145" s="285"/>
      <c r="AN145" s="285"/>
      <c r="AO145" s="290" t="str">
        <f t="shared" si="31"/>
        <v>SNI</v>
      </c>
      <c r="AP145" s="285" t="s">
        <v>459</v>
      </c>
      <c r="AQ145" s="285" t="s">
        <v>471</v>
      </c>
      <c r="AR145" s="285"/>
      <c r="AS145" s="291"/>
      <c r="AT145" s="291"/>
      <c r="AU145" s="476" t="str">
        <f t="shared" si="23"/>
        <v>Reject</v>
      </c>
      <c r="AV145" s="292">
        <v>46237</v>
      </c>
      <c r="AW145" s="293">
        <f t="shared" si="25"/>
        <v>18</v>
      </c>
      <c r="AX145" s="280">
        <f t="shared" si="26"/>
        <v>141</v>
      </c>
      <c r="AY145" s="294"/>
      <c r="AZ145" s="294"/>
      <c r="BA145" s="294" t="s">
        <v>222</v>
      </c>
      <c r="BB145" s="294"/>
      <c r="BC145" s="294"/>
      <c r="BD145" s="285" t="s">
        <v>459</v>
      </c>
      <c r="BE145" s="285" t="s">
        <v>471</v>
      </c>
      <c r="BF145" s="219" t="s">
        <v>564</v>
      </c>
      <c r="BG145" s="219" t="s">
        <v>497</v>
      </c>
      <c r="BH145" s="455">
        <v>46244</v>
      </c>
      <c r="BI145" s="287">
        <f t="shared" si="30"/>
        <v>18</v>
      </c>
      <c r="BJ145" s="280">
        <f t="shared" si="30"/>
        <v>141</v>
      </c>
      <c r="BK145" s="295">
        <v>12</v>
      </c>
      <c r="BL145" s="280">
        <v>103</v>
      </c>
      <c r="BM145" s="224" t="s">
        <v>222</v>
      </c>
      <c r="BN145" s="201" t="s">
        <v>520</v>
      </c>
      <c r="BO145" s="285" t="s">
        <v>458</v>
      </c>
      <c r="BP145" s="201" t="s">
        <v>499</v>
      </c>
    </row>
    <row r="146" spans="1:68" ht="15.5">
      <c r="A146" s="225">
        <v>7</v>
      </c>
      <c r="B146" s="204">
        <v>35</v>
      </c>
      <c r="C146" s="226">
        <v>46191</v>
      </c>
      <c r="D146" s="491">
        <f t="shared" si="27"/>
        <v>75</v>
      </c>
      <c r="E146" s="204" t="s">
        <v>75</v>
      </c>
      <c r="F146" s="205">
        <f t="shared" si="24"/>
        <v>46191</v>
      </c>
      <c r="G146" s="206" t="s">
        <v>175</v>
      </c>
      <c r="H146" s="207">
        <f t="shared" si="32"/>
        <v>46193</v>
      </c>
      <c r="I146" s="215">
        <v>18</v>
      </c>
      <c r="J146" s="208">
        <v>142</v>
      </c>
      <c r="K146" s="209">
        <v>0.10975</v>
      </c>
      <c r="L146" s="210">
        <v>0.3175</v>
      </c>
      <c r="M146" s="210">
        <v>0.39</v>
      </c>
      <c r="N146" s="211">
        <v>46.25</v>
      </c>
      <c r="O146" s="211">
        <f t="shared" si="28"/>
        <v>28.998750000000001</v>
      </c>
      <c r="P146" s="211">
        <v>62.7</v>
      </c>
      <c r="Q146" s="210">
        <v>0.23</v>
      </c>
      <c r="R146" s="212">
        <v>83.5</v>
      </c>
      <c r="S146" s="201" t="s">
        <v>427</v>
      </c>
      <c r="T146" s="201" t="s">
        <v>485</v>
      </c>
      <c r="U146" s="201"/>
      <c r="V146" s="214">
        <v>46226</v>
      </c>
      <c r="W146" s="215">
        <f t="shared" si="29"/>
        <v>18</v>
      </c>
      <c r="X146" s="208">
        <f t="shared" si="29"/>
        <v>142</v>
      </c>
      <c r="Y146" s="209"/>
      <c r="Z146" s="210"/>
      <c r="AA146" s="210"/>
      <c r="AB146" s="211"/>
      <c r="AC146" s="211"/>
      <c r="AD146" s="211"/>
      <c r="AE146" s="210"/>
      <c r="AF146" s="212">
        <v>86</v>
      </c>
      <c r="AG146" s="201" t="s">
        <v>427</v>
      </c>
      <c r="AH146" s="201" t="s">
        <v>485</v>
      </c>
      <c r="AI146" s="297">
        <v>46239</v>
      </c>
      <c r="AJ146" s="201"/>
      <c r="AK146" s="201"/>
      <c r="AL146" s="201"/>
      <c r="AM146" s="201"/>
      <c r="AN146" s="201"/>
      <c r="AO146" s="218" t="str">
        <f t="shared" si="31"/>
        <v>SNI</v>
      </c>
      <c r="AP146" s="201" t="s">
        <v>458</v>
      </c>
      <c r="AQ146" s="201"/>
      <c r="AR146" s="201"/>
      <c r="AS146" s="213"/>
      <c r="AT146" s="213"/>
      <c r="AU146" s="476" t="str">
        <f t="shared" ref="AU146:AU209" si="33">IF(OR(T146="Reject",AH146="Reject",AP146="Reject"),"Reject",IF(OR(T146="Hold",AH146="Hold",AP143="Hold"),"Hold","Ok"))</f>
        <v>Ok</v>
      </c>
      <c r="AV146" s="220">
        <v>46237</v>
      </c>
      <c r="AW146" s="221">
        <f t="shared" si="25"/>
        <v>18</v>
      </c>
      <c r="AX146" s="208">
        <f t="shared" si="26"/>
        <v>142</v>
      </c>
      <c r="AY146" s="222"/>
      <c r="AZ146" s="222"/>
      <c r="BA146" s="222"/>
      <c r="BB146" s="222"/>
      <c r="BC146" s="222"/>
      <c r="BD146" s="201"/>
      <c r="BE146" s="201"/>
      <c r="BF146" s="219" t="s">
        <v>496</v>
      </c>
      <c r="BG146" s="219" t="s">
        <v>497</v>
      </c>
      <c r="BH146" s="455">
        <v>46266</v>
      </c>
      <c r="BI146" s="215">
        <f t="shared" si="30"/>
        <v>18</v>
      </c>
      <c r="BJ146" s="208">
        <f t="shared" si="30"/>
        <v>142</v>
      </c>
      <c r="BK146" s="223">
        <v>19</v>
      </c>
      <c r="BL146" s="208">
        <v>165</v>
      </c>
      <c r="BM146" s="224" t="s">
        <v>222</v>
      </c>
      <c r="BN146" s="201" t="s">
        <v>520</v>
      </c>
      <c r="BO146" s="262" t="s">
        <v>458</v>
      </c>
      <c r="BP146" s="201" t="s">
        <v>499</v>
      </c>
    </row>
    <row r="147" spans="1:68" ht="15.5">
      <c r="A147" s="225">
        <v>7</v>
      </c>
      <c r="B147" s="204">
        <v>35</v>
      </c>
      <c r="C147" s="226">
        <v>46191</v>
      </c>
      <c r="D147" s="491">
        <f t="shared" si="27"/>
        <v>71</v>
      </c>
      <c r="E147" s="204" t="s">
        <v>75</v>
      </c>
      <c r="F147" s="205">
        <f t="shared" si="24"/>
        <v>46191</v>
      </c>
      <c r="G147" s="206" t="s">
        <v>175</v>
      </c>
      <c r="H147" s="207">
        <f t="shared" si="32"/>
        <v>46193</v>
      </c>
      <c r="I147" s="215">
        <v>18</v>
      </c>
      <c r="J147" s="208">
        <v>143</v>
      </c>
      <c r="K147" s="209">
        <v>0.1075</v>
      </c>
      <c r="L147" s="210">
        <v>0.3175</v>
      </c>
      <c r="M147" s="210">
        <v>0.38</v>
      </c>
      <c r="N147" s="211">
        <v>45.25</v>
      </c>
      <c r="O147" s="211">
        <f t="shared" si="28"/>
        <v>28.484875000000002</v>
      </c>
      <c r="P147" s="211">
        <v>62.95</v>
      </c>
      <c r="Q147" s="210">
        <v>0.23</v>
      </c>
      <c r="R147" s="212">
        <v>83.5</v>
      </c>
      <c r="S147" s="201" t="s">
        <v>427</v>
      </c>
      <c r="T147" s="201" t="s">
        <v>485</v>
      </c>
      <c r="U147" s="201"/>
      <c r="V147" s="214">
        <v>46226</v>
      </c>
      <c r="W147" s="215">
        <f t="shared" si="29"/>
        <v>18</v>
      </c>
      <c r="X147" s="208">
        <f t="shared" si="29"/>
        <v>143</v>
      </c>
      <c r="Y147" s="209"/>
      <c r="Z147" s="210"/>
      <c r="AA147" s="210"/>
      <c r="AB147" s="211"/>
      <c r="AC147" s="211"/>
      <c r="AD147" s="211"/>
      <c r="AE147" s="210"/>
      <c r="AF147" s="212" t="s">
        <v>578</v>
      </c>
      <c r="AG147" s="201" t="s">
        <v>486</v>
      </c>
      <c r="AH147" s="201" t="s">
        <v>485</v>
      </c>
      <c r="AI147" s="297">
        <v>46213</v>
      </c>
      <c r="AJ147" s="201"/>
      <c r="AK147" s="201"/>
      <c r="AL147" s="201"/>
      <c r="AM147" s="201"/>
      <c r="AN147" s="201"/>
      <c r="AO147" s="218" t="str">
        <f t="shared" si="31"/>
        <v>Belshina</v>
      </c>
      <c r="AP147" s="201" t="s">
        <v>458</v>
      </c>
      <c r="AQ147" s="201"/>
      <c r="AR147" s="201"/>
      <c r="AS147" s="213"/>
      <c r="AT147" s="213"/>
      <c r="AU147" s="476" t="str">
        <f t="shared" si="33"/>
        <v>Ok</v>
      </c>
      <c r="AV147" s="220">
        <v>46213</v>
      </c>
      <c r="AW147" s="221">
        <f t="shared" si="25"/>
        <v>18</v>
      </c>
      <c r="AX147" s="208">
        <f t="shared" si="26"/>
        <v>143</v>
      </c>
      <c r="AY147" s="222"/>
      <c r="AZ147" s="222"/>
      <c r="BA147" s="222"/>
      <c r="BB147" s="222"/>
      <c r="BC147" s="222"/>
      <c r="BD147" s="201"/>
      <c r="BE147" s="201"/>
      <c r="BF147" s="201"/>
      <c r="BG147" s="201"/>
      <c r="BH147" s="455">
        <v>46262</v>
      </c>
      <c r="BI147" s="215">
        <f t="shared" si="30"/>
        <v>18</v>
      </c>
      <c r="BJ147" s="208">
        <f t="shared" si="30"/>
        <v>143</v>
      </c>
      <c r="BK147" s="223">
        <v>17</v>
      </c>
      <c r="BL147" s="208">
        <v>142</v>
      </c>
      <c r="BM147" s="224" t="s">
        <v>222</v>
      </c>
      <c r="BN147" s="201"/>
      <c r="BO147" s="201"/>
      <c r="BP147" s="201"/>
    </row>
    <row r="148" spans="1:68" ht="15.5">
      <c r="A148" s="225">
        <v>7</v>
      </c>
      <c r="B148" s="204">
        <v>35</v>
      </c>
      <c r="C148" s="226">
        <v>46191</v>
      </c>
      <c r="D148" s="491">
        <f t="shared" si="27"/>
        <v>71</v>
      </c>
      <c r="E148" s="204" t="s">
        <v>75</v>
      </c>
      <c r="F148" s="205">
        <f t="shared" si="24"/>
        <v>46191</v>
      </c>
      <c r="G148" s="206" t="s">
        <v>175</v>
      </c>
      <c r="H148" s="207">
        <f t="shared" si="32"/>
        <v>46193</v>
      </c>
      <c r="I148" s="215">
        <v>18</v>
      </c>
      <c r="J148" s="208">
        <v>144</v>
      </c>
      <c r="K148" s="209">
        <v>0.105</v>
      </c>
      <c r="L148" s="210">
        <v>0.33500000000000002</v>
      </c>
      <c r="M148" s="210">
        <v>0.32</v>
      </c>
      <c r="N148" s="211">
        <v>45.25</v>
      </c>
      <c r="O148" s="211">
        <f t="shared" si="28"/>
        <v>29.978124999999999</v>
      </c>
      <c r="P148" s="211">
        <v>66.25</v>
      </c>
      <c r="Q148" s="210">
        <v>0.23</v>
      </c>
      <c r="R148" s="212">
        <v>83.5</v>
      </c>
      <c r="S148" s="201" t="s">
        <v>427</v>
      </c>
      <c r="T148" s="201" t="s">
        <v>485</v>
      </c>
      <c r="U148" s="201"/>
      <c r="V148" s="214">
        <v>46226</v>
      </c>
      <c r="W148" s="215">
        <f t="shared" si="29"/>
        <v>18</v>
      </c>
      <c r="X148" s="208">
        <f t="shared" si="29"/>
        <v>144</v>
      </c>
      <c r="Y148" s="209"/>
      <c r="Z148" s="210"/>
      <c r="AA148" s="210"/>
      <c r="AB148" s="211"/>
      <c r="AC148" s="211"/>
      <c r="AD148" s="211"/>
      <c r="AE148" s="210"/>
      <c r="AF148" s="212" t="s">
        <v>579</v>
      </c>
      <c r="AG148" s="201" t="s">
        <v>486</v>
      </c>
      <c r="AH148" s="201" t="s">
        <v>485</v>
      </c>
      <c r="AI148" s="297">
        <v>46212</v>
      </c>
      <c r="AJ148" s="201"/>
      <c r="AK148" s="201"/>
      <c r="AL148" s="201"/>
      <c r="AM148" s="201"/>
      <c r="AN148" s="201"/>
      <c r="AO148" s="218" t="str">
        <f t="shared" si="31"/>
        <v>Belshina</v>
      </c>
      <c r="AP148" s="201" t="s">
        <v>458</v>
      </c>
      <c r="AQ148" s="201"/>
      <c r="AR148" s="201"/>
      <c r="AS148" s="213"/>
      <c r="AT148" s="213"/>
      <c r="AU148" s="476" t="str">
        <f t="shared" si="33"/>
        <v>Ok</v>
      </c>
      <c r="AV148" s="220">
        <v>46212</v>
      </c>
      <c r="AW148" s="221">
        <f t="shared" si="25"/>
        <v>18</v>
      </c>
      <c r="AX148" s="208">
        <f t="shared" si="26"/>
        <v>144</v>
      </c>
      <c r="AY148" s="222"/>
      <c r="AZ148" s="222"/>
      <c r="BA148" s="222"/>
      <c r="BB148" s="222"/>
      <c r="BC148" s="222"/>
      <c r="BD148" s="201"/>
      <c r="BE148" s="201"/>
      <c r="BF148" s="201"/>
      <c r="BG148" s="201"/>
      <c r="BH148" s="455">
        <v>46262</v>
      </c>
      <c r="BI148" s="215">
        <f t="shared" si="30"/>
        <v>18</v>
      </c>
      <c r="BJ148" s="208">
        <f t="shared" si="30"/>
        <v>144</v>
      </c>
      <c r="BK148" s="223">
        <v>17</v>
      </c>
      <c r="BL148" s="208">
        <v>143</v>
      </c>
      <c r="BM148" s="224" t="s">
        <v>222</v>
      </c>
      <c r="BN148" s="201"/>
      <c r="BO148" s="201"/>
      <c r="BP148" s="201"/>
    </row>
    <row r="149" spans="1:68" ht="15.5">
      <c r="A149" s="225">
        <v>7</v>
      </c>
      <c r="B149" s="204">
        <v>35</v>
      </c>
      <c r="C149" s="226">
        <v>46191</v>
      </c>
      <c r="D149" s="491">
        <f t="shared" si="27"/>
        <v>71</v>
      </c>
      <c r="E149" s="204" t="s">
        <v>75</v>
      </c>
      <c r="F149" s="205">
        <f t="shared" si="24"/>
        <v>46191</v>
      </c>
      <c r="G149" s="206" t="s">
        <v>175</v>
      </c>
      <c r="H149" s="207">
        <f t="shared" si="32"/>
        <v>46193</v>
      </c>
      <c r="I149" s="215">
        <v>19</v>
      </c>
      <c r="J149" s="208">
        <v>145</v>
      </c>
      <c r="K149" s="209">
        <v>0.10625</v>
      </c>
      <c r="L149" s="210">
        <v>0.29499999999999998</v>
      </c>
      <c r="M149" s="210">
        <v>0.3</v>
      </c>
      <c r="N149" s="211">
        <v>42.75</v>
      </c>
      <c r="O149" s="211">
        <f t="shared" si="28"/>
        <v>27.263812500000004</v>
      </c>
      <c r="P149" s="211">
        <v>63.775000000000006</v>
      </c>
      <c r="Q149" s="210">
        <v>0.24</v>
      </c>
      <c r="R149" s="212">
        <v>78</v>
      </c>
      <c r="S149" s="201" t="s">
        <v>486</v>
      </c>
      <c r="T149" s="201" t="s">
        <v>485</v>
      </c>
      <c r="U149" s="201"/>
      <c r="V149" s="300"/>
      <c r="W149" s="215">
        <f t="shared" si="29"/>
        <v>19</v>
      </c>
      <c r="X149" s="208">
        <f t="shared" si="29"/>
        <v>145</v>
      </c>
      <c r="Y149" s="209"/>
      <c r="Z149" s="210"/>
      <c r="AA149" s="210"/>
      <c r="AB149" s="211"/>
      <c r="AC149" s="211"/>
      <c r="AD149" s="211"/>
      <c r="AE149" s="210"/>
      <c r="AF149" s="212"/>
      <c r="AG149" s="201" t="str">
        <f>S149</f>
        <v>Belshina</v>
      </c>
      <c r="AH149" s="201" t="s">
        <v>485</v>
      </c>
      <c r="AI149" s="297">
        <v>46225</v>
      </c>
      <c r="AJ149" s="201"/>
      <c r="AK149" s="201"/>
      <c r="AL149" s="201"/>
      <c r="AM149" s="201"/>
      <c r="AN149" s="201"/>
      <c r="AO149" s="218" t="str">
        <f t="shared" si="31"/>
        <v>Belshina</v>
      </c>
      <c r="AP149" s="201" t="s">
        <v>458</v>
      </c>
      <c r="AQ149" s="201"/>
      <c r="AR149" s="201"/>
      <c r="AS149" s="213"/>
      <c r="AT149" s="213"/>
      <c r="AU149" s="476" t="str">
        <f t="shared" si="33"/>
        <v>Ok</v>
      </c>
      <c r="AV149" s="220">
        <v>46225</v>
      </c>
      <c r="AW149" s="221">
        <f t="shared" si="25"/>
        <v>19</v>
      </c>
      <c r="AX149" s="208">
        <f t="shared" si="26"/>
        <v>145</v>
      </c>
      <c r="AY149" s="222"/>
      <c r="AZ149" s="222"/>
      <c r="BA149" s="222"/>
      <c r="BB149" s="222"/>
      <c r="BC149" s="222"/>
      <c r="BD149" s="201"/>
      <c r="BE149" s="201"/>
      <c r="BF149" s="201"/>
      <c r="BG149" s="201"/>
      <c r="BH149" s="455">
        <v>46262</v>
      </c>
      <c r="BI149" s="215">
        <f t="shared" si="30"/>
        <v>19</v>
      </c>
      <c r="BJ149" s="208">
        <f t="shared" si="30"/>
        <v>145</v>
      </c>
      <c r="BK149" s="223">
        <v>17</v>
      </c>
      <c r="BL149" s="208">
        <v>144</v>
      </c>
      <c r="BM149" s="224" t="s">
        <v>222</v>
      </c>
      <c r="BN149" s="201"/>
      <c r="BO149" s="201"/>
      <c r="BP149" s="201"/>
    </row>
    <row r="150" spans="1:68" ht="15.5">
      <c r="A150" s="225">
        <v>7</v>
      </c>
      <c r="B150" s="204">
        <v>35</v>
      </c>
      <c r="C150" s="226">
        <v>46191</v>
      </c>
      <c r="D150" s="491">
        <f t="shared" si="27"/>
        <v>71</v>
      </c>
      <c r="E150" s="204" t="s">
        <v>75</v>
      </c>
      <c r="F150" s="205">
        <f t="shared" si="24"/>
        <v>46191</v>
      </c>
      <c r="G150" s="206" t="s">
        <v>175</v>
      </c>
      <c r="H150" s="207">
        <f t="shared" si="32"/>
        <v>46193</v>
      </c>
      <c r="I150" s="215">
        <v>19</v>
      </c>
      <c r="J150" s="208">
        <v>146</v>
      </c>
      <c r="K150" s="209">
        <v>0.108</v>
      </c>
      <c r="L150" s="210">
        <v>0.29250000000000004</v>
      </c>
      <c r="M150" s="210">
        <v>0.32</v>
      </c>
      <c r="N150" s="211">
        <v>45.75</v>
      </c>
      <c r="O150" s="211">
        <f t="shared" si="28"/>
        <v>29.485874999999997</v>
      </c>
      <c r="P150" s="211">
        <v>64.449999999999989</v>
      </c>
      <c r="Q150" s="210">
        <v>0.24</v>
      </c>
      <c r="R150" s="212">
        <v>78</v>
      </c>
      <c r="S150" s="201" t="s">
        <v>486</v>
      </c>
      <c r="T150" s="201" t="s">
        <v>485</v>
      </c>
      <c r="U150" s="201"/>
      <c r="V150" s="214">
        <v>46226</v>
      </c>
      <c r="W150" s="215">
        <f t="shared" si="29"/>
        <v>19</v>
      </c>
      <c r="X150" s="208">
        <f t="shared" si="29"/>
        <v>146</v>
      </c>
      <c r="Y150" s="209"/>
      <c r="Z150" s="210"/>
      <c r="AA150" s="210"/>
      <c r="AB150" s="211"/>
      <c r="AC150" s="211"/>
      <c r="AD150" s="211"/>
      <c r="AE150" s="210"/>
      <c r="AF150" s="212">
        <v>86</v>
      </c>
      <c r="AG150" s="201" t="str">
        <f>S150</f>
        <v>Belshina</v>
      </c>
      <c r="AH150" s="201" t="s">
        <v>485</v>
      </c>
      <c r="AI150" s="297">
        <v>46210</v>
      </c>
      <c r="AJ150" s="201"/>
      <c r="AK150" s="201"/>
      <c r="AL150" s="201"/>
      <c r="AM150" s="201"/>
      <c r="AN150" s="201"/>
      <c r="AO150" s="218" t="str">
        <f t="shared" si="31"/>
        <v>Belshina</v>
      </c>
      <c r="AP150" s="201" t="s">
        <v>458</v>
      </c>
      <c r="AQ150" s="201"/>
      <c r="AR150" s="201"/>
      <c r="AS150" s="213"/>
      <c r="AT150" s="213"/>
      <c r="AU150" s="476" t="str">
        <f t="shared" si="33"/>
        <v>Ok</v>
      </c>
      <c r="AV150" s="220">
        <v>46210</v>
      </c>
      <c r="AW150" s="221">
        <f t="shared" si="25"/>
        <v>19</v>
      </c>
      <c r="AX150" s="208">
        <f t="shared" si="26"/>
        <v>146</v>
      </c>
      <c r="AY150" s="222"/>
      <c r="AZ150" s="222"/>
      <c r="BA150" s="222"/>
      <c r="BB150" s="222"/>
      <c r="BC150" s="222"/>
      <c r="BD150" s="201"/>
      <c r="BE150" s="201"/>
      <c r="BF150" s="201"/>
      <c r="BG150" s="201"/>
      <c r="BH150" s="455">
        <v>46262</v>
      </c>
      <c r="BI150" s="215">
        <f t="shared" si="30"/>
        <v>19</v>
      </c>
      <c r="BJ150" s="208">
        <f t="shared" si="30"/>
        <v>146</v>
      </c>
      <c r="BK150" s="223">
        <v>17</v>
      </c>
      <c r="BL150" s="208">
        <v>145</v>
      </c>
      <c r="BM150" s="224" t="s">
        <v>222</v>
      </c>
      <c r="BN150" s="201"/>
      <c r="BO150" s="201"/>
      <c r="BP150" s="201"/>
    </row>
    <row r="151" spans="1:68" ht="15.5">
      <c r="A151" s="225">
        <v>7</v>
      </c>
      <c r="B151" s="204">
        <v>35</v>
      </c>
      <c r="C151" s="226">
        <v>46191</v>
      </c>
      <c r="D151" s="491">
        <f t="shared" si="27"/>
        <v>71</v>
      </c>
      <c r="E151" s="204" t="s">
        <v>75</v>
      </c>
      <c r="F151" s="205">
        <f t="shared" si="24"/>
        <v>46191</v>
      </c>
      <c r="G151" s="206" t="s">
        <v>175</v>
      </c>
      <c r="H151" s="207">
        <f t="shared" si="32"/>
        <v>46193</v>
      </c>
      <c r="I151" s="215">
        <v>19</v>
      </c>
      <c r="J151" s="208">
        <v>147</v>
      </c>
      <c r="K151" s="209">
        <v>0.1085</v>
      </c>
      <c r="L151" s="210">
        <v>0.31</v>
      </c>
      <c r="M151" s="210">
        <v>0.3</v>
      </c>
      <c r="N151" s="211">
        <v>45.5</v>
      </c>
      <c r="O151" s="211">
        <f t="shared" si="28"/>
        <v>29.233750000000001</v>
      </c>
      <c r="P151" s="211">
        <v>64.25</v>
      </c>
      <c r="Q151" s="210">
        <v>0.24</v>
      </c>
      <c r="R151" s="212">
        <v>78</v>
      </c>
      <c r="S151" s="201" t="s">
        <v>486</v>
      </c>
      <c r="T151" s="201" t="s">
        <v>485</v>
      </c>
      <c r="U151" s="201"/>
      <c r="V151" s="214">
        <v>46226</v>
      </c>
      <c r="W151" s="215">
        <f t="shared" si="29"/>
        <v>19</v>
      </c>
      <c r="X151" s="208">
        <f t="shared" si="29"/>
        <v>147</v>
      </c>
      <c r="Y151" s="209"/>
      <c r="Z151" s="210"/>
      <c r="AA151" s="210"/>
      <c r="AB151" s="211"/>
      <c r="AC151" s="211"/>
      <c r="AD151" s="211"/>
      <c r="AE151" s="210"/>
      <c r="AF151" s="212">
        <v>83</v>
      </c>
      <c r="AG151" s="201" t="str">
        <f>S151</f>
        <v>Belshina</v>
      </c>
      <c r="AH151" s="201" t="s">
        <v>485</v>
      </c>
      <c r="AI151" s="297">
        <v>46198</v>
      </c>
      <c r="AJ151" s="201"/>
      <c r="AK151" s="201"/>
      <c r="AL151" s="201"/>
      <c r="AM151" s="201"/>
      <c r="AN151" s="201"/>
      <c r="AO151" s="218" t="str">
        <f t="shared" si="31"/>
        <v>Belshina</v>
      </c>
      <c r="AP151" s="201" t="s">
        <v>458</v>
      </c>
      <c r="AQ151" s="201"/>
      <c r="AR151" s="201"/>
      <c r="AS151" s="213"/>
      <c r="AT151" s="213"/>
      <c r="AU151" s="476" t="str">
        <f t="shared" si="33"/>
        <v>Ok</v>
      </c>
      <c r="AV151" s="220">
        <v>46198</v>
      </c>
      <c r="AW151" s="221">
        <f t="shared" si="25"/>
        <v>19</v>
      </c>
      <c r="AX151" s="208">
        <f t="shared" si="26"/>
        <v>147</v>
      </c>
      <c r="AY151" s="222"/>
      <c r="AZ151" s="222"/>
      <c r="BA151" s="222"/>
      <c r="BB151" s="222"/>
      <c r="BC151" s="222"/>
      <c r="BD151" s="201"/>
      <c r="BE151" s="201"/>
      <c r="BF151" s="201"/>
      <c r="BG151" s="201"/>
      <c r="BH151" s="455">
        <v>46262</v>
      </c>
      <c r="BI151" s="215">
        <f t="shared" si="30"/>
        <v>19</v>
      </c>
      <c r="BJ151" s="208">
        <f t="shared" si="30"/>
        <v>147</v>
      </c>
      <c r="BK151" s="223">
        <v>17</v>
      </c>
      <c r="BL151" s="208">
        <v>146</v>
      </c>
      <c r="BM151" s="224" t="s">
        <v>222</v>
      </c>
      <c r="BN151" s="201"/>
      <c r="BO151" s="201"/>
      <c r="BP151" s="201"/>
    </row>
    <row r="152" spans="1:68" ht="15.5">
      <c r="A152" s="225">
        <v>7</v>
      </c>
      <c r="B152" s="204">
        <v>35</v>
      </c>
      <c r="C152" s="226">
        <v>46191</v>
      </c>
      <c r="D152" s="491">
        <f t="shared" si="27"/>
        <v>57</v>
      </c>
      <c r="E152" s="204" t="s">
        <v>75</v>
      </c>
      <c r="F152" s="205">
        <f t="shared" si="24"/>
        <v>46191</v>
      </c>
      <c r="G152" s="206" t="s">
        <v>175</v>
      </c>
      <c r="H152" s="207">
        <f t="shared" si="32"/>
        <v>46193</v>
      </c>
      <c r="I152" s="215">
        <v>19</v>
      </c>
      <c r="J152" s="208">
        <v>148</v>
      </c>
      <c r="K152" s="209">
        <v>0.111</v>
      </c>
      <c r="L152" s="210">
        <v>0.29750000000000004</v>
      </c>
      <c r="M152" s="210">
        <v>0.39</v>
      </c>
      <c r="N152" s="211">
        <v>46.5</v>
      </c>
      <c r="O152" s="211">
        <f t="shared" si="28"/>
        <v>30.724875000000001</v>
      </c>
      <c r="P152" s="211">
        <v>66.075000000000003</v>
      </c>
      <c r="Q152" s="210">
        <v>0.24</v>
      </c>
      <c r="R152" s="212">
        <v>78</v>
      </c>
      <c r="S152" s="201" t="s">
        <v>486</v>
      </c>
      <c r="T152" s="201" t="s">
        <v>485</v>
      </c>
      <c r="U152" s="201"/>
      <c r="V152" s="300"/>
      <c r="W152" s="215">
        <f t="shared" si="29"/>
        <v>19</v>
      </c>
      <c r="X152" s="208">
        <f t="shared" si="29"/>
        <v>148</v>
      </c>
      <c r="Y152" s="209"/>
      <c r="Z152" s="210"/>
      <c r="AA152" s="210"/>
      <c r="AB152" s="211"/>
      <c r="AC152" s="211"/>
      <c r="AD152" s="211"/>
      <c r="AE152" s="210"/>
      <c r="AF152" s="212"/>
      <c r="AG152" s="201" t="str">
        <f>S152</f>
        <v>Belshina</v>
      </c>
      <c r="AH152" s="201" t="s">
        <v>485</v>
      </c>
      <c r="AI152" s="297">
        <v>46232</v>
      </c>
      <c r="AJ152" s="201"/>
      <c r="AK152" s="201"/>
      <c r="AL152" s="201"/>
      <c r="AM152" s="201"/>
      <c r="AN152" s="201"/>
      <c r="AO152" s="218" t="str">
        <f t="shared" si="31"/>
        <v>Belshina</v>
      </c>
      <c r="AP152" s="201" t="s">
        <v>458</v>
      </c>
      <c r="AQ152" s="201"/>
      <c r="AR152" s="201"/>
      <c r="AS152" s="213"/>
      <c r="AT152" s="213"/>
      <c r="AU152" s="476" t="str">
        <f t="shared" si="33"/>
        <v>Ok</v>
      </c>
      <c r="AV152" s="220">
        <v>46232</v>
      </c>
      <c r="AW152" s="221">
        <f t="shared" si="25"/>
        <v>19</v>
      </c>
      <c r="AX152" s="208">
        <f t="shared" si="26"/>
        <v>148</v>
      </c>
      <c r="AY152" s="222"/>
      <c r="AZ152" s="222"/>
      <c r="BA152" s="222"/>
      <c r="BB152" s="222"/>
      <c r="BC152" s="222"/>
      <c r="BD152" s="201"/>
      <c r="BE152" s="201"/>
      <c r="BF152" s="201"/>
      <c r="BG152" s="201"/>
      <c r="BH152" s="455">
        <v>46248</v>
      </c>
      <c r="BI152" s="215">
        <f t="shared" si="30"/>
        <v>19</v>
      </c>
      <c r="BJ152" s="208">
        <f t="shared" si="30"/>
        <v>148</v>
      </c>
      <c r="BK152" s="223">
        <v>13</v>
      </c>
      <c r="BL152" s="208">
        <v>107</v>
      </c>
      <c r="BM152" s="224" t="s">
        <v>222</v>
      </c>
      <c r="BN152" s="201"/>
      <c r="BO152" s="201"/>
      <c r="BP152" s="201"/>
    </row>
    <row r="153" spans="1:68" ht="15.5">
      <c r="A153" s="225">
        <v>7</v>
      </c>
      <c r="B153" s="204">
        <v>35</v>
      </c>
      <c r="C153" s="226">
        <v>46191</v>
      </c>
      <c r="D153" s="491">
        <f t="shared" si="27"/>
        <v>71</v>
      </c>
      <c r="E153" s="204" t="s">
        <v>75</v>
      </c>
      <c r="F153" s="205">
        <f t="shared" si="24"/>
        <v>46191</v>
      </c>
      <c r="G153" s="206" t="s">
        <v>175</v>
      </c>
      <c r="H153" s="207">
        <f t="shared" si="32"/>
        <v>46193</v>
      </c>
      <c r="I153" s="215">
        <v>19</v>
      </c>
      <c r="J153" s="208">
        <v>149</v>
      </c>
      <c r="K153" s="209">
        <v>0.105</v>
      </c>
      <c r="L153" s="210">
        <v>0.3</v>
      </c>
      <c r="M153" s="210">
        <v>0.34</v>
      </c>
      <c r="N153" s="211">
        <v>43.75</v>
      </c>
      <c r="O153" s="211">
        <f t="shared" si="28"/>
        <v>27.792187500000001</v>
      </c>
      <c r="P153" s="211">
        <v>63.524999999999999</v>
      </c>
      <c r="Q153" s="210">
        <v>0.24</v>
      </c>
      <c r="R153" s="212">
        <v>84.5</v>
      </c>
      <c r="S153" s="201" t="s">
        <v>427</v>
      </c>
      <c r="T153" s="201" t="s">
        <v>485</v>
      </c>
      <c r="U153" s="201"/>
      <c r="V153" s="300">
        <v>46212</v>
      </c>
      <c r="W153" s="215">
        <f t="shared" si="29"/>
        <v>19</v>
      </c>
      <c r="X153" s="208">
        <f t="shared" si="29"/>
        <v>149</v>
      </c>
      <c r="Y153" s="209"/>
      <c r="Z153" s="210"/>
      <c r="AA153" s="210"/>
      <c r="AB153" s="211"/>
      <c r="AC153" s="211"/>
      <c r="AD153" s="211"/>
      <c r="AE153" s="210"/>
      <c r="AF153" s="212">
        <v>81.5</v>
      </c>
      <c r="AG153" s="201" t="s">
        <v>486</v>
      </c>
      <c r="AH153" s="201" t="s">
        <v>485</v>
      </c>
      <c r="AI153" s="297">
        <v>46211</v>
      </c>
      <c r="AJ153" s="201"/>
      <c r="AK153" s="201"/>
      <c r="AL153" s="201"/>
      <c r="AM153" s="201"/>
      <c r="AN153" s="201"/>
      <c r="AO153" s="218" t="str">
        <f t="shared" si="31"/>
        <v>Belshina</v>
      </c>
      <c r="AP153" s="201" t="s">
        <v>458</v>
      </c>
      <c r="AQ153" s="201"/>
      <c r="AR153" s="201"/>
      <c r="AS153" s="213"/>
      <c r="AT153" s="213"/>
      <c r="AU153" s="476" t="str">
        <f t="shared" si="33"/>
        <v>Ok</v>
      </c>
      <c r="AV153" s="220">
        <v>46211</v>
      </c>
      <c r="AW153" s="221">
        <f t="shared" si="25"/>
        <v>19</v>
      </c>
      <c r="AX153" s="208">
        <f t="shared" si="26"/>
        <v>149</v>
      </c>
      <c r="AY153" s="222"/>
      <c r="AZ153" s="222"/>
      <c r="BA153" s="222"/>
      <c r="BB153" s="222"/>
      <c r="BC153" s="222"/>
      <c r="BD153" s="201"/>
      <c r="BE153" s="201"/>
      <c r="BF153" s="201"/>
      <c r="BG153" s="201"/>
      <c r="BH153" s="455">
        <v>46262</v>
      </c>
      <c r="BI153" s="215">
        <f t="shared" si="30"/>
        <v>19</v>
      </c>
      <c r="BJ153" s="208">
        <f t="shared" si="30"/>
        <v>149</v>
      </c>
      <c r="BK153" s="223">
        <v>17</v>
      </c>
      <c r="BL153" s="208">
        <v>147</v>
      </c>
      <c r="BM153" s="224" t="s">
        <v>222</v>
      </c>
      <c r="BN153" s="201"/>
      <c r="BO153" s="201"/>
      <c r="BP153" s="201"/>
    </row>
    <row r="154" spans="1:68" ht="15.5">
      <c r="A154" s="225">
        <v>7</v>
      </c>
      <c r="B154" s="204">
        <v>35</v>
      </c>
      <c r="C154" s="226">
        <v>46191</v>
      </c>
      <c r="D154" s="491">
        <f t="shared" si="27"/>
        <v>71</v>
      </c>
      <c r="E154" s="204" t="s">
        <v>75</v>
      </c>
      <c r="F154" s="205">
        <f t="shared" si="24"/>
        <v>46191</v>
      </c>
      <c r="G154" s="206" t="s">
        <v>175</v>
      </c>
      <c r="H154" s="207">
        <f t="shared" si="32"/>
        <v>46193</v>
      </c>
      <c r="I154" s="215">
        <v>19</v>
      </c>
      <c r="J154" s="208">
        <v>150</v>
      </c>
      <c r="K154" s="209">
        <v>0.10375</v>
      </c>
      <c r="L154" s="210">
        <v>0.27500000000000002</v>
      </c>
      <c r="M154" s="210">
        <v>0.32</v>
      </c>
      <c r="N154" s="211">
        <v>45</v>
      </c>
      <c r="O154" s="211">
        <f t="shared" si="28"/>
        <v>27.4725</v>
      </c>
      <c r="P154" s="211">
        <v>61.05</v>
      </c>
      <c r="Q154" s="210">
        <v>0.24</v>
      </c>
      <c r="R154" s="212">
        <v>84.5</v>
      </c>
      <c r="S154" s="201" t="s">
        <v>427</v>
      </c>
      <c r="T154" s="201" t="s">
        <v>485</v>
      </c>
      <c r="U154" s="201"/>
      <c r="V154" s="214">
        <v>46226</v>
      </c>
      <c r="W154" s="215">
        <f t="shared" si="29"/>
        <v>19</v>
      </c>
      <c r="X154" s="208">
        <f t="shared" si="29"/>
        <v>150</v>
      </c>
      <c r="Y154" s="209"/>
      <c r="Z154" s="210"/>
      <c r="AA154" s="210"/>
      <c r="AB154" s="211"/>
      <c r="AC154" s="211"/>
      <c r="AD154" s="211"/>
      <c r="AE154" s="210"/>
      <c r="AF154" s="212">
        <v>92</v>
      </c>
      <c r="AG154" s="201" t="str">
        <f>S154</f>
        <v>SNI</v>
      </c>
      <c r="AH154" s="201" t="s">
        <v>485</v>
      </c>
      <c r="AI154" s="297">
        <v>46218</v>
      </c>
      <c r="AJ154" s="201"/>
      <c r="AK154" s="201"/>
      <c r="AL154" s="201"/>
      <c r="AM154" s="201"/>
      <c r="AN154" s="201"/>
      <c r="AO154" s="218" t="str">
        <f t="shared" si="31"/>
        <v>SNI</v>
      </c>
      <c r="AP154" s="201" t="s">
        <v>458</v>
      </c>
      <c r="AQ154" s="201"/>
      <c r="AR154" s="201"/>
      <c r="AS154" s="213"/>
      <c r="AT154" s="213"/>
      <c r="AU154" s="476" t="str">
        <f t="shared" si="33"/>
        <v>Ok</v>
      </c>
      <c r="AV154" s="220">
        <v>46218</v>
      </c>
      <c r="AW154" s="221">
        <f t="shared" si="25"/>
        <v>19</v>
      </c>
      <c r="AX154" s="208">
        <f t="shared" si="26"/>
        <v>150</v>
      </c>
      <c r="AY154" s="222"/>
      <c r="AZ154" s="222"/>
      <c r="BA154" s="222"/>
      <c r="BB154" s="222"/>
      <c r="BC154" s="222"/>
      <c r="BD154" s="201"/>
      <c r="BE154" s="201"/>
      <c r="BF154" s="201"/>
      <c r="BG154" s="201"/>
      <c r="BH154" s="455">
        <v>46262</v>
      </c>
      <c r="BI154" s="215">
        <f t="shared" si="30"/>
        <v>19</v>
      </c>
      <c r="BJ154" s="208">
        <f t="shared" si="30"/>
        <v>150</v>
      </c>
      <c r="BK154" s="223">
        <v>17</v>
      </c>
      <c r="BL154" s="208">
        <v>148</v>
      </c>
      <c r="BM154" s="224" t="s">
        <v>222</v>
      </c>
      <c r="BN154" s="201"/>
      <c r="BO154" s="201"/>
      <c r="BP154" s="201"/>
    </row>
    <row r="155" spans="1:68" ht="15.5">
      <c r="A155" s="225">
        <v>7</v>
      </c>
      <c r="B155" s="204" t="s">
        <v>582</v>
      </c>
      <c r="C155" s="226">
        <v>46192</v>
      </c>
      <c r="D155" s="491">
        <f t="shared" si="27"/>
        <v>70</v>
      </c>
      <c r="E155" s="204" t="s">
        <v>75</v>
      </c>
      <c r="F155" s="205">
        <f t="shared" si="24"/>
        <v>46192</v>
      </c>
      <c r="G155" s="206" t="s">
        <v>175</v>
      </c>
      <c r="H155" s="207">
        <f t="shared" si="32"/>
        <v>46194</v>
      </c>
      <c r="I155" s="215">
        <v>19</v>
      </c>
      <c r="J155" s="208">
        <v>151</v>
      </c>
      <c r="K155" s="209">
        <v>0.1075</v>
      </c>
      <c r="L155" s="210">
        <v>0.36500000000000005</v>
      </c>
      <c r="M155" s="210">
        <v>0.31</v>
      </c>
      <c r="N155" s="211">
        <v>46.5</v>
      </c>
      <c r="O155" s="211">
        <f t="shared" si="28"/>
        <v>30.225000000000001</v>
      </c>
      <c r="P155" s="211">
        <v>65</v>
      </c>
      <c r="Q155" s="210">
        <v>0.24</v>
      </c>
      <c r="R155" s="212">
        <v>84.5</v>
      </c>
      <c r="S155" s="201" t="s">
        <v>427</v>
      </c>
      <c r="T155" s="201" t="s">
        <v>485</v>
      </c>
      <c r="U155" s="201"/>
      <c r="V155" s="214">
        <v>46226</v>
      </c>
      <c r="W155" s="215">
        <f t="shared" si="29"/>
        <v>19</v>
      </c>
      <c r="X155" s="208">
        <f t="shared" si="29"/>
        <v>151</v>
      </c>
      <c r="Y155" s="209"/>
      <c r="Z155" s="210"/>
      <c r="AA155" s="210"/>
      <c r="AB155" s="211"/>
      <c r="AC155" s="211"/>
      <c r="AD155" s="211"/>
      <c r="AE155" s="210"/>
      <c r="AF155" s="212" t="s">
        <v>580</v>
      </c>
      <c r="AG155" s="201" t="s">
        <v>486</v>
      </c>
      <c r="AH155" s="201" t="s">
        <v>485</v>
      </c>
      <c r="AI155" s="297">
        <v>46209</v>
      </c>
      <c r="AJ155" s="201"/>
      <c r="AK155" s="201"/>
      <c r="AL155" s="201"/>
      <c r="AM155" s="201"/>
      <c r="AN155" s="201"/>
      <c r="AO155" s="218" t="str">
        <f t="shared" si="31"/>
        <v>Belshina</v>
      </c>
      <c r="AP155" s="201" t="s">
        <v>458</v>
      </c>
      <c r="AQ155" s="201"/>
      <c r="AR155" s="201"/>
      <c r="AS155" s="213"/>
      <c r="AT155" s="213"/>
      <c r="AU155" s="476" t="str">
        <f t="shared" si="33"/>
        <v>Ok</v>
      </c>
      <c r="AV155" s="220">
        <v>46209</v>
      </c>
      <c r="AW155" s="221">
        <f t="shared" si="25"/>
        <v>19</v>
      </c>
      <c r="AX155" s="208">
        <f t="shared" si="26"/>
        <v>151</v>
      </c>
      <c r="AY155" s="222"/>
      <c r="AZ155" s="222"/>
      <c r="BA155" s="222"/>
      <c r="BB155" s="222"/>
      <c r="BC155" s="222"/>
      <c r="BD155" s="201"/>
      <c r="BE155" s="201"/>
      <c r="BF155" s="201"/>
      <c r="BG155" s="201"/>
      <c r="BH155" s="455">
        <v>46262</v>
      </c>
      <c r="BI155" s="215">
        <f t="shared" si="30"/>
        <v>19</v>
      </c>
      <c r="BJ155" s="208">
        <f t="shared" si="30"/>
        <v>151</v>
      </c>
      <c r="BK155" s="223">
        <v>17</v>
      </c>
      <c r="BL155" s="208">
        <v>149</v>
      </c>
      <c r="BM155" s="224" t="s">
        <v>222</v>
      </c>
      <c r="BN155" s="201"/>
      <c r="BO155" s="201"/>
      <c r="BP155" s="201"/>
    </row>
    <row r="156" spans="1:68" ht="15.5">
      <c r="A156" s="225">
        <v>7</v>
      </c>
      <c r="B156" s="204">
        <v>36</v>
      </c>
      <c r="C156" s="226">
        <v>46192</v>
      </c>
      <c r="D156" s="491">
        <f t="shared" si="27"/>
        <v>70</v>
      </c>
      <c r="E156" s="204" t="s">
        <v>75</v>
      </c>
      <c r="F156" s="205">
        <f t="shared" si="24"/>
        <v>46192</v>
      </c>
      <c r="G156" s="206" t="s">
        <v>175</v>
      </c>
      <c r="H156" s="207">
        <f t="shared" si="32"/>
        <v>46194</v>
      </c>
      <c r="I156" s="215">
        <v>19</v>
      </c>
      <c r="J156" s="208">
        <v>152</v>
      </c>
      <c r="K156" s="209">
        <v>0.10825</v>
      </c>
      <c r="L156" s="210">
        <v>0.36</v>
      </c>
      <c r="M156" s="210">
        <v>0.4</v>
      </c>
      <c r="N156" s="211">
        <v>45.75</v>
      </c>
      <c r="O156" s="211">
        <f t="shared" si="28"/>
        <v>29.154187500000003</v>
      </c>
      <c r="P156" s="211">
        <v>63.725000000000009</v>
      </c>
      <c r="Q156" s="210">
        <v>0.24</v>
      </c>
      <c r="R156" s="212">
        <v>84.5</v>
      </c>
      <c r="S156" s="201" t="s">
        <v>427</v>
      </c>
      <c r="T156" s="201" t="s">
        <v>485</v>
      </c>
      <c r="U156" s="201"/>
      <c r="V156" s="214">
        <v>46226</v>
      </c>
      <c r="W156" s="215">
        <f t="shared" si="29"/>
        <v>19</v>
      </c>
      <c r="X156" s="208">
        <f t="shared" si="29"/>
        <v>152</v>
      </c>
      <c r="Y156" s="209"/>
      <c r="Z156" s="210"/>
      <c r="AA156" s="210"/>
      <c r="AB156" s="211"/>
      <c r="AC156" s="211"/>
      <c r="AD156" s="211"/>
      <c r="AE156" s="210"/>
      <c r="AF156" s="212">
        <v>82</v>
      </c>
      <c r="AG156" s="201" t="str">
        <f t="shared" ref="AG156:AG213" si="34">S156</f>
        <v>SNI</v>
      </c>
      <c r="AH156" s="201" t="s">
        <v>485</v>
      </c>
      <c r="AI156" s="297">
        <v>46219</v>
      </c>
      <c r="AJ156" s="201"/>
      <c r="AK156" s="201"/>
      <c r="AL156" s="201"/>
      <c r="AM156" s="201"/>
      <c r="AN156" s="201"/>
      <c r="AO156" s="218" t="str">
        <f t="shared" si="31"/>
        <v>SNI</v>
      </c>
      <c r="AP156" s="201" t="s">
        <v>458</v>
      </c>
      <c r="AQ156" s="201"/>
      <c r="AR156" s="201"/>
      <c r="AS156" s="213"/>
      <c r="AT156" s="213"/>
      <c r="AU156" s="476" t="str">
        <f t="shared" si="33"/>
        <v>Ok</v>
      </c>
      <c r="AV156" s="220">
        <v>46219</v>
      </c>
      <c r="AW156" s="221">
        <f t="shared" si="25"/>
        <v>19</v>
      </c>
      <c r="AX156" s="208">
        <f t="shared" si="26"/>
        <v>152</v>
      </c>
      <c r="AY156" s="222"/>
      <c r="AZ156" s="222"/>
      <c r="BA156" s="222"/>
      <c r="BB156" s="222"/>
      <c r="BC156" s="222"/>
      <c r="BD156" s="201"/>
      <c r="BE156" s="201"/>
      <c r="BF156" s="201"/>
      <c r="BG156" s="201"/>
      <c r="BH156" s="455">
        <v>46262</v>
      </c>
      <c r="BI156" s="215">
        <f t="shared" si="30"/>
        <v>19</v>
      </c>
      <c r="BJ156" s="208">
        <f t="shared" si="30"/>
        <v>152</v>
      </c>
      <c r="BK156" s="223">
        <v>17</v>
      </c>
      <c r="BL156" s="208">
        <v>150</v>
      </c>
      <c r="BM156" s="224" t="s">
        <v>222</v>
      </c>
      <c r="BN156" s="201"/>
      <c r="BO156" s="201"/>
      <c r="BP156" s="201"/>
    </row>
    <row r="157" spans="1:68" ht="15.5">
      <c r="A157" s="225">
        <v>7</v>
      </c>
      <c r="B157" s="204">
        <v>36</v>
      </c>
      <c r="C157" s="226">
        <v>46192</v>
      </c>
      <c r="D157" s="491">
        <f t="shared" si="27"/>
        <v>74</v>
      </c>
      <c r="E157" s="204" t="s">
        <v>75</v>
      </c>
      <c r="F157" s="205">
        <f t="shared" si="24"/>
        <v>46192</v>
      </c>
      <c r="G157" s="206" t="s">
        <v>175</v>
      </c>
      <c r="H157" s="207">
        <f t="shared" si="32"/>
        <v>46194</v>
      </c>
      <c r="I157" s="215">
        <v>20</v>
      </c>
      <c r="J157" s="208">
        <v>153</v>
      </c>
      <c r="K157" s="209">
        <v>0.10775</v>
      </c>
      <c r="L157" s="210">
        <v>0.38</v>
      </c>
      <c r="M157" s="210">
        <v>0.33</v>
      </c>
      <c r="N157" s="211">
        <v>46.5</v>
      </c>
      <c r="O157" s="211">
        <f t="shared" si="28"/>
        <v>28.016249999999999</v>
      </c>
      <c r="P157" s="211">
        <v>60.25</v>
      </c>
      <c r="Q157" s="210">
        <v>0.22</v>
      </c>
      <c r="R157" s="212">
        <v>81</v>
      </c>
      <c r="S157" s="201" t="s">
        <v>486</v>
      </c>
      <c r="T157" s="201" t="s">
        <v>485</v>
      </c>
      <c r="U157" s="201"/>
      <c r="V157" s="214">
        <v>46226</v>
      </c>
      <c r="W157" s="215">
        <f t="shared" si="29"/>
        <v>20</v>
      </c>
      <c r="X157" s="208">
        <f t="shared" si="29"/>
        <v>153</v>
      </c>
      <c r="Y157" s="209"/>
      <c r="Z157" s="210"/>
      <c r="AA157" s="210"/>
      <c r="AB157" s="211"/>
      <c r="AC157" s="211"/>
      <c r="AD157" s="211"/>
      <c r="AE157" s="210"/>
      <c r="AF157" s="212">
        <v>84</v>
      </c>
      <c r="AG157" s="201" t="str">
        <f t="shared" si="34"/>
        <v>Belshina</v>
      </c>
      <c r="AH157" s="201" t="s">
        <v>485</v>
      </c>
      <c r="AI157" s="297">
        <v>46213</v>
      </c>
      <c r="AJ157" s="201"/>
      <c r="AK157" s="201"/>
      <c r="AL157" s="201"/>
      <c r="AM157" s="201"/>
      <c r="AN157" s="201"/>
      <c r="AO157" s="218" t="str">
        <f t="shared" si="31"/>
        <v>Belshina</v>
      </c>
      <c r="AP157" s="201" t="s">
        <v>458</v>
      </c>
      <c r="AQ157" s="201"/>
      <c r="AR157" s="201"/>
      <c r="AS157" s="213"/>
      <c r="AT157" s="213"/>
      <c r="AU157" s="476" t="str">
        <f t="shared" si="33"/>
        <v>Ok</v>
      </c>
      <c r="AV157" s="220">
        <v>46213</v>
      </c>
      <c r="AW157" s="221">
        <f t="shared" si="25"/>
        <v>20</v>
      </c>
      <c r="AX157" s="208">
        <f t="shared" si="26"/>
        <v>153</v>
      </c>
      <c r="AY157" s="222"/>
      <c r="AZ157" s="222"/>
      <c r="BA157" s="222"/>
      <c r="BB157" s="222"/>
      <c r="BC157" s="222"/>
      <c r="BD157" s="201"/>
      <c r="BE157" s="201"/>
      <c r="BF157" s="201"/>
      <c r="BG157" s="201"/>
      <c r="BH157" s="455">
        <v>46266</v>
      </c>
      <c r="BI157" s="215">
        <f t="shared" si="30"/>
        <v>20</v>
      </c>
      <c r="BJ157" s="208">
        <f t="shared" si="30"/>
        <v>153</v>
      </c>
      <c r="BK157" s="223">
        <v>19</v>
      </c>
      <c r="BL157" s="208">
        <v>166</v>
      </c>
      <c r="BM157" s="224" t="s">
        <v>222</v>
      </c>
      <c r="BN157" s="201"/>
      <c r="BO157" s="201"/>
      <c r="BP157" s="201"/>
    </row>
    <row r="158" spans="1:68" ht="15.5">
      <c r="A158" s="225">
        <v>7</v>
      </c>
      <c r="B158" s="204">
        <v>36</v>
      </c>
      <c r="C158" s="226">
        <v>46192</v>
      </c>
      <c r="D158" s="491">
        <f t="shared" si="27"/>
        <v>70</v>
      </c>
      <c r="E158" s="204" t="s">
        <v>75</v>
      </c>
      <c r="F158" s="205">
        <f t="shared" si="24"/>
        <v>46192</v>
      </c>
      <c r="G158" s="206" t="s">
        <v>175</v>
      </c>
      <c r="H158" s="207">
        <f t="shared" si="32"/>
        <v>46194</v>
      </c>
      <c r="I158" s="215">
        <v>20</v>
      </c>
      <c r="J158" s="208">
        <v>154</v>
      </c>
      <c r="K158" s="209">
        <v>0.10875</v>
      </c>
      <c r="L158" s="210">
        <v>0.35250000000000004</v>
      </c>
      <c r="M158" s="210">
        <v>0.35</v>
      </c>
      <c r="N158" s="211">
        <v>44.5</v>
      </c>
      <c r="O158" s="211">
        <f t="shared" si="28"/>
        <v>26.766750000000002</v>
      </c>
      <c r="P158" s="211">
        <v>60.150000000000006</v>
      </c>
      <c r="Q158" s="210">
        <v>0.22</v>
      </c>
      <c r="R158" s="212">
        <v>81</v>
      </c>
      <c r="S158" s="201" t="s">
        <v>486</v>
      </c>
      <c r="T158" s="201" t="s">
        <v>485</v>
      </c>
      <c r="U158" s="201"/>
      <c r="V158" s="214">
        <v>46226</v>
      </c>
      <c r="W158" s="215">
        <f t="shared" si="29"/>
        <v>20</v>
      </c>
      <c r="X158" s="208">
        <f t="shared" si="29"/>
        <v>154</v>
      </c>
      <c r="Y158" s="209"/>
      <c r="Z158" s="210"/>
      <c r="AA158" s="210"/>
      <c r="AB158" s="211"/>
      <c r="AC158" s="211"/>
      <c r="AD158" s="211"/>
      <c r="AE158" s="210"/>
      <c r="AF158" s="212">
        <v>89</v>
      </c>
      <c r="AG158" s="201" t="str">
        <f t="shared" si="34"/>
        <v>Belshina</v>
      </c>
      <c r="AH158" s="201" t="s">
        <v>485</v>
      </c>
      <c r="AI158" s="297">
        <v>46218</v>
      </c>
      <c r="AJ158" s="201"/>
      <c r="AK158" s="201"/>
      <c r="AL158" s="201"/>
      <c r="AM158" s="201"/>
      <c r="AN158" s="201"/>
      <c r="AO158" s="218" t="str">
        <f t="shared" si="31"/>
        <v>Belshina</v>
      </c>
      <c r="AP158" s="201" t="s">
        <v>458</v>
      </c>
      <c r="AQ158" s="201"/>
      <c r="AR158" s="201"/>
      <c r="AS158" s="213"/>
      <c r="AT158" s="213"/>
      <c r="AU158" s="476" t="str">
        <f t="shared" si="33"/>
        <v>Ok</v>
      </c>
      <c r="AV158" s="220">
        <v>46218</v>
      </c>
      <c r="AW158" s="221">
        <f t="shared" si="25"/>
        <v>20</v>
      </c>
      <c r="AX158" s="208">
        <f t="shared" si="26"/>
        <v>154</v>
      </c>
      <c r="AY158" s="222"/>
      <c r="AZ158" s="222"/>
      <c r="BA158" s="222"/>
      <c r="BB158" s="222"/>
      <c r="BC158" s="222"/>
      <c r="BD158" s="201"/>
      <c r="BE158" s="201"/>
      <c r="BF158" s="201"/>
      <c r="BG158" s="201"/>
      <c r="BH158" s="455">
        <v>46262</v>
      </c>
      <c r="BI158" s="215">
        <f t="shared" si="30"/>
        <v>20</v>
      </c>
      <c r="BJ158" s="208">
        <f t="shared" si="30"/>
        <v>154</v>
      </c>
      <c r="BK158" s="223">
        <v>18</v>
      </c>
      <c r="BL158" s="208">
        <v>152</v>
      </c>
      <c r="BM158" s="224" t="s">
        <v>222</v>
      </c>
      <c r="BN158" s="201"/>
      <c r="BO158" s="201"/>
      <c r="BP158" s="201"/>
    </row>
    <row r="159" spans="1:68" ht="15.5">
      <c r="A159" s="225">
        <v>7</v>
      </c>
      <c r="B159" s="204">
        <v>36</v>
      </c>
      <c r="C159" s="226">
        <v>46192</v>
      </c>
      <c r="D159" s="491">
        <f t="shared" si="27"/>
        <v>70</v>
      </c>
      <c r="E159" s="204" t="s">
        <v>75</v>
      </c>
      <c r="F159" s="205">
        <f t="shared" si="24"/>
        <v>46192</v>
      </c>
      <c r="G159" s="206" t="s">
        <v>175</v>
      </c>
      <c r="H159" s="207">
        <f t="shared" si="32"/>
        <v>46194</v>
      </c>
      <c r="I159" s="215">
        <v>20</v>
      </c>
      <c r="J159" s="208">
        <v>155</v>
      </c>
      <c r="K159" s="209">
        <v>0.11</v>
      </c>
      <c r="L159" s="210">
        <v>0.37</v>
      </c>
      <c r="M159" s="210">
        <v>0.37</v>
      </c>
      <c r="N159" s="211">
        <v>41.25</v>
      </c>
      <c r="O159" s="211">
        <f t="shared" si="28"/>
        <v>27.771562500000002</v>
      </c>
      <c r="P159" s="211">
        <v>67.325000000000003</v>
      </c>
      <c r="Q159" s="210">
        <v>0.22</v>
      </c>
      <c r="R159" s="212">
        <v>81</v>
      </c>
      <c r="S159" s="201" t="s">
        <v>486</v>
      </c>
      <c r="T159" s="201" t="s">
        <v>485</v>
      </c>
      <c r="U159" s="201"/>
      <c r="V159" s="214">
        <v>46226</v>
      </c>
      <c r="W159" s="215">
        <f t="shared" si="29"/>
        <v>20</v>
      </c>
      <c r="X159" s="208">
        <f t="shared" si="29"/>
        <v>155</v>
      </c>
      <c r="Y159" s="209"/>
      <c r="Z159" s="210"/>
      <c r="AA159" s="210"/>
      <c r="AB159" s="211"/>
      <c r="AC159" s="211"/>
      <c r="AD159" s="211"/>
      <c r="AE159" s="210"/>
      <c r="AF159" s="212">
        <v>85</v>
      </c>
      <c r="AG159" s="201" t="str">
        <f t="shared" si="34"/>
        <v>Belshina</v>
      </c>
      <c r="AH159" s="201" t="s">
        <v>485</v>
      </c>
      <c r="AI159" s="297">
        <v>46211</v>
      </c>
      <c r="AJ159" s="201"/>
      <c r="AK159" s="201"/>
      <c r="AL159" s="201"/>
      <c r="AM159" s="201"/>
      <c r="AN159" s="201"/>
      <c r="AO159" s="218" t="str">
        <f t="shared" si="31"/>
        <v>Belshina</v>
      </c>
      <c r="AP159" s="201" t="s">
        <v>458</v>
      </c>
      <c r="AQ159" s="201"/>
      <c r="AR159" s="201"/>
      <c r="AS159" s="213"/>
      <c r="AT159" s="213"/>
      <c r="AU159" s="476" t="str">
        <f t="shared" si="33"/>
        <v>Ok</v>
      </c>
      <c r="AV159" s="220">
        <v>46211</v>
      </c>
      <c r="AW159" s="221">
        <f t="shared" si="25"/>
        <v>20</v>
      </c>
      <c r="AX159" s="208">
        <f t="shared" si="26"/>
        <v>155</v>
      </c>
      <c r="AY159" s="222"/>
      <c r="AZ159" s="222"/>
      <c r="BA159" s="222"/>
      <c r="BB159" s="222"/>
      <c r="BC159" s="222"/>
      <c r="BD159" s="201"/>
      <c r="BE159" s="201"/>
      <c r="BF159" s="201"/>
      <c r="BG159" s="201"/>
      <c r="BH159" s="455">
        <v>46262</v>
      </c>
      <c r="BI159" s="215">
        <f t="shared" si="30"/>
        <v>20</v>
      </c>
      <c r="BJ159" s="208">
        <f t="shared" si="30"/>
        <v>155</v>
      </c>
      <c r="BK159" s="223">
        <v>18</v>
      </c>
      <c r="BL159" s="208">
        <v>153</v>
      </c>
      <c r="BM159" s="224" t="s">
        <v>222</v>
      </c>
      <c r="BN159" s="201"/>
      <c r="BO159" s="201"/>
      <c r="BP159" s="201"/>
    </row>
    <row r="160" spans="1:68" ht="15.5">
      <c r="A160" s="225">
        <v>7</v>
      </c>
      <c r="B160" s="204" t="s">
        <v>785</v>
      </c>
      <c r="C160" s="226">
        <v>46192</v>
      </c>
      <c r="D160" s="491">
        <f t="shared" si="27"/>
        <v>70</v>
      </c>
      <c r="E160" s="204" t="s">
        <v>75</v>
      </c>
      <c r="F160" s="205">
        <f t="shared" si="24"/>
        <v>46192</v>
      </c>
      <c r="G160" s="206" t="s">
        <v>175</v>
      </c>
      <c r="H160" s="207">
        <f t="shared" si="32"/>
        <v>46194</v>
      </c>
      <c r="I160" s="215">
        <v>20</v>
      </c>
      <c r="J160" s="208">
        <v>156</v>
      </c>
      <c r="K160" s="209">
        <v>0.11125</v>
      </c>
      <c r="L160" s="210">
        <v>0.35000000000000003</v>
      </c>
      <c r="M160" s="210">
        <v>0.39</v>
      </c>
      <c r="N160" s="211">
        <v>43.75</v>
      </c>
      <c r="O160" s="211">
        <f t="shared" si="28"/>
        <v>28.240625000000005</v>
      </c>
      <c r="P160" s="211">
        <v>64.550000000000011</v>
      </c>
      <c r="Q160" s="210">
        <v>0.22</v>
      </c>
      <c r="R160" s="212">
        <v>81</v>
      </c>
      <c r="S160" s="201" t="s">
        <v>486</v>
      </c>
      <c r="T160" s="201" t="s">
        <v>485</v>
      </c>
      <c r="U160" s="201"/>
      <c r="V160" s="214">
        <v>46226</v>
      </c>
      <c r="W160" s="215">
        <f t="shared" si="29"/>
        <v>20</v>
      </c>
      <c r="X160" s="208">
        <f t="shared" si="29"/>
        <v>156</v>
      </c>
      <c r="Y160" s="209"/>
      <c r="Z160" s="210"/>
      <c r="AA160" s="210"/>
      <c r="AB160" s="211"/>
      <c r="AC160" s="211"/>
      <c r="AD160" s="211"/>
      <c r="AE160" s="210"/>
      <c r="AF160" s="212">
        <v>84</v>
      </c>
      <c r="AG160" s="201" t="str">
        <f t="shared" si="34"/>
        <v>Belshina</v>
      </c>
      <c r="AH160" s="201" t="s">
        <v>485</v>
      </c>
      <c r="AI160" s="297">
        <v>46204</v>
      </c>
      <c r="AJ160" s="201"/>
      <c r="AK160" s="201"/>
      <c r="AL160" s="201"/>
      <c r="AM160" s="201"/>
      <c r="AN160" s="201"/>
      <c r="AO160" s="218" t="str">
        <f t="shared" si="31"/>
        <v>Belshina</v>
      </c>
      <c r="AP160" s="201" t="s">
        <v>458</v>
      </c>
      <c r="AQ160" s="201"/>
      <c r="AR160" s="201"/>
      <c r="AS160" s="213"/>
      <c r="AT160" s="213"/>
      <c r="AU160" s="476" t="str">
        <f t="shared" si="33"/>
        <v>Ok</v>
      </c>
      <c r="AV160" s="220">
        <v>46204</v>
      </c>
      <c r="AW160" s="221">
        <f t="shared" si="25"/>
        <v>20</v>
      </c>
      <c r="AX160" s="208">
        <f t="shared" si="26"/>
        <v>156</v>
      </c>
      <c r="AY160" s="222"/>
      <c r="AZ160" s="222"/>
      <c r="BA160" s="222"/>
      <c r="BB160" s="222"/>
      <c r="BC160" s="222"/>
      <c r="BD160" s="201"/>
      <c r="BE160" s="201"/>
      <c r="BF160" s="201"/>
      <c r="BG160" s="201"/>
      <c r="BH160" s="455">
        <v>46262</v>
      </c>
      <c r="BI160" s="215">
        <f t="shared" si="30"/>
        <v>20</v>
      </c>
      <c r="BJ160" s="208">
        <f t="shared" si="30"/>
        <v>156</v>
      </c>
      <c r="BK160" s="223">
        <v>18</v>
      </c>
      <c r="BL160" s="208">
        <v>159</v>
      </c>
      <c r="BM160" s="224" t="s">
        <v>222</v>
      </c>
      <c r="BN160" s="201"/>
      <c r="BO160" s="201"/>
      <c r="BP160" s="201"/>
    </row>
    <row r="161" spans="1:68" ht="15.5">
      <c r="A161" s="225">
        <v>7</v>
      </c>
      <c r="B161" s="204">
        <v>37</v>
      </c>
      <c r="C161" s="226">
        <v>46192</v>
      </c>
      <c r="D161" s="491">
        <f t="shared" si="27"/>
        <v>74</v>
      </c>
      <c r="E161" s="204" t="s">
        <v>75</v>
      </c>
      <c r="F161" s="205">
        <f t="shared" si="24"/>
        <v>46192</v>
      </c>
      <c r="G161" s="206" t="s">
        <v>175</v>
      </c>
      <c r="H161" s="207">
        <f t="shared" si="32"/>
        <v>46194</v>
      </c>
      <c r="I161" s="215">
        <v>20</v>
      </c>
      <c r="J161" s="208">
        <v>157</v>
      </c>
      <c r="K161" s="209">
        <v>0.111</v>
      </c>
      <c r="L161" s="210">
        <v>0.33</v>
      </c>
      <c r="M161" s="210">
        <v>0.4</v>
      </c>
      <c r="N161" s="211">
        <v>43.75</v>
      </c>
      <c r="O161" s="211">
        <f t="shared" si="28"/>
        <v>28.524999999999999</v>
      </c>
      <c r="P161" s="211">
        <v>65.2</v>
      </c>
      <c r="Q161" s="210">
        <v>0.22</v>
      </c>
      <c r="R161" s="212">
        <v>84.5</v>
      </c>
      <c r="S161" s="201" t="s">
        <v>427</v>
      </c>
      <c r="T161" s="201" t="s">
        <v>485</v>
      </c>
      <c r="U161" s="201"/>
      <c r="V161" s="214">
        <v>46226</v>
      </c>
      <c r="W161" s="215">
        <f t="shared" si="29"/>
        <v>20</v>
      </c>
      <c r="X161" s="208">
        <f t="shared" si="29"/>
        <v>157</v>
      </c>
      <c r="Y161" s="209"/>
      <c r="Z161" s="210"/>
      <c r="AA161" s="210"/>
      <c r="AB161" s="211"/>
      <c r="AC161" s="211"/>
      <c r="AD161" s="211"/>
      <c r="AE161" s="210"/>
      <c r="AF161" s="212" t="s">
        <v>581</v>
      </c>
      <c r="AG161" s="201" t="str">
        <f t="shared" si="34"/>
        <v>SNI</v>
      </c>
      <c r="AH161" s="201" t="s">
        <v>485</v>
      </c>
      <c r="AI161" s="297">
        <v>46211</v>
      </c>
      <c r="AJ161" s="201"/>
      <c r="AK161" s="201"/>
      <c r="AL161" s="201"/>
      <c r="AM161" s="201"/>
      <c r="AN161" s="201"/>
      <c r="AO161" s="218" t="str">
        <f t="shared" si="31"/>
        <v>SNI</v>
      </c>
      <c r="AP161" s="201" t="s">
        <v>458</v>
      </c>
      <c r="AQ161" s="201"/>
      <c r="AR161" s="201"/>
      <c r="AS161" s="213"/>
      <c r="AT161" s="213"/>
      <c r="AU161" s="476" t="str">
        <f t="shared" si="33"/>
        <v>Ok</v>
      </c>
      <c r="AV161" s="220">
        <v>46211</v>
      </c>
      <c r="AW161" s="221">
        <f t="shared" si="25"/>
        <v>20</v>
      </c>
      <c r="AX161" s="208">
        <f t="shared" si="26"/>
        <v>157</v>
      </c>
      <c r="AY161" s="222"/>
      <c r="AZ161" s="222"/>
      <c r="BA161" s="222"/>
      <c r="BB161" s="222"/>
      <c r="BC161" s="222"/>
      <c r="BD161" s="201"/>
      <c r="BE161" s="201"/>
      <c r="BF161" s="201"/>
      <c r="BG161" s="201"/>
      <c r="BH161" s="455">
        <v>46266</v>
      </c>
      <c r="BI161" s="215">
        <f t="shared" si="30"/>
        <v>20</v>
      </c>
      <c r="BJ161" s="208">
        <f t="shared" si="30"/>
        <v>157</v>
      </c>
      <c r="BK161" s="223">
        <v>19</v>
      </c>
      <c r="BL161" s="208">
        <v>167</v>
      </c>
      <c r="BM161" s="224" t="s">
        <v>222</v>
      </c>
      <c r="BN161" s="201"/>
      <c r="BO161" s="201"/>
      <c r="BP161" s="201"/>
    </row>
    <row r="162" spans="1:68" ht="15.5">
      <c r="A162" s="225">
        <v>7</v>
      </c>
      <c r="B162" s="204">
        <v>37</v>
      </c>
      <c r="C162" s="226">
        <v>46192</v>
      </c>
      <c r="D162" s="491">
        <f t="shared" si="27"/>
        <v>52</v>
      </c>
      <c r="E162" s="204" t="s">
        <v>75</v>
      </c>
      <c r="F162" s="205">
        <f t="shared" si="24"/>
        <v>46192</v>
      </c>
      <c r="G162" s="206" t="s">
        <v>175</v>
      </c>
      <c r="H162" s="207">
        <f t="shared" si="32"/>
        <v>46194</v>
      </c>
      <c r="I162" s="215">
        <v>20</v>
      </c>
      <c r="J162" s="208">
        <v>158</v>
      </c>
      <c r="K162" s="209">
        <v>0.10475000000000001</v>
      </c>
      <c r="L162" s="210">
        <v>0.315</v>
      </c>
      <c r="M162" s="210">
        <v>0.39</v>
      </c>
      <c r="N162" s="211">
        <v>43.25</v>
      </c>
      <c r="O162" s="211">
        <f t="shared" si="28"/>
        <v>27.993562499999999</v>
      </c>
      <c r="P162" s="211">
        <v>64.724999999999994</v>
      </c>
      <c r="Q162" s="210">
        <v>0.22</v>
      </c>
      <c r="R162" s="212">
        <v>84.5</v>
      </c>
      <c r="S162" s="201" t="s">
        <v>427</v>
      </c>
      <c r="T162" s="201" t="s">
        <v>485</v>
      </c>
      <c r="U162" s="201"/>
      <c r="V162" s="343"/>
      <c r="W162" s="215">
        <f t="shared" si="29"/>
        <v>20</v>
      </c>
      <c r="X162" s="208">
        <f t="shared" si="29"/>
        <v>158</v>
      </c>
      <c r="Y162" s="209"/>
      <c r="Z162" s="210"/>
      <c r="AA162" s="210"/>
      <c r="AB162" s="211"/>
      <c r="AC162" s="211"/>
      <c r="AD162" s="211"/>
      <c r="AE162" s="210"/>
      <c r="AF162" s="212"/>
      <c r="AG162" s="201" t="str">
        <f t="shared" si="34"/>
        <v>SNI</v>
      </c>
      <c r="AH162" s="201" t="s">
        <v>485</v>
      </c>
      <c r="AI162" s="297">
        <v>46218</v>
      </c>
      <c r="AJ162" s="201"/>
      <c r="AK162" s="201"/>
      <c r="AL162" s="201"/>
      <c r="AM162" s="201"/>
      <c r="AN162" s="201"/>
      <c r="AO162" s="218" t="str">
        <f t="shared" si="31"/>
        <v>SNI</v>
      </c>
      <c r="AP162" s="201" t="s">
        <v>458</v>
      </c>
      <c r="AQ162" s="201"/>
      <c r="AR162" s="201"/>
      <c r="AS162" s="213"/>
      <c r="AT162" s="213"/>
      <c r="AU162" s="476" t="str">
        <f t="shared" si="33"/>
        <v>Ok</v>
      </c>
      <c r="AV162" s="220">
        <v>46218</v>
      </c>
      <c r="AW162" s="221">
        <f t="shared" si="25"/>
        <v>20</v>
      </c>
      <c r="AX162" s="208">
        <f t="shared" si="26"/>
        <v>158</v>
      </c>
      <c r="AY162" s="222"/>
      <c r="AZ162" s="222"/>
      <c r="BA162" s="222"/>
      <c r="BB162" s="222"/>
      <c r="BC162" s="222"/>
      <c r="BD162" s="201"/>
      <c r="BE162" s="201"/>
      <c r="BF162" s="201"/>
      <c r="BG162" s="201"/>
      <c r="BH162" s="455">
        <v>46244</v>
      </c>
      <c r="BI162" s="215">
        <f t="shared" si="30"/>
        <v>20</v>
      </c>
      <c r="BJ162" s="208">
        <f t="shared" si="30"/>
        <v>158</v>
      </c>
      <c r="BK162" s="223">
        <v>12</v>
      </c>
      <c r="BL162" s="208">
        <v>104</v>
      </c>
      <c r="BM162" s="224" t="s">
        <v>222</v>
      </c>
      <c r="BN162" s="201"/>
      <c r="BO162" s="201"/>
      <c r="BP162" s="201"/>
    </row>
    <row r="163" spans="1:68" ht="15.5">
      <c r="A163" s="225">
        <v>1</v>
      </c>
      <c r="B163" s="202" t="s">
        <v>786</v>
      </c>
      <c r="C163" s="226">
        <v>46214</v>
      </c>
      <c r="D163" s="491">
        <f t="shared" si="27"/>
        <v>34</v>
      </c>
      <c r="E163" s="204" t="s">
        <v>75</v>
      </c>
      <c r="F163" s="205"/>
      <c r="G163" s="206"/>
      <c r="H163" s="207">
        <v>46216</v>
      </c>
      <c r="I163" s="215">
        <v>20</v>
      </c>
      <c r="J163" s="208">
        <v>159</v>
      </c>
      <c r="K163" s="209">
        <v>7.825E-2</v>
      </c>
      <c r="L163" s="210">
        <v>0.3075</v>
      </c>
      <c r="M163" s="210">
        <v>0.38</v>
      </c>
      <c r="N163" s="211">
        <v>36</v>
      </c>
      <c r="O163" s="211">
        <f t="shared" si="28"/>
        <v>24.993808049535609</v>
      </c>
      <c r="P163" s="211">
        <v>69.427244582043357</v>
      </c>
      <c r="Q163" s="210">
        <v>0.22</v>
      </c>
      <c r="R163" s="212">
        <v>84.5</v>
      </c>
      <c r="S163" s="201" t="s">
        <v>427</v>
      </c>
      <c r="T163" s="201" t="s">
        <v>485</v>
      </c>
      <c r="U163" s="201"/>
      <c r="V163" s="343"/>
      <c r="W163" s="215">
        <f t="shared" si="29"/>
        <v>20</v>
      </c>
      <c r="X163" s="208">
        <f t="shared" si="29"/>
        <v>159</v>
      </c>
      <c r="Y163" s="209"/>
      <c r="Z163" s="210"/>
      <c r="AA163" s="210"/>
      <c r="AB163" s="211"/>
      <c r="AC163" s="211"/>
      <c r="AD163" s="211"/>
      <c r="AE163" s="210"/>
      <c r="AF163" s="212"/>
      <c r="AG163" s="201" t="str">
        <f t="shared" si="34"/>
        <v>SNI</v>
      </c>
      <c r="AH163" s="201" t="s">
        <v>485</v>
      </c>
      <c r="AI163" s="297">
        <v>46232</v>
      </c>
      <c r="AJ163" s="201"/>
      <c r="AK163" s="201"/>
      <c r="AL163" s="201"/>
      <c r="AM163" s="201"/>
      <c r="AN163" s="201"/>
      <c r="AO163" s="218" t="str">
        <f t="shared" si="31"/>
        <v>SNI</v>
      </c>
      <c r="AP163" s="201" t="s">
        <v>458</v>
      </c>
      <c r="AQ163" s="201"/>
      <c r="AR163" s="201"/>
      <c r="AS163" s="213"/>
      <c r="AT163" s="213"/>
      <c r="AU163" s="476" t="str">
        <f t="shared" si="33"/>
        <v>Ok</v>
      </c>
      <c r="AV163" s="220">
        <v>46232</v>
      </c>
      <c r="AW163" s="221">
        <f t="shared" si="25"/>
        <v>20</v>
      </c>
      <c r="AX163" s="208">
        <f t="shared" si="26"/>
        <v>159</v>
      </c>
      <c r="AY163" s="222"/>
      <c r="AZ163" s="222"/>
      <c r="BA163" s="222"/>
      <c r="BB163" s="222"/>
      <c r="BC163" s="222"/>
      <c r="BD163" s="201"/>
      <c r="BE163" s="201"/>
      <c r="BF163" s="201"/>
      <c r="BG163" s="201"/>
      <c r="BH163" s="455">
        <v>46248</v>
      </c>
      <c r="BI163" s="215">
        <f t="shared" si="30"/>
        <v>20</v>
      </c>
      <c r="BJ163" s="208">
        <f t="shared" si="30"/>
        <v>159</v>
      </c>
      <c r="BK163" s="223">
        <v>13</v>
      </c>
      <c r="BL163" s="208">
        <v>108</v>
      </c>
      <c r="BM163" s="224" t="s">
        <v>222</v>
      </c>
      <c r="BN163" s="201"/>
      <c r="BO163" s="201"/>
      <c r="BP163" s="201"/>
    </row>
    <row r="164" spans="1:68" ht="15.5">
      <c r="A164" s="225">
        <v>1</v>
      </c>
      <c r="B164" s="204">
        <v>39</v>
      </c>
      <c r="C164" s="226">
        <v>46214</v>
      </c>
      <c r="D164" s="491">
        <f t="shared" si="27"/>
        <v>48</v>
      </c>
      <c r="E164" s="204" t="s">
        <v>75</v>
      </c>
      <c r="F164" s="205"/>
      <c r="G164" s="206"/>
      <c r="H164" s="207">
        <v>46216</v>
      </c>
      <c r="I164" s="215">
        <v>20</v>
      </c>
      <c r="J164" s="208">
        <v>160</v>
      </c>
      <c r="K164" s="209">
        <v>6.1249999999999999E-2</v>
      </c>
      <c r="L164" s="210">
        <v>0.315</v>
      </c>
      <c r="M164" s="210">
        <v>0.37</v>
      </c>
      <c r="N164" s="211">
        <v>38.25</v>
      </c>
      <c r="O164" s="211">
        <f t="shared" si="28"/>
        <v>27.500253036437247</v>
      </c>
      <c r="P164" s="211">
        <v>71.896086369770586</v>
      </c>
      <c r="Q164" s="210">
        <v>0.22</v>
      </c>
      <c r="R164" s="212">
        <v>84.5</v>
      </c>
      <c r="S164" s="201" t="s">
        <v>427</v>
      </c>
      <c r="T164" s="201" t="s">
        <v>485</v>
      </c>
      <c r="U164" s="201"/>
      <c r="V164" s="343"/>
      <c r="W164" s="215">
        <f t="shared" si="29"/>
        <v>20</v>
      </c>
      <c r="X164" s="208">
        <f t="shared" si="29"/>
        <v>160</v>
      </c>
      <c r="Y164" s="209"/>
      <c r="Z164" s="210"/>
      <c r="AA164" s="210"/>
      <c r="AB164" s="211"/>
      <c r="AC164" s="211"/>
      <c r="AD164" s="211"/>
      <c r="AE164" s="210"/>
      <c r="AF164" s="212"/>
      <c r="AG164" s="201" t="str">
        <f t="shared" si="34"/>
        <v>SNI</v>
      </c>
      <c r="AH164" s="201" t="s">
        <v>485</v>
      </c>
      <c r="AI164" s="297">
        <v>46234</v>
      </c>
      <c r="AJ164" s="201"/>
      <c r="AK164" s="201"/>
      <c r="AL164" s="201"/>
      <c r="AM164" s="201"/>
      <c r="AN164" s="201"/>
      <c r="AO164" s="218" t="str">
        <f t="shared" si="31"/>
        <v>SNI</v>
      </c>
      <c r="AP164" s="201" t="s">
        <v>458</v>
      </c>
      <c r="AQ164" s="201"/>
      <c r="AR164" s="201"/>
      <c r="AS164" s="213"/>
      <c r="AT164" s="213"/>
      <c r="AU164" s="476" t="str">
        <f t="shared" si="33"/>
        <v>Ok</v>
      </c>
      <c r="AV164" s="220">
        <v>46234</v>
      </c>
      <c r="AW164" s="221">
        <f t="shared" si="25"/>
        <v>20</v>
      </c>
      <c r="AX164" s="208">
        <f t="shared" si="26"/>
        <v>160</v>
      </c>
      <c r="AY164" s="222"/>
      <c r="AZ164" s="222"/>
      <c r="BA164" s="222"/>
      <c r="BB164" s="222"/>
      <c r="BC164" s="222"/>
      <c r="BD164" s="201"/>
      <c r="BE164" s="201"/>
      <c r="BF164" s="201"/>
      <c r="BG164" s="201"/>
      <c r="BH164" s="455">
        <v>46262</v>
      </c>
      <c r="BI164" s="215">
        <f t="shared" si="30"/>
        <v>20</v>
      </c>
      <c r="BJ164" s="208">
        <f t="shared" si="30"/>
        <v>160</v>
      </c>
      <c r="BK164" s="223">
        <v>18</v>
      </c>
      <c r="BL164" s="208">
        <v>155</v>
      </c>
      <c r="BM164" s="224" t="s">
        <v>222</v>
      </c>
      <c r="BN164" s="201"/>
      <c r="BO164" s="201"/>
      <c r="BP164" s="201"/>
    </row>
    <row r="165" spans="1:68" ht="15.5">
      <c r="A165" s="225">
        <v>1</v>
      </c>
      <c r="B165" s="204">
        <v>39</v>
      </c>
      <c r="C165" s="226">
        <v>46214</v>
      </c>
      <c r="D165" s="491">
        <f t="shared" si="27"/>
        <v>48</v>
      </c>
      <c r="E165" s="204" t="s">
        <v>75</v>
      </c>
      <c r="F165" s="205"/>
      <c r="G165" s="206"/>
      <c r="H165" s="207">
        <v>46216</v>
      </c>
      <c r="I165" s="215">
        <v>21</v>
      </c>
      <c r="J165" s="208">
        <v>161</v>
      </c>
      <c r="K165" s="209">
        <v>9.0749999999999997E-2</v>
      </c>
      <c r="L165" s="210">
        <v>0.315</v>
      </c>
      <c r="M165" s="210">
        <v>0.14000000000000001</v>
      </c>
      <c r="N165" s="211">
        <v>37.25</v>
      </c>
      <c r="O165" s="211">
        <f t="shared" si="28"/>
        <v>26.726875</v>
      </c>
      <c r="P165" s="211">
        <v>71.75</v>
      </c>
      <c r="Q165" s="210">
        <v>0.22</v>
      </c>
      <c r="R165" s="212">
        <v>68.5</v>
      </c>
      <c r="S165" s="201" t="s">
        <v>427</v>
      </c>
      <c r="T165" s="201" t="s">
        <v>460</v>
      </c>
      <c r="U165" s="201" t="s">
        <v>480</v>
      </c>
      <c r="V165" s="343"/>
      <c r="W165" s="215">
        <f t="shared" si="29"/>
        <v>21</v>
      </c>
      <c r="X165" s="208">
        <f t="shared" si="29"/>
        <v>161</v>
      </c>
      <c r="Y165" s="209"/>
      <c r="Z165" s="210"/>
      <c r="AA165" s="210"/>
      <c r="AB165" s="211"/>
      <c r="AC165" s="211"/>
      <c r="AD165" s="211"/>
      <c r="AE165" s="210"/>
      <c r="AF165" s="212"/>
      <c r="AG165" s="201" t="str">
        <f t="shared" si="34"/>
        <v>SNI</v>
      </c>
      <c r="AH165" s="201" t="s">
        <v>485</v>
      </c>
      <c r="AI165" s="297">
        <v>46232</v>
      </c>
      <c r="AJ165" s="201"/>
      <c r="AK165" s="201"/>
      <c r="AL165" s="201"/>
      <c r="AM165" s="201"/>
      <c r="AN165" s="201"/>
      <c r="AO165" s="218" t="str">
        <f t="shared" si="31"/>
        <v>SNI</v>
      </c>
      <c r="AP165" s="201" t="s">
        <v>458</v>
      </c>
      <c r="AQ165" s="201"/>
      <c r="AR165" s="201"/>
      <c r="AS165" s="213"/>
      <c r="AT165" s="213"/>
      <c r="AU165" s="476" t="str">
        <f t="shared" si="33"/>
        <v>Ok</v>
      </c>
      <c r="AV165" s="220">
        <v>46232</v>
      </c>
      <c r="AW165" s="221">
        <f t="shared" si="25"/>
        <v>21</v>
      </c>
      <c r="AX165" s="208">
        <f t="shared" si="26"/>
        <v>161</v>
      </c>
      <c r="AY165" s="222"/>
      <c r="AZ165" s="222"/>
      <c r="BA165" s="222"/>
      <c r="BB165" s="222"/>
      <c r="BC165" s="222"/>
      <c r="BD165" s="201"/>
      <c r="BE165" s="201"/>
      <c r="BF165" s="201"/>
      <c r="BG165" s="201"/>
      <c r="BH165" s="455">
        <v>46262</v>
      </c>
      <c r="BI165" s="215">
        <f t="shared" si="30"/>
        <v>21</v>
      </c>
      <c r="BJ165" s="208">
        <f t="shared" si="30"/>
        <v>161</v>
      </c>
      <c r="BK165" s="223">
        <v>18</v>
      </c>
      <c r="BL165" s="208">
        <v>156</v>
      </c>
      <c r="BM165" s="224" t="s">
        <v>222</v>
      </c>
      <c r="BN165" s="201"/>
      <c r="BO165" s="201"/>
      <c r="BP165" s="201"/>
    </row>
    <row r="166" spans="1:68" ht="15.5">
      <c r="A166" s="225">
        <v>1</v>
      </c>
      <c r="B166" s="204" t="s">
        <v>787</v>
      </c>
      <c r="C166" s="226">
        <v>46216</v>
      </c>
      <c r="D166" s="491">
        <f t="shared" si="27"/>
        <v>50</v>
      </c>
      <c r="E166" s="204" t="s">
        <v>75</v>
      </c>
      <c r="F166" s="205"/>
      <c r="G166" s="206"/>
      <c r="H166" s="207">
        <v>46217</v>
      </c>
      <c r="I166" s="215">
        <v>21</v>
      </c>
      <c r="J166" s="208">
        <v>162</v>
      </c>
      <c r="K166" s="209">
        <v>8.9749999999999996E-2</v>
      </c>
      <c r="L166" s="210">
        <v>0.32</v>
      </c>
      <c r="M166" s="210">
        <v>0.35</v>
      </c>
      <c r="N166" s="211">
        <v>37</v>
      </c>
      <c r="O166" s="211">
        <f t="shared" si="28"/>
        <v>27.102499999999999</v>
      </c>
      <c r="P166" s="211">
        <v>73.25</v>
      </c>
      <c r="Q166" s="210">
        <v>0.22</v>
      </c>
      <c r="R166" s="212">
        <v>68.5</v>
      </c>
      <c r="S166" s="201" t="s">
        <v>427</v>
      </c>
      <c r="T166" s="201" t="s">
        <v>485</v>
      </c>
      <c r="U166" s="201"/>
      <c r="V166" s="343"/>
      <c r="W166" s="215">
        <f t="shared" ref="W166:X243" si="35">I166</f>
        <v>21</v>
      </c>
      <c r="X166" s="208">
        <f t="shared" si="35"/>
        <v>162</v>
      </c>
      <c r="Y166" s="209"/>
      <c r="Z166" s="210"/>
      <c r="AA166" s="210"/>
      <c r="AB166" s="211"/>
      <c r="AC166" s="211"/>
      <c r="AD166" s="211"/>
      <c r="AE166" s="210"/>
      <c r="AF166" s="212"/>
      <c r="AG166" s="201" t="str">
        <f t="shared" si="34"/>
        <v>SNI</v>
      </c>
      <c r="AH166" s="201" t="s">
        <v>485</v>
      </c>
      <c r="AI166" s="297">
        <v>46232</v>
      </c>
      <c r="AJ166" s="201"/>
      <c r="AK166" s="201"/>
      <c r="AL166" s="201"/>
      <c r="AM166" s="201"/>
      <c r="AN166" s="201"/>
      <c r="AO166" s="218" t="str">
        <f t="shared" si="31"/>
        <v>SNI</v>
      </c>
      <c r="AP166" s="201" t="s">
        <v>458</v>
      </c>
      <c r="AQ166" s="201"/>
      <c r="AR166" s="201"/>
      <c r="AS166" s="213"/>
      <c r="AT166" s="213"/>
      <c r="AU166" s="476" t="str">
        <f t="shared" si="33"/>
        <v>Ok</v>
      </c>
      <c r="AV166" s="220">
        <v>46232</v>
      </c>
      <c r="AW166" s="221">
        <f t="shared" si="25"/>
        <v>21</v>
      </c>
      <c r="AX166" s="208">
        <f t="shared" si="26"/>
        <v>162</v>
      </c>
      <c r="AY166" s="222"/>
      <c r="AZ166" s="222"/>
      <c r="BA166" s="222"/>
      <c r="BB166" s="222"/>
      <c r="BC166" s="222"/>
      <c r="BD166" s="201"/>
      <c r="BE166" s="201"/>
      <c r="BF166" s="201"/>
      <c r="BG166" s="201"/>
      <c r="BH166" s="455">
        <v>46266</v>
      </c>
      <c r="BI166" s="215">
        <f t="shared" si="30"/>
        <v>21</v>
      </c>
      <c r="BJ166" s="208">
        <f t="shared" si="30"/>
        <v>162</v>
      </c>
      <c r="BK166" s="223">
        <v>20</v>
      </c>
      <c r="BL166" s="208">
        <v>168</v>
      </c>
      <c r="BM166" s="224" t="s">
        <v>222</v>
      </c>
      <c r="BN166" s="201"/>
      <c r="BO166" s="201"/>
      <c r="BP166" s="201"/>
    </row>
    <row r="167" spans="1:68" ht="15.5">
      <c r="A167" s="225">
        <v>1</v>
      </c>
      <c r="B167" s="204">
        <v>40</v>
      </c>
      <c r="C167" s="226">
        <v>46216</v>
      </c>
      <c r="D167" s="491">
        <f t="shared" si="27"/>
        <v>50</v>
      </c>
      <c r="E167" s="204" t="s">
        <v>75</v>
      </c>
      <c r="F167" s="205"/>
      <c r="G167" s="206"/>
      <c r="H167" s="207">
        <v>46217</v>
      </c>
      <c r="I167" s="215">
        <v>21</v>
      </c>
      <c r="J167" s="208">
        <v>163</v>
      </c>
      <c r="K167" s="209">
        <v>8.8749999999999996E-2</v>
      </c>
      <c r="L167" s="210">
        <v>0.3175</v>
      </c>
      <c r="M167" s="210">
        <v>0.47</v>
      </c>
      <c r="N167" s="211">
        <v>36.75</v>
      </c>
      <c r="O167" s="211">
        <f t="shared" si="28"/>
        <v>26.735624999999999</v>
      </c>
      <c r="P167" s="211">
        <v>72.75</v>
      </c>
      <c r="Q167" s="210">
        <v>0.22</v>
      </c>
      <c r="R167" s="212">
        <v>68.5</v>
      </c>
      <c r="S167" s="201" t="s">
        <v>427</v>
      </c>
      <c r="T167" s="201" t="s">
        <v>485</v>
      </c>
      <c r="U167" s="201"/>
      <c r="V167" s="343"/>
      <c r="W167" s="215">
        <f t="shared" si="35"/>
        <v>21</v>
      </c>
      <c r="X167" s="208">
        <f t="shared" si="35"/>
        <v>163</v>
      </c>
      <c r="Y167" s="209"/>
      <c r="Z167" s="210"/>
      <c r="AA167" s="210"/>
      <c r="AB167" s="211"/>
      <c r="AC167" s="211"/>
      <c r="AD167" s="211"/>
      <c r="AE167" s="210"/>
      <c r="AF167" s="212"/>
      <c r="AG167" s="201" t="str">
        <f t="shared" si="34"/>
        <v>SNI</v>
      </c>
      <c r="AH167" s="201" t="s">
        <v>485</v>
      </c>
      <c r="AI167" s="297">
        <v>46232</v>
      </c>
      <c r="AJ167" s="201"/>
      <c r="AK167" s="201"/>
      <c r="AL167" s="201"/>
      <c r="AM167" s="201"/>
      <c r="AN167" s="201"/>
      <c r="AO167" s="218" t="str">
        <f t="shared" si="31"/>
        <v>SNI</v>
      </c>
      <c r="AP167" s="201" t="s">
        <v>458</v>
      </c>
      <c r="AQ167" s="201"/>
      <c r="AR167" s="201"/>
      <c r="AS167" s="213"/>
      <c r="AT167" s="213"/>
      <c r="AU167" s="476" t="str">
        <f t="shared" si="33"/>
        <v>Ok</v>
      </c>
      <c r="AV167" s="220">
        <v>46232</v>
      </c>
      <c r="AW167" s="221">
        <f t="shared" si="25"/>
        <v>21</v>
      </c>
      <c r="AX167" s="208">
        <f t="shared" si="26"/>
        <v>163</v>
      </c>
      <c r="AY167" s="222"/>
      <c r="AZ167" s="222"/>
      <c r="BA167" s="222"/>
      <c r="BB167" s="222"/>
      <c r="BC167" s="222"/>
      <c r="BD167" s="201"/>
      <c r="BE167" s="201"/>
      <c r="BF167" s="201"/>
      <c r="BG167" s="201"/>
      <c r="BH167" s="455">
        <v>46266</v>
      </c>
      <c r="BI167" s="215">
        <f t="shared" si="30"/>
        <v>21</v>
      </c>
      <c r="BJ167" s="208">
        <f t="shared" si="30"/>
        <v>163</v>
      </c>
      <c r="BK167" s="223">
        <v>20</v>
      </c>
      <c r="BL167" s="208">
        <v>169</v>
      </c>
      <c r="BM167" s="224" t="s">
        <v>222</v>
      </c>
      <c r="BN167" s="201"/>
      <c r="BO167" s="201"/>
      <c r="BP167" s="201"/>
    </row>
    <row r="168" spans="1:68" ht="15.5">
      <c r="A168" s="225">
        <v>1</v>
      </c>
      <c r="B168" s="204">
        <v>40</v>
      </c>
      <c r="C168" s="226">
        <v>46216</v>
      </c>
      <c r="D168" s="491">
        <f t="shared" si="27"/>
        <v>50</v>
      </c>
      <c r="E168" s="204" t="s">
        <v>75</v>
      </c>
      <c r="F168" s="205"/>
      <c r="G168" s="206"/>
      <c r="H168" s="207">
        <v>46217</v>
      </c>
      <c r="I168" s="215">
        <v>21</v>
      </c>
      <c r="J168" s="208">
        <v>164</v>
      </c>
      <c r="K168" s="209">
        <v>7.9250000000000001E-2</v>
      </c>
      <c r="L168" s="210">
        <v>0.32750000000000001</v>
      </c>
      <c r="M168" s="210">
        <v>0.46</v>
      </c>
      <c r="N168" s="211">
        <v>38</v>
      </c>
      <c r="O168" s="211">
        <f t="shared" si="28"/>
        <v>26.98</v>
      </c>
      <c r="P168" s="211">
        <v>71</v>
      </c>
      <c r="Q168" s="210">
        <v>0.22</v>
      </c>
      <c r="R168" s="212">
        <v>68.5</v>
      </c>
      <c r="S168" s="201" t="s">
        <v>427</v>
      </c>
      <c r="T168" s="201" t="s">
        <v>485</v>
      </c>
      <c r="U168" s="201"/>
      <c r="V168" s="343"/>
      <c r="W168" s="215">
        <f t="shared" si="35"/>
        <v>21</v>
      </c>
      <c r="X168" s="208">
        <f t="shared" si="35"/>
        <v>164</v>
      </c>
      <c r="Y168" s="209"/>
      <c r="Z168" s="210"/>
      <c r="AA168" s="210"/>
      <c r="AB168" s="211"/>
      <c r="AC168" s="211"/>
      <c r="AD168" s="211"/>
      <c r="AE168" s="210"/>
      <c r="AF168" s="212"/>
      <c r="AG168" s="201" t="str">
        <f t="shared" si="34"/>
        <v>SNI</v>
      </c>
      <c r="AH168" s="201" t="s">
        <v>485</v>
      </c>
      <c r="AI168" s="297">
        <v>46231</v>
      </c>
      <c r="AJ168" s="201"/>
      <c r="AK168" s="201"/>
      <c r="AL168" s="201"/>
      <c r="AM168" s="201"/>
      <c r="AN168" s="201"/>
      <c r="AO168" s="218" t="str">
        <f t="shared" si="31"/>
        <v>SNI</v>
      </c>
      <c r="AP168" s="201" t="s">
        <v>458</v>
      </c>
      <c r="AQ168" s="201"/>
      <c r="AR168" s="201"/>
      <c r="AS168" s="213"/>
      <c r="AT168" s="213"/>
      <c r="AU168" s="476" t="str">
        <f t="shared" si="33"/>
        <v>Ok</v>
      </c>
      <c r="AV168" s="220">
        <v>46231</v>
      </c>
      <c r="AW168" s="221">
        <f t="shared" si="25"/>
        <v>21</v>
      </c>
      <c r="AX168" s="208">
        <f t="shared" si="26"/>
        <v>164</v>
      </c>
      <c r="AY168" s="222"/>
      <c r="AZ168" s="222"/>
      <c r="BA168" s="222"/>
      <c r="BB168" s="222"/>
      <c r="BC168" s="222"/>
      <c r="BD168" s="201"/>
      <c r="BE168" s="201"/>
      <c r="BF168" s="201"/>
      <c r="BG168" s="201"/>
      <c r="BH168" s="455">
        <v>46266</v>
      </c>
      <c r="BI168" s="215">
        <f t="shared" si="30"/>
        <v>21</v>
      </c>
      <c r="BJ168" s="208">
        <f t="shared" si="30"/>
        <v>164</v>
      </c>
      <c r="BK168" s="223">
        <v>20</v>
      </c>
      <c r="BL168" s="208">
        <v>170</v>
      </c>
      <c r="BM168" s="224" t="s">
        <v>222</v>
      </c>
      <c r="BN168" s="201"/>
      <c r="BO168" s="201"/>
      <c r="BP168" s="201"/>
    </row>
    <row r="169" spans="1:68" ht="15.5">
      <c r="A169" s="225">
        <v>1</v>
      </c>
      <c r="B169" s="204" t="s">
        <v>788</v>
      </c>
      <c r="C169" s="226">
        <v>46218</v>
      </c>
      <c r="D169" s="491">
        <f t="shared" si="27"/>
        <v>30</v>
      </c>
      <c r="E169" s="204" t="s">
        <v>75</v>
      </c>
      <c r="F169" s="205"/>
      <c r="G169" s="206"/>
      <c r="H169" s="207">
        <v>46219</v>
      </c>
      <c r="I169" s="215">
        <v>21</v>
      </c>
      <c r="J169" s="208">
        <v>165</v>
      </c>
      <c r="K169" s="209">
        <v>8.1250000000000003E-2</v>
      </c>
      <c r="L169" s="210">
        <v>0.25750000000000001</v>
      </c>
      <c r="M169" s="210">
        <v>0.24</v>
      </c>
      <c r="N169" s="211">
        <v>33.5</v>
      </c>
      <c r="O169" s="211">
        <f t="shared" si="28"/>
        <v>23.868749999999999</v>
      </c>
      <c r="P169" s="211">
        <v>71.25</v>
      </c>
      <c r="Q169" s="210">
        <v>0.22</v>
      </c>
      <c r="R169" s="212">
        <v>66</v>
      </c>
      <c r="S169" s="201" t="s">
        <v>427</v>
      </c>
      <c r="T169" s="201" t="s">
        <v>485</v>
      </c>
      <c r="U169" s="201"/>
      <c r="V169" s="343"/>
      <c r="W169" s="215">
        <f t="shared" si="35"/>
        <v>21</v>
      </c>
      <c r="X169" s="208">
        <f t="shared" si="35"/>
        <v>165</v>
      </c>
      <c r="Y169" s="209"/>
      <c r="Z169" s="210"/>
      <c r="AA169" s="210"/>
      <c r="AB169" s="211"/>
      <c r="AC169" s="211"/>
      <c r="AD169" s="211"/>
      <c r="AE169" s="210"/>
      <c r="AF169" s="212"/>
      <c r="AG169" s="201" t="str">
        <f t="shared" si="34"/>
        <v>SNI</v>
      </c>
      <c r="AH169" s="201" t="s">
        <v>485</v>
      </c>
      <c r="AI169" s="201"/>
      <c r="AJ169" s="201"/>
      <c r="AK169" s="201"/>
      <c r="AL169" s="201"/>
      <c r="AM169" s="201"/>
      <c r="AN169" s="201"/>
      <c r="AO169" s="218" t="str">
        <f t="shared" si="31"/>
        <v>SNI</v>
      </c>
      <c r="AP169" s="201" t="s">
        <v>458</v>
      </c>
      <c r="AQ169" s="201"/>
      <c r="AR169" s="201"/>
      <c r="AS169" s="213"/>
      <c r="AT169" s="213"/>
      <c r="AU169" s="476" t="str">
        <f t="shared" si="33"/>
        <v>Ok</v>
      </c>
      <c r="AV169" s="220"/>
      <c r="AW169" s="221">
        <f t="shared" si="25"/>
        <v>21</v>
      </c>
      <c r="AX169" s="208">
        <f t="shared" si="26"/>
        <v>165</v>
      </c>
      <c r="AY169" s="222"/>
      <c r="AZ169" s="222"/>
      <c r="BA169" s="222"/>
      <c r="BB169" s="222"/>
      <c r="BC169" s="222"/>
      <c r="BD169" s="201"/>
      <c r="BE169" s="201"/>
      <c r="BF169" s="201"/>
      <c r="BG169" s="201"/>
      <c r="BH169" s="455">
        <v>46248</v>
      </c>
      <c r="BI169" s="215">
        <f t="shared" si="30"/>
        <v>21</v>
      </c>
      <c r="BJ169" s="208">
        <f t="shared" si="30"/>
        <v>165</v>
      </c>
      <c r="BK169" s="223">
        <v>13</v>
      </c>
      <c r="BL169" s="208">
        <v>109</v>
      </c>
      <c r="BM169" s="224" t="s">
        <v>222</v>
      </c>
      <c r="BN169" s="201"/>
      <c r="BO169" s="201"/>
      <c r="BP169" s="201"/>
    </row>
    <row r="170" spans="1:68" ht="15.5">
      <c r="A170" s="225">
        <v>1</v>
      </c>
      <c r="B170" s="204">
        <v>42</v>
      </c>
      <c r="C170" s="226">
        <v>46218</v>
      </c>
      <c r="D170" s="491">
        <f t="shared" si="27"/>
        <v>44</v>
      </c>
      <c r="E170" s="204" t="s">
        <v>75</v>
      </c>
      <c r="F170" s="205"/>
      <c r="G170" s="206"/>
      <c r="H170" s="207">
        <v>46219</v>
      </c>
      <c r="I170" s="215">
        <v>21</v>
      </c>
      <c r="J170" s="208">
        <v>166</v>
      </c>
      <c r="K170" s="209">
        <v>7.0500000000000007E-2</v>
      </c>
      <c r="L170" s="210">
        <v>0.24</v>
      </c>
      <c r="M170" s="210">
        <v>0.46</v>
      </c>
      <c r="N170" s="211">
        <v>36.5</v>
      </c>
      <c r="O170" s="211">
        <f t="shared" si="28"/>
        <v>26.462499999999999</v>
      </c>
      <c r="P170" s="211">
        <v>72.5</v>
      </c>
      <c r="Q170" s="210">
        <v>0.22</v>
      </c>
      <c r="R170" s="212">
        <v>66</v>
      </c>
      <c r="S170" s="201" t="s">
        <v>427</v>
      </c>
      <c r="T170" s="201" t="s">
        <v>485</v>
      </c>
      <c r="U170" s="201"/>
      <c r="V170" s="343"/>
      <c r="W170" s="215">
        <f t="shared" si="35"/>
        <v>21</v>
      </c>
      <c r="X170" s="208">
        <f t="shared" si="35"/>
        <v>166</v>
      </c>
      <c r="Y170" s="209"/>
      <c r="Z170" s="210"/>
      <c r="AA170" s="210"/>
      <c r="AB170" s="211"/>
      <c r="AC170" s="211"/>
      <c r="AD170" s="211"/>
      <c r="AE170" s="210"/>
      <c r="AF170" s="212"/>
      <c r="AG170" s="201" t="str">
        <f t="shared" si="34"/>
        <v>SNI</v>
      </c>
      <c r="AH170" s="201" t="s">
        <v>485</v>
      </c>
      <c r="AI170" s="297">
        <v>46232</v>
      </c>
      <c r="AJ170" s="201"/>
      <c r="AK170" s="201"/>
      <c r="AL170" s="201"/>
      <c r="AM170" s="201"/>
      <c r="AN170" s="201"/>
      <c r="AO170" s="218" t="str">
        <f t="shared" si="31"/>
        <v>SNI</v>
      </c>
      <c r="AP170" s="201" t="s">
        <v>458</v>
      </c>
      <c r="AQ170" s="201"/>
      <c r="AR170" s="201"/>
      <c r="AS170" s="213"/>
      <c r="AT170" s="213"/>
      <c r="AU170" s="476" t="str">
        <f t="shared" si="33"/>
        <v>Ok</v>
      </c>
      <c r="AV170" s="220">
        <v>46232</v>
      </c>
      <c r="AW170" s="221">
        <f t="shared" si="25"/>
        <v>21</v>
      </c>
      <c r="AX170" s="208">
        <f t="shared" si="26"/>
        <v>166</v>
      </c>
      <c r="AY170" s="222"/>
      <c r="AZ170" s="222"/>
      <c r="BA170" s="222"/>
      <c r="BB170" s="222"/>
      <c r="BC170" s="222"/>
      <c r="BD170" s="201"/>
      <c r="BE170" s="201"/>
      <c r="BF170" s="201"/>
      <c r="BG170" s="201"/>
      <c r="BH170" s="455">
        <v>46262</v>
      </c>
      <c r="BI170" s="215">
        <f t="shared" si="30"/>
        <v>21</v>
      </c>
      <c r="BJ170" s="208">
        <f t="shared" si="30"/>
        <v>166</v>
      </c>
      <c r="BK170" s="223">
        <v>18</v>
      </c>
      <c r="BL170" s="208">
        <v>154</v>
      </c>
      <c r="BM170" s="224" t="s">
        <v>222</v>
      </c>
      <c r="BN170" s="201"/>
      <c r="BO170" s="201"/>
      <c r="BP170" s="201"/>
    </row>
    <row r="171" spans="1:68" ht="15.5">
      <c r="A171" s="225">
        <v>1</v>
      </c>
      <c r="B171" s="204">
        <v>42</v>
      </c>
      <c r="C171" s="226">
        <v>46218</v>
      </c>
      <c r="D171" s="491">
        <f t="shared" si="27"/>
        <v>44</v>
      </c>
      <c r="E171" s="204" t="s">
        <v>75</v>
      </c>
      <c r="F171" s="205"/>
      <c r="G171" s="206"/>
      <c r="H171" s="207">
        <v>46219</v>
      </c>
      <c r="I171" s="215">
        <v>21</v>
      </c>
      <c r="J171" s="208">
        <v>167</v>
      </c>
      <c r="K171" s="209">
        <v>7.85E-2</v>
      </c>
      <c r="L171" s="210">
        <v>0.23749999999999999</v>
      </c>
      <c r="M171" s="210">
        <v>0.37</v>
      </c>
      <c r="N171" s="211">
        <v>36.5</v>
      </c>
      <c r="O171" s="211">
        <f t="shared" si="28"/>
        <v>25.914999999999999</v>
      </c>
      <c r="P171" s="211">
        <v>71</v>
      </c>
      <c r="Q171" s="210">
        <v>0.22</v>
      </c>
      <c r="R171" s="212">
        <v>66</v>
      </c>
      <c r="S171" s="201" t="s">
        <v>427</v>
      </c>
      <c r="T171" s="201" t="s">
        <v>485</v>
      </c>
      <c r="U171" s="201"/>
      <c r="V171" s="343"/>
      <c r="W171" s="215">
        <f t="shared" si="35"/>
        <v>21</v>
      </c>
      <c r="X171" s="208">
        <f t="shared" si="35"/>
        <v>167</v>
      </c>
      <c r="Y171" s="209"/>
      <c r="Z171" s="210"/>
      <c r="AA171" s="210"/>
      <c r="AB171" s="211"/>
      <c r="AC171" s="211"/>
      <c r="AD171" s="211"/>
      <c r="AE171" s="210"/>
      <c r="AF171" s="212"/>
      <c r="AG171" s="201" t="str">
        <f t="shared" si="34"/>
        <v>SNI</v>
      </c>
      <c r="AH171" s="201" t="s">
        <v>485</v>
      </c>
      <c r="AI171" s="297">
        <v>46232</v>
      </c>
      <c r="AJ171" s="201"/>
      <c r="AK171" s="201"/>
      <c r="AL171" s="201"/>
      <c r="AM171" s="201"/>
      <c r="AN171" s="201"/>
      <c r="AO171" s="218" t="str">
        <f t="shared" si="31"/>
        <v>SNI</v>
      </c>
      <c r="AP171" s="201" t="s">
        <v>458</v>
      </c>
      <c r="AQ171" s="201"/>
      <c r="AR171" s="201"/>
      <c r="AS171" s="213"/>
      <c r="AT171" s="213"/>
      <c r="AU171" s="476" t="str">
        <f t="shared" si="33"/>
        <v>Ok</v>
      </c>
      <c r="AV171" s="220">
        <v>46232</v>
      </c>
      <c r="AW171" s="221">
        <f t="shared" si="25"/>
        <v>21</v>
      </c>
      <c r="AX171" s="208">
        <f t="shared" si="26"/>
        <v>167</v>
      </c>
      <c r="AY171" s="222"/>
      <c r="AZ171" s="222"/>
      <c r="BA171" s="222"/>
      <c r="BB171" s="222"/>
      <c r="BC171" s="222"/>
      <c r="BD171" s="201"/>
      <c r="BE171" s="201"/>
      <c r="BF171" s="201"/>
      <c r="BG171" s="201"/>
      <c r="BH171" s="455">
        <v>46262</v>
      </c>
      <c r="BI171" s="215">
        <f t="shared" si="30"/>
        <v>21</v>
      </c>
      <c r="BJ171" s="208">
        <f t="shared" si="30"/>
        <v>167</v>
      </c>
      <c r="BK171" s="223">
        <v>18</v>
      </c>
      <c r="BL171" s="208">
        <v>157</v>
      </c>
      <c r="BM171" s="224" t="s">
        <v>222</v>
      </c>
      <c r="BN171" s="201"/>
      <c r="BO171" s="201"/>
      <c r="BP171" s="201"/>
    </row>
    <row r="172" spans="1:68" ht="15.5">
      <c r="A172" s="225">
        <v>1</v>
      </c>
      <c r="B172" s="204">
        <v>42</v>
      </c>
      <c r="C172" s="226">
        <v>46218</v>
      </c>
      <c r="D172" s="491">
        <f t="shared" si="27"/>
        <v>30</v>
      </c>
      <c r="E172" s="204" t="s">
        <v>75</v>
      </c>
      <c r="F172" s="205"/>
      <c r="G172" s="206"/>
      <c r="H172" s="207">
        <v>46219</v>
      </c>
      <c r="I172" s="215">
        <v>21</v>
      </c>
      <c r="J172" s="208">
        <v>168</v>
      </c>
      <c r="K172" s="209">
        <v>9.7250000000000003E-2</v>
      </c>
      <c r="L172" s="210">
        <v>0.24</v>
      </c>
      <c r="M172" s="210">
        <v>0.37</v>
      </c>
      <c r="N172" s="211">
        <v>34.75</v>
      </c>
      <c r="O172" s="211">
        <f t="shared" si="28"/>
        <v>24.759374999999999</v>
      </c>
      <c r="P172" s="211">
        <v>71.25</v>
      </c>
      <c r="Q172" s="210">
        <v>0.22</v>
      </c>
      <c r="R172" s="212">
        <v>66</v>
      </c>
      <c r="S172" s="201" t="s">
        <v>427</v>
      </c>
      <c r="T172" s="201" t="s">
        <v>485</v>
      </c>
      <c r="U172" s="201"/>
      <c r="V172" s="343"/>
      <c r="W172" s="215">
        <f t="shared" si="35"/>
        <v>21</v>
      </c>
      <c r="X172" s="208">
        <f t="shared" si="35"/>
        <v>168</v>
      </c>
      <c r="Y172" s="209"/>
      <c r="Z172" s="210"/>
      <c r="AA172" s="210"/>
      <c r="AB172" s="211"/>
      <c r="AC172" s="211"/>
      <c r="AD172" s="211"/>
      <c r="AE172" s="210"/>
      <c r="AF172" s="212"/>
      <c r="AG172" s="201" t="str">
        <f t="shared" si="34"/>
        <v>SNI</v>
      </c>
      <c r="AH172" s="201" t="s">
        <v>485</v>
      </c>
      <c r="AI172" s="297">
        <v>46232</v>
      </c>
      <c r="AJ172" s="201"/>
      <c r="AK172" s="201"/>
      <c r="AL172" s="201"/>
      <c r="AM172" s="201"/>
      <c r="AN172" s="201"/>
      <c r="AO172" s="218" t="str">
        <f t="shared" si="31"/>
        <v>SNI</v>
      </c>
      <c r="AP172" s="201" t="s">
        <v>458</v>
      </c>
      <c r="AQ172" s="201"/>
      <c r="AR172" s="201"/>
      <c r="AS172" s="213"/>
      <c r="AT172" s="213"/>
      <c r="AU172" s="476" t="str">
        <f t="shared" si="33"/>
        <v>Ok</v>
      </c>
      <c r="AV172" s="220">
        <v>46232</v>
      </c>
      <c r="AW172" s="221">
        <f t="shared" si="25"/>
        <v>21</v>
      </c>
      <c r="AX172" s="208">
        <f t="shared" si="26"/>
        <v>168</v>
      </c>
      <c r="AY172" s="222"/>
      <c r="AZ172" s="222"/>
      <c r="BA172" s="222"/>
      <c r="BB172" s="222"/>
      <c r="BC172" s="222"/>
      <c r="BD172" s="201"/>
      <c r="BE172" s="201"/>
      <c r="BF172" s="201"/>
      <c r="BG172" s="201"/>
      <c r="BH172" s="455">
        <v>46248</v>
      </c>
      <c r="BI172" s="215">
        <f t="shared" si="30"/>
        <v>21</v>
      </c>
      <c r="BJ172" s="208">
        <f t="shared" si="30"/>
        <v>168</v>
      </c>
      <c r="BK172" s="223">
        <v>13</v>
      </c>
      <c r="BL172" s="208">
        <v>110</v>
      </c>
      <c r="BM172" s="224" t="s">
        <v>222</v>
      </c>
      <c r="BN172" s="201"/>
      <c r="BO172" s="201"/>
      <c r="BP172" s="201"/>
    </row>
    <row r="173" spans="1:68" ht="15.5">
      <c r="A173" s="225">
        <v>1</v>
      </c>
      <c r="B173" s="204">
        <v>43</v>
      </c>
      <c r="C173" s="226">
        <v>46219</v>
      </c>
      <c r="D173" s="491">
        <f t="shared" si="27"/>
        <v>47</v>
      </c>
      <c r="E173" s="204" t="s">
        <v>75</v>
      </c>
      <c r="F173" s="205"/>
      <c r="G173" s="206"/>
      <c r="H173" s="207">
        <v>46220</v>
      </c>
      <c r="I173" s="215">
        <v>22</v>
      </c>
      <c r="J173" s="208">
        <v>169</v>
      </c>
      <c r="K173" s="209">
        <v>9.9750000000000005E-2</v>
      </c>
      <c r="L173" s="210">
        <v>0.29250000000000004</v>
      </c>
      <c r="M173" s="210">
        <v>0.4</v>
      </c>
      <c r="N173" s="211">
        <v>35.75</v>
      </c>
      <c r="O173" s="211">
        <f t="shared" si="28"/>
        <v>26.008125</v>
      </c>
      <c r="P173" s="211">
        <v>72.75</v>
      </c>
      <c r="Q173" s="210">
        <v>0.21</v>
      </c>
      <c r="R173" s="212">
        <v>72</v>
      </c>
      <c r="S173" s="201" t="s">
        <v>427</v>
      </c>
      <c r="T173" s="201" t="s">
        <v>485</v>
      </c>
      <c r="U173" s="201"/>
      <c r="V173" s="343"/>
      <c r="W173" s="215">
        <f t="shared" si="35"/>
        <v>22</v>
      </c>
      <c r="X173" s="208">
        <f t="shared" si="35"/>
        <v>169</v>
      </c>
      <c r="Y173" s="209"/>
      <c r="Z173" s="210"/>
      <c r="AA173" s="210"/>
      <c r="AB173" s="211"/>
      <c r="AC173" s="211"/>
      <c r="AD173" s="211"/>
      <c r="AE173" s="210"/>
      <c r="AF173" s="212"/>
      <c r="AG173" s="201" t="str">
        <f t="shared" si="34"/>
        <v>SNI</v>
      </c>
      <c r="AH173" s="201" t="s">
        <v>485</v>
      </c>
      <c r="AI173" s="297">
        <v>46232</v>
      </c>
      <c r="AJ173" s="201"/>
      <c r="AK173" s="201"/>
      <c r="AL173" s="201"/>
      <c r="AM173" s="201"/>
      <c r="AN173" s="201"/>
      <c r="AO173" s="218" t="str">
        <f t="shared" si="31"/>
        <v>SNI</v>
      </c>
      <c r="AP173" s="201" t="s">
        <v>458</v>
      </c>
      <c r="AQ173" s="201"/>
      <c r="AR173" s="201"/>
      <c r="AS173" s="213"/>
      <c r="AT173" s="213"/>
      <c r="AU173" s="476" t="str">
        <f t="shared" si="33"/>
        <v>Ok</v>
      </c>
      <c r="AV173" s="220">
        <v>46232</v>
      </c>
      <c r="AW173" s="221">
        <f t="shared" si="25"/>
        <v>22</v>
      </c>
      <c r="AX173" s="208">
        <f t="shared" si="26"/>
        <v>169</v>
      </c>
      <c r="AY173" s="222"/>
      <c r="AZ173" s="222"/>
      <c r="BA173" s="222"/>
      <c r="BB173" s="222"/>
      <c r="BC173" s="222"/>
      <c r="BD173" s="201"/>
      <c r="BE173" s="201"/>
      <c r="BF173" s="201"/>
      <c r="BG173" s="201"/>
      <c r="BH173" s="455">
        <v>46266</v>
      </c>
      <c r="BI173" s="215">
        <f t="shared" si="30"/>
        <v>22</v>
      </c>
      <c r="BJ173" s="208">
        <f t="shared" si="30"/>
        <v>169</v>
      </c>
      <c r="BK173" s="223">
        <v>20</v>
      </c>
      <c r="BL173" s="208">
        <v>171</v>
      </c>
      <c r="BM173" s="224" t="s">
        <v>222</v>
      </c>
      <c r="BN173" s="201"/>
      <c r="BO173" s="201"/>
      <c r="BP173" s="201"/>
    </row>
    <row r="174" spans="1:68" ht="15.5">
      <c r="A174" s="225">
        <v>1</v>
      </c>
      <c r="B174" s="204">
        <v>43</v>
      </c>
      <c r="C174" s="226">
        <v>46219</v>
      </c>
      <c r="D174" s="491">
        <f t="shared" si="27"/>
        <v>47</v>
      </c>
      <c r="E174" s="204" t="s">
        <v>75</v>
      </c>
      <c r="F174" s="205"/>
      <c r="G174" s="206"/>
      <c r="H174" s="207">
        <v>46220</v>
      </c>
      <c r="I174" s="215">
        <v>22</v>
      </c>
      <c r="J174" s="208">
        <v>170</v>
      </c>
      <c r="K174" s="209">
        <v>6.6000000000000003E-2</v>
      </c>
      <c r="L174" s="210">
        <v>0.29499999999999998</v>
      </c>
      <c r="M174" s="210">
        <v>0.32</v>
      </c>
      <c r="N174" s="211">
        <v>34.5</v>
      </c>
      <c r="O174" s="211">
        <f t="shared" si="28"/>
        <v>24.75375</v>
      </c>
      <c r="P174" s="211">
        <v>71.75</v>
      </c>
      <c r="Q174" s="210">
        <v>0.21</v>
      </c>
      <c r="R174" s="212">
        <v>72</v>
      </c>
      <c r="S174" s="201" t="s">
        <v>427</v>
      </c>
      <c r="T174" s="201" t="s">
        <v>485</v>
      </c>
      <c r="U174" s="201"/>
      <c r="V174" s="343"/>
      <c r="W174" s="215">
        <f t="shared" si="35"/>
        <v>22</v>
      </c>
      <c r="X174" s="208">
        <f t="shared" si="35"/>
        <v>170</v>
      </c>
      <c r="Y174" s="209"/>
      <c r="Z174" s="210"/>
      <c r="AA174" s="210"/>
      <c r="AB174" s="211"/>
      <c r="AC174" s="211"/>
      <c r="AD174" s="211"/>
      <c r="AE174" s="210"/>
      <c r="AF174" s="212"/>
      <c r="AG174" s="201" t="str">
        <f t="shared" si="34"/>
        <v>SNI</v>
      </c>
      <c r="AH174" s="201" t="s">
        <v>485</v>
      </c>
      <c r="AI174" s="297">
        <v>46233</v>
      </c>
      <c r="AJ174" s="201"/>
      <c r="AK174" s="201"/>
      <c r="AL174" s="201"/>
      <c r="AM174" s="201"/>
      <c r="AN174" s="201"/>
      <c r="AO174" s="218" t="str">
        <f t="shared" si="31"/>
        <v>SNI</v>
      </c>
      <c r="AP174" s="201" t="s">
        <v>458</v>
      </c>
      <c r="AQ174" s="201"/>
      <c r="AR174" s="201"/>
      <c r="AS174" s="213"/>
      <c r="AT174" s="213"/>
      <c r="AU174" s="476" t="str">
        <f t="shared" si="33"/>
        <v>Ok</v>
      </c>
      <c r="AV174" s="220">
        <v>46233</v>
      </c>
      <c r="AW174" s="221">
        <f t="shared" si="25"/>
        <v>22</v>
      </c>
      <c r="AX174" s="208">
        <f t="shared" si="26"/>
        <v>170</v>
      </c>
      <c r="AY174" s="222"/>
      <c r="AZ174" s="222"/>
      <c r="BA174" s="222"/>
      <c r="BB174" s="222"/>
      <c r="BC174" s="222"/>
      <c r="BD174" s="201"/>
      <c r="BE174" s="201"/>
      <c r="BF174" s="201"/>
      <c r="BG174" s="201"/>
      <c r="BH174" s="455">
        <v>46266</v>
      </c>
      <c r="BI174" s="215">
        <f t="shared" si="30"/>
        <v>22</v>
      </c>
      <c r="BJ174" s="208">
        <f t="shared" si="30"/>
        <v>170</v>
      </c>
      <c r="BK174" s="223">
        <v>20</v>
      </c>
      <c r="BL174" s="208">
        <v>172</v>
      </c>
      <c r="BM174" s="224" t="s">
        <v>222</v>
      </c>
      <c r="BN174" s="201"/>
      <c r="BO174" s="201"/>
      <c r="BP174" s="201"/>
    </row>
    <row r="175" spans="1:68" ht="15.5">
      <c r="A175" s="225">
        <v>1</v>
      </c>
      <c r="B175" s="204">
        <v>43</v>
      </c>
      <c r="C175" s="226">
        <v>46219</v>
      </c>
      <c r="D175" s="491">
        <f t="shared" si="27"/>
        <v>47</v>
      </c>
      <c r="E175" s="204" t="s">
        <v>75</v>
      </c>
      <c r="F175" s="205"/>
      <c r="G175" s="206"/>
      <c r="H175" s="207">
        <v>46220</v>
      </c>
      <c r="I175" s="215">
        <v>22</v>
      </c>
      <c r="J175" s="208">
        <v>171</v>
      </c>
      <c r="K175" s="209">
        <v>6.275E-2</v>
      </c>
      <c r="L175" s="210">
        <v>0.30249999999999999</v>
      </c>
      <c r="M175" s="210">
        <v>0.25</v>
      </c>
      <c r="N175" s="211">
        <v>36.75</v>
      </c>
      <c r="O175" s="211">
        <f t="shared" si="28"/>
        <v>25.725000000000001</v>
      </c>
      <c r="P175" s="211">
        <v>70</v>
      </c>
      <c r="Q175" s="210">
        <v>0.21</v>
      </c>
      <c r="R175" s="212">
        <v>72</v>
      </c>
      <c r="S175" s="201" t="s">
        <v>427</v>
      </c>
      <c r="T175" s="201" t="s">
        <v>485</v>
      </c>
      <c r="U175" s="201"/>
      <c r="V175" s="343"/>
      <c r="W175" s="215">
        <f t="shared" si="35"/>
        <v>22</v>
      </c>
      <c r="X175" s="208">
        <f t="shared" si="35"/>
        <v>171</v>
      </c>
      <c r="Y175" s="209"/>
      <c r="Z175" s="210"/>
      <c r="AA175" s="210"/>
      <c r="AB175" s="211"/>
      <c r="AC175" s="211"/>
      <c r="AD175" s="211"/>
      <c r="AE175" s="210"/>
      <c r="AF175" s="212"/>
      <c r="AG175" s="201" t="str">
        <f t="shared" si="34"/>
        <v>SNI</v>
      </c>
      <c r="AH175" s="201" t="s">
        <v>485</v>
      </c>
      <c r="AI175" s="297">
        <v>46232</v>
      </c>
      <c r="AJ175" s="201"/>
      <c r="AK175" s="201"/>
      <c r="AL175" s="201"/>
      <c r="AM175" s="201"/>
      <c r="AN175" s="201"/>
      <c r="AO175" s="218" t="str">
        <f t="shared" si="31"/>
        <v>SNI</v>
      </c>
      <c r="AP175" s="201" t="s">
        <v>458</v>
      </c>
      <c r="AQ175" s="201"/>
      <c r="AR175" s="201"/>
      <c r="AS175" s="213"/>
      <c r="AT175" s="213"/>
      <c r="AU175" s="476" t="str">
        <f t="shared" si="33"/>
        <v>Ok</v>
      </c>
      <c r="AV175" s="220">
        <v>46232</v>
      </c>
      <c r="AW175" s="221">
        <f t="shared" si="25"/>
        <v>22</v>
      </c>
      <c r="AX175" s="208">
        <f t="shared" si="26"/>
        <v>171</v>
      </c>
      <c r="AY175" s="222"/>
      <c r="AZ175" s="222"/>
      <c r="BA175" s="222"/>
      <c r="BB175" s="222"/>
      <c r="BC175" s="222"/>
      <c r="BD175" s="201"/>
      <c r="BE175" s="201"/>
      <c r="BF175" s="201"/>
      <c r="BG175" s="201"/>
      <c r="BH175" s="455">
        <v>46266</v>
      </c>
      <c r="BI175" s="215">
        <f t="shared" si="30"/>
        <v>22</v>
      </c>
      <c r="BJ175" s="208">
        <f t="shared" si="30"/>
        <v>171</v>
      </c>
      <c r="BK175" s="223">
        <v>20</v>
      </c>
      <c r="BL175" s="208">
        <v>173</v>
      </c>
      <c r="BM175" s="224" t="s">
        <v>222</v>
      </c>
      <c r="BN175" s="201"/>
      <c r="BO175" s="201"/>
      <c r="BP175" s="201"/>
    </row>
    <row r="176" spans="1:68" ht="15.5">
      <c r="A176" s="225">
        <v>1</v>
      </c>
      <c r="B176" s="204">
        <v>43</v>
      </c>
      <c r="C176" s="226">
        <v>46219</v>
      </c>
      <c r="D176" s="491">
        <f t="shared" si="27"/>
        <v>43</v>
      </c>
      <c r="E176" s="204" t="s">
        <v>75</v>
      </c>
      <c r="F176" s="205"/>
      <c r="G176" s="206"/>
      <c r="H176" s="207">
        <v>46220</v>
      </c>
      <c r="I176" s="215">
        <v>22</v>
      </c>
      <c r="J176" s="208">
        <v>172</v>
      </c>
      <c r="K176" s="209">
        <v>6.5250000000000002E-2</v>
      </c>
      <c r="L176" s="210">
        <v>0.3</v>
      </c>
      <c r="M176" s="210">
        <v>0.28999999999999998</v>
      </c>
      <c r="N176" s="211">
        <v>38</v>
      </c>
      <c r="O176" s="211">
        <f t="shared" si="28"/>
        <v>26.695</v>
      </c>
      <c r="P176" s="211">
        <v>70.25</v>
      </c>
      <c r="Q176" s="210">
        <v>0.21</v>
      </c>
      <c r="R176" s="212">
        <v>72</v>
      </c>
      <c r="S176" s="201" t="s">
        <v>427</v>
      </c>
      <c r="T176" s="201" t="s">
        <v>485</v>
      </c>
      <c r="U176" s="201"/>
      <c r="V176" s="343"/>
      <c r="W176" s="215">
        <f t="shared" si="35"/>
        <v>22</v>
      </c>
      <c r="X176" s="208">
        <f t="shared" si="35"/>
        <v>172</v>
      </c>
      <c r="Y176" s="209"/>
      <c r="Z176" s="210"/>
      <c r="AA176" s="210"/>
      <c r="AB176" s="211"/>
      <c r="AC176" s="211"/>
      <c r="AD176" s="211"/>
      <c r="AE176" s="210"/>
      <c r="AF176" s="212"/>
      <c r="AG176" s="201" t="str">
        <f t="shared" si="34"/>
        <v>SNI</v>
      </c>
      <c r="AH176" s="201" t="s">
        <v>485</v>
      </c>
      <c r="AI176" s="297">
        <v>46233</v>
      </c>
      <c r="AJ176" s="201"/>
      <c r="AK176" s="201"/>
      <c r="AL176" s="201"/>
      <c r="AM176" s="201"/>
      <c r="AN176" s="201"/>
      <c r="AO176" s="218" t="str">
        <f t="shared" si="31"/>
        <v>SNI</v>
      </c>
      <c r="AP176" s="201" t="s">
        <v>458</v>
      </c>
      <c r="AQ176" s="201"/>
      <c r="AR176" s="201"/>
      <c r="AS176" s="213"/>
      <c r="AT176" s="213"/>
      <c r="AU176" s="476" t="str">
        <f t="shared" si="33"/>
        <v>Ok</v>
      </c>
      <c r="AV176" s="220">
        <v>46233</v>
      </c>
      <c r="AW176" s="221">
        <f t="shared" si="25"/>
        <v>22</v>
      </c>
      <c r="AX176" s="208">
        <f t="shared" si="26"/>
        <v>172</v>
      </c>
      <c r="AY176" s="222"/>
      <c r="AZ176" s="222"/>
      <c r="BA176" s="222"/>
      <c r="BB176" s="222"/>
      <c r="BC176" s="222"/>
      <c r="BD176" s="201"/>
      <c r="BE176" s="201"/>
      <c r="BF176" s="201"/>
      <c r="BG176" s="201"/>
      <c r="BH176" s="455">
        <v>46262</v>
      </c>
      <c r="BI176" s="215">
        <f t="shared" si="30"/>
        <v>22</v>
      </c>
      <c r="BJ176" s="208">
        <f t="shared" si="30"/>
        <v>172</v>
      </c>
      <c r="BK176" s="223">
        <v>18</v>
      </c>
      <c r="BL176" s="208">
        <v>158</v>
      </c>
      <c r="BM176" s="224" t="s">
        <v>222</v>
      </c>
      <c r="BN176" s="201"/>
      <c r="BO176" s="201"/>
      <c r="BP176" s="201"/>
    </row>
    <row r="177" spans="1:68" ht="15.5">
      <c r="A177" s="225">
        <v>1</v>
      </c>
      <c r="B177" s="204">
        <v>43</v>
      </c>
      <c r="C177" s="226">
        <v>46219</v>
      </c>
      <c r="D177" s="491">
        <f t="shared" si="27"/>
        <v>29</v>
      </c>
      <c r="E177" s="204" t="s">
        <v>75</v>
      </c>
      <c r="F177" s="205"/>
      <c r="G177" s="206"/>
      <c r="H177" s="207">
        <v>46220</v>
      </c>
      <c r="I177" s="215">
        <v>22</v>
      </c>
      <c r="J177" s="208">
        <v>173</v>
      </c>
      <c r="K177" s="209">
        <v>8.8249999999999995E-2</v>
      </c>
      <c r="L177" s="210">
        <v>0.3125</v>
      </c>
      <c r="M177" s="210">
        <v>0.3</v>
      </c>
      <c r="N177" s="211">
        <v>32</v>
      </c>
      <c r="O177" s="211">
        <f t="shared" si="28"/>
        <v>21.84</v>
      </c>
      <c r="P177" s="211">
        <v>68.25</v>
      </c>
      <c r="Q177" s="210">
        <v>0.21</v>
      </c>
      <c r="R177" s="212">
        <v>72</v>
      </c>
      <c r="S177" s="201" t="s">
        <v>427</v>
      </c>
      <c r="T177" s="201" t="s">
        <v>485</v>
      </c>
      <c r="U177" s="201"/>
      <c r="V177" s="343"/>
      <c r="W177" s="215">
        <f t="shared" si="35"/>
        <v>22</v>
      </c>
      <c r="X177" s="208">
        <f t="shared" si="35"/>
        <v>173</v>
      </c>
      <c r="Y177" s="209"/>
      <c r="Z177" s="210"/>
      <c r="AA177" s="210"/>
      <c r="AB177" s="211"/>
      <c r="AC177" s="211"/>
      <c r="AD177" s="211"/>
      <c r="AE177" s="210"/>
      <c r="AF177" s="212"/>
      <c r="AG177" s="201" t="str">
        <f t="shared" si="34"/>
        <v>SNI</v>
      </c>
      <c r="AH177" s="201" t="s">
        <v>485</v>
      </c>
      <c r="AI177" s="297">
        <v>46232</v>
      </c>
      <c r="AJ177" s="201"/>
      <c r="AK177" s="201"/>
      <c r="AL177" s="201"/>
      <c r="AM177" s="201"/>
      <c r="AN177" s="201"/>
      <c r="AO177" s="218" t="str">
        <f t="shared" si="31"/>
        <v>SNI</v>
      </c>
      <c r="AP177" s="201" t="s">
        <v>458</v>
      </c>
      <c r="AQ177" s="201"/>
      <c r="AR177" s="201"/>
      <c r="AS177" s="213"/>
      <c r="AT177" s="213"/>
      <c r="AU177" s="476" t="str">
        <f t="shared" si="33"/>
        <v>Ok</v>
      </c>
      <c r="AV177" s="220">
        <v>46232</v>
      </c>
      <c r="AW177" s="221">
        <f t="shared" si="25"/>
        <v>22</v>
      </c>
      <c r="AX177" s="208">
        <f t="shared" si="26"/>
        <v>173</v>
      </c>
      <c r="AY177" s="222"/>
      <c r="AZ177" s="222"/>
      <c r="BA177" s="222"/>
      <c r="BB177" s="222"/>
      <c r="BC177" s="222"/>
      <c r="BD177" s="201"/>
      <c r="BE177" s="201"/>
      <c r="BF177" s="201"/>
      <c r="BG177" s="201"/>
      <c r="BH177" s="455">
        <v>46248</v>
      </c>
      <c r="BI177" s="215">
        <f t="shared" si="30"/>
        <v>22</v>
      </c>
      <c r="BJ177" s="208">
        <f t="shared" si="30"/>
        <v>173</v>
      </c>
      <c r="BK177" s="223">
        <v>13</v>
      </c>
      <c r="BL177" s="208">
        <v>111</v>
      </c>
      <c r="BM177" s="224" t="s">
        <v>222</v>
      </c>
      <c r="BN177" s="201"/>
      <c r="BO177" s="201"/>
      <c r="BP177" s="201"/>
    </row>
    <row r="178" spans="1:68" ht="15.5">
      <c r="A178" s="225">
        <v>1</v>
      </c>
      <c r="B178" s="204">
        <v>43</v>
      </c>
      <c r="C178" s="226">
        <v>46219</v>
      </c>
      <c r="D178" s="491">
        <f t="shared" si="27"/>
        <v>29</v>
      </c>
      <c r="E178" s="204" t="s">
        <v>75</v>
      </c>
      <c r="F178" s="205"/>
      <c r="G178" s="206"/>
      <c r="H178" s="207">
        <v>46220</v>
      </c>
      <c r="I178" s="215">
        <v>22</v>
      </c>
      <c r="J178" s="208">
        <v>174</v>
      </c>
      <c r="K178" s="209">
        <v>9.5250000000000001E-2</v>
      </c>
      <c r="L178" s="210">
        <v>0.29500000000000004</v>
      </c>
      <c r="M178" s="210">
        <v>0.15</v>
      </c>
      <c r="N178" s="211">
        <v>35.75</v>
      </c>
      <c r="O178" s="211">
        <f t="shared" si="28"/>
        <v>25.650625000000002</v>
      </c>
      <c r="P178" s="211">
        <v>71.75</v>
      </c>
      <c r="Q178" s="210">
        <v>0.21</v>
      </c>
      <c r="R178" s="212">
        <v>72</v>
      </c>
      <c r="S178" s="201" t="s">
        <v>427</v>
      </c>
      <c r="T178" s="201" t="s">
        <v>460</v>
      </c>
      <c r="U178" s="201" t="s">
        <v>480</v>
      </c>
      <c r="V178" s="343"/>
      <c r="W178" s="215">
        <f t="shared" si="35"/>
        <v>22</v>
      </c>
      <c r="X178" s="208">
        <f t="shared" si="35"/>
        <v>174</v>
      </c>
      <c r="Y178" s="209"/>
      <c r="Z178" s="210"/>
      <c r="AA178" s="210"/>
      <c r="AB178" s="211"/>
      <c r="AC178" s="211"/>
      <c r="AD178" s="211"/>
      <c r="AE178" s="210"/>
      <c r="AF178" s="212"/>
      <c r="AG178" s="201" t="str">
        <f t="shared" si="34"/>
        <v>SNI</v>
      </c>
      <c r="AH178" s="201" t="s">
        <v>485</v>
      </c>
      <c r="AI178" s="297">
        <v>46232</v>
      </c>
      <c r="AJ178" s="201"/>
      <c r="AK178" s="201"/>
      <c r="AL178" s="201"/>
      <c r="AM178" s="201"/>
      <c r="AN178" s="201"/>
      <c r="AO178" s="218" t="str">
        <f t="shared" si="31"/>
        <v>SNI</v>
      </c>
      <c r="AP178" s="201" t="s">
        <v>458</v>
      </c>
      <c r="AQ178" s="201"/>
      <c r="AR178" s="201"/>
      <c r="AS178" s="213"/>
      <c r="AT178" s="213"/>
      <c r="AU178" s="476" t="str">
        <f t="shared" si="33"/>
        <v>Ok</v>
      </c>
      <c r="AV178" s="220">
        <v>46232</v>
      </c>
      <c r="AW178" s="221">
        <f t="shared" si="25"/>
        <v>22</v>
      </c>
      <c r="AX178" s="208">
        <f t="shared" si="26"/>
        <v>174</v>
      </c>
      <c r="AY178" s="222"/>
      <c r="AZ178" s="222"/>
      <c r="BA178" s="222"/>
      <c r="BB178" s="222"/>
      <c r="BC178" s="222"/>
      <c r="BD178" s="201"/>
      <c r="BE178" s="201"/>
      <c r="BF178" s="201"/>
      <c r="BG178" s="201"/>
      <c r="BH178" s="455">
        <v>46248</v>
      </c>
      <c r="BI178" s="215">
        <f t="shared" si="30"/>
        <v>22</v>
      </c>
      <c r="BJ178" s="208">
        <f t="shared" si="30"/>
        <v>174</v>
      </c>
      <c r="BK178" s="223">
        <v>13</v>
      </c>
      <c r="BL178" s="208">
        <v>112</v>
      </c>
      <c r="BM178" s="224" t="s">
        <v>222</v>
      </c>
      <c r="BN178" s="201"/>
      <c r="BO178" s="201"/>
      <c r="BP178" s="201"/>
    </row>
    <row r="179" spans="1:68" ht="15.5">
      <c r="A179" s="225">
        <v>1</v>
      </c>
      <c r="B179" s="204">
        <v>43</v>
      </c>
      <c r="C179" s="226">
        <v>46219</v>
      </c>
      <c r="D179" s="491">
        <f t="shared" si="27"/>
        <v>29</v>
      </c>
      <c r="E179" s="204" t="s">
        <v>75</v>
      </c>
      <c r="F179" s="205"/>
      <c r="G179" s="206"/>
      <c r="H179" s="207">
        <v>46220</v>
      </c>
      <c r="I179" s="215">
        <v>22</v>
      </c>
      <c r="J179" s="208">
        <v>175</v>
      </c>
      <c r="K179" s="209">
        <v>6.4500000000000002E-2</v>
      </c>
      <c r="L179" s="210">
        <v>0.3</v>
      </c>
      <c r="M179" s="210">
        <v>0.16</v>
      </c>
      <c r="N179" s="211">
        <v>36</v>
      </c>
      <c r="O179" s="211">
        <f t="shared" si="28"/>
        <v>27</v>
      </c>
      <c r="P179" s="211">
        <v>75</v>
      </c>
      <c r="Q179" s="210">
        <v>0.21</v>
      </c>
      <c r="R179" s="212">
        <v>72</v>
      </c>
      <c r="S179" s="201" t="s">
        <v>427</v>
      </c>
      <c r="T179" s="201" t="s">
        <v>460</v>
      </c>
      <c r="U179" s="201" t="s">
        <v>480</v>
      </c>
      <c r="V179" s="343"/>
      <c r="W179" s="215">
        <f t="shared" si="35"/>
        <v>22</v>
      </c>
      <c r="X179" s="208">
        <f t="shared" si="35"/>
        <v>175</v>
      </c>
      <c r="Y179" s="209"/>
      <c r="Z179" s="210"/>
      <c r="AA179" s="210"/>
      <c r="AB179" s="211"/>
      <c r="AC179" s="211"/>
      <c r="AD179" s="211"/>
      <c r="AE179" s="210"/>
      <c r="AF179" s="212"/>
      <c r="AG179" s="201" t="str">
        <f t="shared" si="34"/>
        <v>SNI</v>
      </c>
      <c r="AH179" s="201" t="s">
        <v>485</v>
      </c>
      <c r="AI179" s="297">
        <v>46232</v>
      </c>
      <c r="AJ179" s="201"/>
      <c r="AK179" s="201"/>
      <c r="AL179" s="201"/>
      <c r="AM179" s="201"/>
      <c r="AN179" s="201"/>
      <c r="AO179" s="218" t="str">
        <f t="shared" si="31"/>
        <v>SNI</v>
      </c>
      <c r="AP179" s="201" t="s">
        <v>458</v>
      </c>
      <c r="AQ179" s="201"/>
      <c r="AR179" s="201"/>
      <c r="AS179" s="213"/>
      <c r="AT179" s="213"/>
      <c r="AU179" s="476" t="str">
        <f t="shared" si="33"/>
        <v>Ok</v>
      </c>
      <c r="AV179" s="220">
        <v>46232</v>
      </c>
      <c r="AW179" s="221">
        <f t="shared" si="25"/>
        <v>22</v>
      </c>
      <c r="AX179" s="208">
        <f t="shared" si="26"/>
        <v>175</v>
      </c>
      <c r="AY179" s="222"/>
      <c r="AZ179" s="222"/>
      <c r="BA179" s="222"/>
      <c r="BB179" s="222"/>
      <c r="BC179" s="222"/>
      <c r="BD179" s="201"/>
      <c r="BE179" s="201"/>
      <c r="BF179" s="201"/>
      <c r="BG179" s="201"/>
      <c r="BH179" s="455">
        <v>46248</v>
      </c>
      <c r="BI179" s="215">
        <f t="shared" si="30"/>
        <v>22</v>
      </c>
      <c r="BJ179" s="208">
        <f t="shared" si="30"/>
        <v>175</v>
      </c>
      <c r="BK179" s="223">
        <v>14</v>
      </c>
      <c r="BL179" s="208">
        <v>113</v>
      </c>
      <c r="BM179" s="224" t="s">
        <v>222</v>
      </c>
      <c r="BN179" s="201"/>
      <c r="BO179" s="201"/>
      <c r="BP179" s="201"/>
    </row>
    <row r="180" spans="1:68" ht="15.5">
      <c r="A180" s="225">
        <v>1</v>
      </c>
      <c r="B180" s="204">
        <v>43</v>
      </c>
      <c r="C180" s="226">
        <v>46219</v>
      </c>
      <c r="D180" s="491">
        <f t="shared" si="27"/>
        <v>29</v>
      </c>
      <c r="E180" s="204" t="s">
        <v>75</v>
      </c>
      <c r="F180" s="205"/>
      <c r="G180" s="206"/>
      <c r="H180" s="207">
        <v>46220</v>
      </c>
      <c r="I180" s="215">
        <v>22</v>
      </c>
      <c r="J180" s="208">
        <v>176</v>
      </c>
      <c r="K180" s="209">
        <v>6.6500000000000004E-2</v>
      </c>
      <c r="L180" s="210">
        <v>0.3</v>
      </c>
      <c r="M180" s="210">
        <v>0.18</v>
      </c>
      <c r="N180" s="211">
        <v>35</v>
      </c>
      <c r="O180" s="211">
        <f t="shared" si="28"/>
        <v>26.074999999999999</v>
      </c>
      <c r="P180" s="211">
        <v>74.5</v>
      </c>
      <c r="Q180" s="210">
        <v>0.21</v>
      </c>
      <c r="R180" s="212">
        <v>72</v>
      </c>
      <c r="S180" s="201" t="s">
        <v>427</v>
      </c>
      <c r="T180" s="201" t="s">
        <v>460</v>
      </c>
      <c r="U180" s="201" t="s">
        <v>480</v>
      </c>
      <c r="V180" s="343"/>
      <c r="W180" s="215">
        <f t="shared" si="35"/>
        <v>22</v>
      </c>
      <c r="X180" s="208">
        <f t="shared" si="35"/>
        <v>176</v>
      </c>
      <c r="Y180" s="209"/>
      <c r="Z180" s="210"/>
      <c r="AA180" s="210"/>
      <c r="AB180" s="211"/>
      <c r="AC180" s="211"/>
      <c r="AD180" s="211"/>
      <c r="AE180" s="210"/>
      <c r="AF180" s="212"/>
      <c r="AG180" s="201" t="str">
        <f t="shared" si="34"/>
        <v>SNI</v>
      </c>
      <c r="AH180" s="201" t="s">
        <v>485</v>
      </c>
      <c r="AI180" s="297">
        <v>46232</v>
      </c>
      <c r="AJ180" s="201"/>
      <c r="AK180" s="201"/>
      <c r="AL180" s="201"/>
      <c r="AM180" s="201"/>
      <c r="AN180" s="201"/>
      <c r="AO180" s="218" t="str">
        <f t="shared" si="31"/>
        <v>SNI</v>
      </c>
      <c r="AP180" s="201" t="s">
        <v>458</v>
      </c>
      <c r="AQ180" s="201"/>
      <c r="AR180" s="201"/>
      <c r="AS180" s="213"/>
      <c r="AT180" s="213"/>
      <c r="AU180" s="476" t="str">
        <f t="shared" si="33"/>
        <v>Ok</v>
      </c>
      <c r="AV180" s="220">
        <v>46232</v>
      </c>
      <c r="AW180" s="221">
        <f t="shared" si="25"/>
        <v>22</v>
      </c>
      <c r="AX180" s="208">
        <f t="shared" si="26"/>
        <v>176</v>
      </c>
      <c r="AY180" s="222"/>
      <c r="AZ180" s="222"/>
      <c r="BA180" s="222"/>
      <c r="BB180" s="222"/>
      <c r="BC180" s="222"/>
      <c r="BD180" s="201"/>
      <c r="BE180" s="201"/>
      <c r="BF180" s="201"/>
      <c r="BG180" s="201"/>
      <c r="BH180" s="455">
        <v>46248</v>
      </c>
      <c r="BI180" s="215">
        <f t="shared" si="30"/>
        <v>22</v>
      </c>
      <c r="BJ180" s="208">
        <f t="shared" si="30"/>
        <v>176</v>
      </c>
      <c r="BK180" s="223">
        <v>13</v>
      </c>
      <c r="BL180" s="208">
        <v>106</v>
      </c>
      <c r="BM180" s="224" t="s">
        <v>222</v>
      </c>
      <c r="BN180" s="201"/>
      <c r="BO180" s="201"/>
      <c r="BP180" s="201"/>
    </row>
    <row r="181" spans="1:68" ht="15.5">
      <c r="A181" s="225">
        <v>1</v>
      </c>
      <c r="B181" s="204" t="s">
        <v>789</v>
      </c>
      <c r="C181" s="226">
        <v>46219</v>
      </c>
      <c r="D181" s="491">
        <f t="shared" si="27"/>
        <v>29</v>
      </c>
      <c r="E181" s="204" t="s">
        <v>75</v>
      </c>
      <c r="F181" s="205"/>
      <c r="G181" s="206"/>
      <c r="H181" s="207">
        <v>46220</v>
      </c>
      <c r="I181" s="215">
        <v>23</v>
      </c>
      <c r="J181" s="208">
        <v>177</v>
      </c>
      <c r="K181" s="209">
        <v>7.1249999999999994E-2</v>
      </c>
      <c r="L181" s="210">
        <v>0.32500000000000001</v>
      </c>
      <c r="M181" s="210">
        <v>0.14000000000000001</v>
      </c>
      <c r="N181" s="211">
        <v>36.25</v>
      </c>
      <c r="O181" s="211">
        <f t="shared" si="28"/>
        <v>25.646875000000001</v>
      </c>
      <c r="P181" s="211">
        <v>70.75</v>
      </c>
      <c r="Q181" s="210">
        <v>0.23</v>
      </c>
      <c r="R181" s="212">
        <v>69.5</v>
      </c>
      <c r="S181" s="201" t="s">
        <v>427</v>
      </c>
      <c r="T181" s="201" t="s">
        <v>460</v>
      </c>
      <c r="U181" s="201" t="s">
        <v>480</v>
      </c>
      <c r="V181" s="343"/>
      <c r="W181" s="215">
        <f t="shared" si="35"/>
        <v>23</v>
      </c>
      <c r="X181" s="208">
        <f t="shared" si="35"/>
        <v>177</v>
      </c>
      <c r="Y181" s="209"/>
      <c r="Z181" s="210"/>
      <c r="AA181" s="210"/>
      <c r="AB181" s="211"/>
      <c r="AC181" s="211"/>
      <c r="AD181" s="211"/>
      <c r="AE181" s="210"/>
      <c r="AF181" s="212"/>
      <c r="AG181" s="201" t="str">
        <f t="shared" si="34"/>
        <v>SNI</v>
      </c>
      <c r="AH181" s="201" t="s">
        <v>485</v>
      </c>
      <c r="AI181" s="297">
        <v>46232</v>
      </c>
      <c r="AJ181" s="201"/>
      <c r="AK181" s="201"/>
      <c r="AL181" s="201"/>
      <c r="AM181" s="201"/>
      <c r="AN181" s="201"/>
      <c r="AO181" s="218" t="str">
        <f t="shared" si="31"/>
        <v>SNI</v>
      </c>
      <c r="AP181" s="201" t="s">
        <v>458</v>
      </c>
      <c r="AQ181" s="201"/>
      <c r="AR181" s="201"/>
      <c r="AS181" s="213"/>
      <c r="AT181" s="213"/>
      <c r="AU181" s="476" t="str">
        <f t="shared" si="33"/>
        <v>Ok</v>
      </c>
      <c r="AV181" s="220">
        <v>46232</v>
      </c>
      <c r="AW181" s="221">
        <f t="shared" si="25"/>
        <v>23</v>
      </c>
      <c r="AX181" s="208">
        <f t="shared" si="26"/>
        <v>177</v>
      </c>
      <c r="AY181" s="222"/>
      <c r="AZ181" s="222"/>
      <c r="BA181" s="222"/>
      <c r="BB181" s="222"/>
      <c r="BC181" s="222"/>
      <c r="BD181" s="201"/>
      <c r="BE181" s="201"/>
      <c r="BF181" s="201"/>
      <c r="BG181" s="201"/>
      <c r="BH181" s="455">
        <v>46248</v>
      </c>
      <c r="BI181" s="215">
        <f t="shared" si="30"/>
        <v>23</v>
      </c>
      <c r="BJ181" s="208">
        <f t="shared" si="30"/>
        <v>177</v>
      </c>
      <c r="BK181" s="223">
        <v>14</v>
      </c>
      <c r="BL181" s="208">
        <v>114</v>
      </c>
      <c r="BM181" s="224" t="s">
        <v>222</v>
      </c>
      <c r="BN181" s="201"/>
      <c r="BO181" s="201"/>
      <c r="BP181" s="201"/>
    </row>
    <row r="182" spans="1:68" ht="15.5">
      <c r="A182" s="225">
        <v>1</v>
      </c>
      <c r="B182" s="204">
        <v>44</v>
      </c>
      <c r="C182" s="226">
        <v>46220</v>
      </c>
      <c r="D182" s="491">
        <f t="shared" si="27"/>
        <v>28</v>
      </c>
      <c r="E182" s="204" t="s">
        <v>75</v>
      </c>
      <c r="F182" s="205"/>
      <c r="G182" s="206"/>
      <c r="H182" s="207">
        <v>46221</v>
      </c>
      <c r="I182" s="215">
        <v>23</v>
      </c>
      <c r="J182" s="208">
        <v>178</v>
      </c>
      <c r="K182" s="209">
        <v>5.7749999999999996E-2</v>
      </c>
      <c r="L182" s="210">
        <v>0.315</v>
      </c>
      <c r="M182" s="210">
        <v>0.15</v>
      </c>
      <c r="N182" s="211">
        <v>36.25</v>
      </c>
      <c r="O182" s="211">
        <f t="shared" si="28"/>
        <v>25.918749999999999</v>
      </c>
      <c r="P182" s="211">
        <v>71.5</v>
      </c>
      <c r="Q182" s="210">
        <v>0.23</v>
      </c>
      <c r="R182" s="212">
        <v>69.5</v>
      </c>
      <c r="S182" s="201" t="s">
        <v>427</v>
      </c>
      <c r="T182" s="201" t="s">
        <v>460</v>
      </c>
      <c r="U182" s="201" t="s">
        <v>480</v>
      </c>
      <c r="V182" s="343"/>
      <c r="W182" s="215">
        <f t="shared" si="35"/>
        <v>23</v>
      </c>
      <c r="X182" s="208">
        <f t="shared" si="35"/>
        <v>178</v>
      </c>
      <c r="Y182" s="209"/>
      <c r="Z182" s="210"/>
      <c r="AA182" s="210"/>
      <c r="AB182" s="211"/>
      <c r="AC182" s="211"/>
      <c r="AD182" s="211"/>
      <c r="AE182" s="210"/>
      <c r="AF182" s="212"/>
      <c r="AG182" s="201" t="str">
        <f t="shared" si="34"/>
        <v>SNI</v>
      </c>
      <c r="AH182" s="201" t="s">
        <v>485</v>
      </c>
      <c r="AI182" s="297">
        <v>46232</v>
      </c>
      <c r="AJ182" s="201"/>
      <c r="AK182" s="201"/>
      <c r="AL182" s="201"/>
      <c r="AM182" s="201"/>
      <c r="AN182" s="201"/>
      <c r="AO182" s="218" t="str">
        <f t="shared" si="31"/>
        <v>SNI</v>
      </c>
      <c r="AP182" s="201" t="s">
        <v>458</v>
      </c>
      <c r="AQ182" s="201"/>
      <c r="AR182" s="201"/>
      <c r="AS182" s="213"/>
      <c r="AT182" s="213"/>
      <c r="AU182" s="476" t="str">
        <f t="shared" si="33"/>
        <v>Ok</v>
      </c>
      <c r="AV182" s="220">
        <v>46232</v>
      </c>
      <c r="AW182" s="221">
        <f t="shared" si="25"/>
        <v>23</v>
      </c>
      <c r="AX182" s="208">
        <f t="shared" si="26"/>
        <v>178</v>
      </c>
      <c r="AY182" s="222"/>
      <c r="AZ182" s="222"/>
      <c r="BA182" s="222"/>
      <c r="BB182" s="222"/>
      <c r="BC182" s="222"/>
      <c r="BD182" s="201"/>
      <c r="BE182" s="201"/>
      <c r="BF182" s="201"/>
      <c r="BG182" s="201"/>
      <c r="BH182" s="455">
        <v>46248</v>
      </c>
      <c r="BI182" s="215">
        <f t="shared" si="30"/>
        <v>23</v>
      </c>
      <c r="BJ182" s="208">
        <f t="shared" si="30"/>
        <v>178</v>
      </c>
      <c r="BK182" s="223">
        <v>14</v>
      </c>
      <c r="BL182" s="208">
        <v>115</v>
      </c>
      <c r="BM182" s="224" t="s">
        <v>222</v>
      </c>
      <c r="BN182" s="201"/>
      <c r="BO182" s="201"/>
      <c r="BP182" s="201"/>
    </row>
    <row r="183" spans="1:68" ht="15.5">
      <c r="A183" s="225">
        <v>1</v>
      </c>
      <c r="B183" s="204">
        <v>44</v>
      </c>
      <c r="C183" s="226">
        <v>46220</v>
      </c>
      <c r="D183" s="491">
        <f t="shared" si="27"/>
        <v>28</v>
      </c>
      <c r="E183" s="204" t="s">
        <v>75</v>
      </c>
      <c r="F183" s="205"/>
      <c r="G183" s="206"/>
      <c r="H183" s="207">
        <v>46221</v>
      </c>
      <c r="I183" s="215">
        <v>23</v>
      </c>
      <c r="J183" s="208">
        <v>179</v>
      </c>
      <c r="K183" s="209">
        <v>7.2999999999999995E-2</v>
      </c>
      <c r="L183" s="210">
        <v>0.3125</v>
      </c>
      <c r="M183" s="210">
        <v>0.37</v>
      </c>
      <c r="N183" s="211">
        <v>35.25</v>
      </c>
      <c r="O183" s="211">
        <f t="shared" si="28"/>
        <v>25.732500000000002</v>
      </c>
      <c r="P183" s="211">
        <v>73</v>
      </c>
      <c r="Q183" s="210">
        <v>0.23</v>
      </c>
      <c r="R183" s="212">
        <v>69.5</v>
      </c>
      <c r="S183" s="201" t="s">
        <v>427</v>
      </c>
      <c r="T183" s="201" t="s">
        <v>485</v>
      </c>
      <c r="U183" s="201"/>
      <c r="V183" s="343"/>
      <c r="W183" s="215">
        <f t="shared" si="35"/>
        <v>23</v>
      </c>
      <c r="X183" s="208">
        <f t="shared" si="35"/>
        <v>179</v>
      </c>
      <c r="Y183" s="209"/>
      <c r="Z183" s="210"/>
      <c r="AA183" s="210"/>
      <c r="AB183" s="211"/>
      <c r="AC183" s="211"/>
      <c r="AD183" s="211"/>
      <c r="AE183" s="210"/>
      <c r="AF183" s="212"/>
      <c r="AG183" s="201" t="str">
        <f t="shared" si="34"/>
        <v>SNI</v>
      </c>
      <c r="AH183" s="201" t="s">
        <v>485</v>
      </c>
      <c r="AI183" s="297">
        <v>46232</v>
      </c>
      <c r="AJ183" s="201"/>
      <c r="AK183" s="201"/>
      <c r="AL183" s="201"/>
      <c r="AM183" s="201"/>
      <c r="AN183" s="201"/>
      <c r="AO183" s="218" t="str">
        <f t="shared" si="31"/>
        <v>SNI</v>
      </c>
      <c r="AP183" s="201" t="s">
        <v>458</v>
      </c>
      <c r="AQ183" s="201"/>
      <c r="AR183" s="201"/>
      <c r="AS183" s="213"/>
      <c r="AT183" s="213"/>
      <c r="AU183" s="476" t="str">
        <f t="shared" si="33"/>
        <v>Ok</v>
      </c>
      <c r="AV183" s="220">
        <v>46232</v>
      </c>
      <c r="AW183" s="221">
        <f t="shared" si="25"/>
        <v>23</v>
      </c>
      <c r="AX183" s="208">
        <f t="shared" si="26"/>
        <v>179</v>
      </c>
      <c r="AY183" s="222"/>
      <c r="AZ183" s="222"/>
      <c r="BA183" s="222"/>
      <c r="BB183" s="222"/>
      <c r="BC183" s="222"/>
      <c r="BD183" s="201"/>
      <c r="BE183" s="201"/>
      <c r="BF183" s="201"/>
      <c r="BG183" s="201"/>
      <c r="BH183" s="455">
        <v>46248</v>
      </c>
      <c r="BI183" s="215">
        <f t="shared" si="30"/>
        <v>23</v>
      </c>
      <c r="BJ183" s="208">
        <f t="shared" si="30"/>
        <v>179</v>
      </c>
      <c r="BK183" s="223">
        <v>14</v>
      </c>
      <c r="BL183" s="208">
        <v>116</v>
      </c>
      <c r="BM183" s="224" t="s">
        <v>222</v>
      </c>
      <c r="BN183" s="201"/>
      <c r="BO183" s="201"/>
      <c r="BP183" s="201"/>
    </row>
    <row r="184" spans="1:68" ht="15.5">
      <c r="A184" s="225">
        <v>1</v>
      </c>
      <c r="B184" s="204">
        <v>44</v>
      </c>
      <c r="C184" s="226">
        <v>46220</v>
      </c>
      <c r="D184" s="491">
        <f t="shared" si="27"/>
        <v>28</v>
      </c>
      <c r="E184" s="204" t="s">
        <v>75</v>
      </c>
      <c r="F184" s="205"/>
      <c r="G184" s="206"/>
      <c r="H184" s="207">
        <v>46221</v>
      </c>
      <c r="I184" s="215">
        <v>23</v>
      </c>
      <c r="J184" s="208">
        <v>180</v>
      </c>
      <c r="K184" s="209">
        <v>9.2499999999999999E-2</v>
      </c>
      <c r="L184" s="210">
        <v>0.3</v>
      </c>
      <c r="M184" s="210">
        <v>0.4</v>
      </c>
      <c r="N184" s="211">
        <v>34</v>
      </c>
      <c r="O184" s="211">
        <f t="shared" si="28"/>
        <v>24.734999999999999</v>
      </c>
      <c r="P184" s="211">
        <v>72.75</v>
      </c>
      <c r="Q184" s="210">
        <v>0.23</v>
      </c>
      <c r="R184" s="212">
        <v>69.5</v>
      </c>
      <c r="S184" s="201" t="s">
        <v>427</v>
      </c>
      <c r="T184" s="201" t="s">
        <v>485</v>
      </c>
      <c r="U184" s="201"/>
      <c r="V184" s="343"/>
      <c r="W184" s="215">
        <f t="shared" si="35"/>
        <v>23</v>
      </c>
      <c r="X184" s="208">
        <f t="shared" si="35"/>
        <v>180</v>
      </c>
      <c r="Y184" s="209"/>
      <c r="Z184" s="210"/>
      <c r="AA184" s="210"/>
      <c r="AB184" s="211"/>
      <c r="AC184" s="211"/>
      <c r="AD184" s="211"/>
      <c r="AE184" s="210"/>
      <c r="AF184" s="212"/>
      <c r="AG184" s="201" t="str">
        <f t="shared" si="34"/>
        <v>SNI</v>
      </c>
      <c r="AH184" s="201" t="s">
        <v>485</v>
      </c>
      <c r="AI184" s="297">
        <v>46232</v>
      </c>
      <c r="AJ184" s="201"/>
      <c r="AK184" s="201"/>
      <c r="AL184" s="201"/>
      <c r="AM184" s="201"/>
      <c r="AN184" s="201"/>
      <c r="AO184" s="218" t="str">
        <f t="shared" si="31"/>
        <v>SNI</v>
      </c>
      <c r="AP184" s="201" t="s">
        <v>458</v>
      </c>
      <c r="AQ184" s="201"/>
      <c r="AR184" s="201"/>
      <c r="AS184" s="213"/>
      <c r="AT184" s="213"/>
      <c r="AU184" s="476" t="str">
        <f t="shared" si="33"/>
        <v>Ok</v>
      </c>
      <c r="AV184" s="220">
        <v>46232</v>
      </c>
      <c r="AW184" s="221">
        <f t="shared" si="25"/>
        <v>23</v>
      </c>
      <c r="AX184" s="208">
        <f t="shared" si="26"/>
        <v>180</v>
      </c>
      <c r="AY184" s="222"/>
      <c r="AZ184" s="222"/>
      <c r="BA184" s="222"/>
      <c r="BB184" s="222"/>
      <c r="BC184" s="222"/>
      <c r="BD184" s="201"/>
      <c r="BE184" s="201"/>
      <c r="BF184" s="201"/>
      <c r="BG184" s="201"/>
      <c r="BH184" s="455">
        <v>46248</v>
      </c>
      <c r="BI184" s="215">
        <f t="shared" si="30"/>
        <v>23</v>
      </c>
      <c r="BJ184" s="208">
        <f t="shared" si="30"/>
        <v>180</v>
      </c>
      <c r="BK184" s="223">
        <v>14</v>
      </c>
      <c r="BL184" s="208">
        <v>117</v>
      </c>
      <c r="BM184" s="224" t="s">
        <v>222</v>
      </c>
      <c r="BN184" s="201"/>
      <c r="BO184" s="201"/>
      <c r="BP184" s="201"/>
    </row>
    <row r="185" spans="1:68" ht="15.5">
      <c r="A185" s="225">
        <v>1</v>
      </c>
      <c r="B185" s="204">
        <v>44</v>
      </c>
      <c r="C185" s="226">
        <v>46220</v>
      </c>
      <c r="D185" s="491">
        <f t="shared" si="27"/>
        <v>28</v>
      </c>
      <c r="E185" s="204" t="s">
        <v>75</v>
      </c>
      <c r="F185" s="205"/>
      <c r="G185" s="206"/>
      <c r="H185" s="207">
        <v>46221</v>
      </c>
      <c r="I185" s="215">
        <v>23</v>
      </c>
      <c r="J185" s="208">
        <v>181</v>
      </c>
      <c r="K185" s="209">
        <v>9.5250000000000001E-2</v>
      </c>
      <c r="L185" s="210">
        <v>0.28000000000000003</v>
      </c>
      <c r="M185" s="210">
        <v>0.36</v>
      </c>
      <c r="N185" s="211">
        <v>34.75</v>
      </c>
      <c r="O185" s="211">
        <f t="shared" si="28"/>
        <v>26.149374999999999</v>
      </c>
      <c r="P185" s="211">
        <v>75.25</v>
      </c>
      <c r="Q185" s="210">
        <v>0.23</v>
      </c>
      <c r="R185" s="212">
        <v>74</v>
      </c>
      <c r="S185" s="201" t="s">
        <v>427</v>
      </c>
      <c r="T185" s="201" t="s">
        <v>485</v>
      </c>
      <c r="U185" s="201"/>
      <c r="V185" s="343"/>
      <c r="W185" s="215">
        <f t="shared" si="35"/>
        <v>23</v>
      </c>
      <c r="X185" s="208">
        <f t="shared" si="35"/>
        <v>181</v>
      </c>
      <c r="Y185" s="209"/>
      <c r="Z185" s="210"/>
      <c r="AA185" s="210"/>
      <c r="AB185" s="211"/>
      <c r="AC185" s="211"/>
      <c r="AD185" s="211"/>
      <c r="AE185" s="210"/>
      <c r="AF185" s="212"/>
      <c r="AG185" s="201" t="str">
        <f t="shared" si="34"/>
        <v>SNI</v>
      </c>
      <c r="AH185" s="201" t="s">
        <v>485</v>
      </c>
      <c r="AI185" s="297">
        <v>46232</v>
      </c>
      <c r="AJ185" s="201"/>
      <c r="AK185" s="201"/>
      <c r="AL185" s="201"/>
      <c r="AM185" s="201"/>
      <c r="AN185" s="201"/>
      <c r="AO185" s="218" t="str">
        <f t="shared" si="31"/>
        <v>SNI</v>
      </c>
      <c r="AP185" s="201" t="s">
        <v>458</v>
      </c>
      <c r="AQ185" s="201"/>
      <c r="AR185" s="201"/>
      <c r="AS185" s="213"/>
      <c r="AT185" s="213"/>
      <c r="AU185" s="476" t="str">
        <f t="shared" si="33"/>
        <v>Ok</v>
      </c>
      <c r="AV185" s="220">
        <v>46232</v>
      </c>
      <c r="AW185" s="221">
        <f t="shared" si="25"/>
        <v>23</v>
      </c>
      <c r="AX185" s="208">
        <f t="shared" si="26"/>
        <v>181</v>
      </c>
      <c r="AY185" s="222"/>
      <c r="AZ185" s="222"/>
      <c r="BA185" s="222"/>
      <c r="BB185" s="222"/>
      <c r="BC185" s="222"/>
      <c r="BD185" s="201"/>
      <c r="BE185" s="201"/>
      <c r="BF185" s="201"/>
      <c r="BG185" s="201"/>
      <c r="BH185" s="455">
        <v>46248</v>
      </c>
      <c r="BI185" s="215">
        <f t="shared" si="30"/>
        <v>23</v>
      </c>
      <c r="BJ185" s="208">
        <f t="shared" si="30"/>
        <v>181</v>
      </c>
      <c r="BK185" s="223">
        <v>14</v>
      </c>
      <c r="BL185" s="208">
        <v>118</v>
      </c>
      <c r="BM185" s="224" t="s">
        <v>222</v>
      </c>
      <c r="BN185" s="201"/>
      <c r="BO185" s="201"/>
      <c r="BP185" s="201"/>
    </row>
    <row r="186" spans="1:68" ht="15.5">
      <c r="A186" s="225">
        <v>1</v>
      </c>
      <c r="B186" s="204">
        <v>44</v>
      </c>
      <c r="C186" s="226">
        <v>46220</v>
      </c>
      <c r="D186" s="491">
        <f t="shared" si="27"/>
        <v>28</v>
      </c>
      <c r="E186" s="204" t="s">
        <v>75</v>
      </c>
      <c r="F186" s="205"/>
      <c r="G186" s="206"/>
      <c r="H186" s="207">
        <v>46221</v>
      </c>
      <c r="I186" s="215">
        <v>23</v>
      </c>
      <c r="J186" s="208">
        <v>182</v>
      </c>
      <c r="K186" s="209">
        <v>2.8749999999999998E-2</v>
      </c>
      <c r="L186" s="210">
        <v>0.255</v>
      </c>
      <c r="M186" s="210">
        <v>0.41</v>
      </c>
      <c r="N186" s="211">
        <v>36.5</v>
      </c>
      <c r="O186" s="211">
        <f t="shared" si="28"/>
        <v>26.462499999999999</v>
      </c>
      <c r="P186" s="211">
        <v>72.5</v>
      </c>
      <c r="Q186" s="210">
        <v>0.23</v>
      </c>
      <c r="R186" s="212">
        <v>74</v>
      </c>
      <c r="S186" s="201" t="s">
        <v>427</v>
      </c>
      <c r="T186" s="201" t="s">
        <v>485</v>
      </c>
      <c r="U186" s="201"/>
      <c r="V186" s="343"/>
      <c r="W186" s="215">
        <f t="shared" si="35"/>
        <v>23</v>
      </c>
      <c r="X186" s="208">
        <f t="shared" si="35"/>
        <v>182</v>
      </c>
      <c r="Y186" s="209"/>
      <c r="Z186" s="210"/>
      <c r="AA186" s="210"/>
      <c r="AB186" s="211"/>
      <c r="AC186" s="211"/>
      <c r="AD186" s="211"/>
      <c r="AE186" s="210"/>
      <c r="AF186" s="212"/>
      <c r="AG186" s="201" t="str">
        <f t="shared" si="34"/>
        <v>SNI</v>
      </c>
      <c r="AH186" s="201" t="s">
        <v>485</v>
      </c>
      <c r="AI186" s="297">
        <v>46232</v>
      </c>
      <c r="AJ186" s="201"/>
      <c r="AK186" s="201"/>
      <c r="AL186" s="201"/>
      <c r="AM186" s="201"/>
      <c r="AN186" s="201"/>
      <c r="AO186" s="218" t="str">
        <f t="shared" si="31"/>
        <v>SNI</v>
      </c>
      <c r="AP186" s="201" t="s">
        <v>458</v>
      </c>
      <c r="AQ186" s="201"/>
      <c r="AR186" s="201"/>
      <c r="AS186" s="213"/>
      <c r="AT186" s="213"/>
      <c r="AU186" s="476" t="str">
        <f t="shared" si="33"/>
        <v>Ok</v>
      </c>
      <c r="AV186" s="220">
        <v>46232</v>
      </c>
      <c r="AW186" s="221">
        <f t="shared" si="25"/>
        <v>23</v>
      </c>
      <c r="AX186" s="208">
        <f t="shared" si="26"/>
        <v>182</v>
      </c>
      <c r="AY186" s="222"/>
      <c r="AZ186" s="222"/>
      <c r="BA186" s="222"/>
      <c r="BB186" s="222"/>
      <c r="BC186" s="222"/>
      <c r="BD186" s="201"/>
      <c r="BE186" s="201"/>
      <c r="BF186" s="201"/>
      <c r="BG186" s="201"/>
      <c r="BH186" s="455">
        <v>46248</v>
      </c>
      <c r="BI186" s="215">
        <f t="shared" si="30"/>
        <v>23</v>
      </c>
      <c r="BJ186" s="208">
        <f t="shared" si="30"/>
        <v>182</v>
      </c>
      <c r="BK186" s="223">
        <v>14</v>
      </c>
      <c r="BL186" s="208">
        <v>119</v>
      </c>
      <c r="BM186" s="224" t="s">
        <v>222</v>
      </c>
      <c r="BN186" s="201"/>
      <c r="BO186" s="201"/>
      <c r="BP186" s="201"/>
    </row>
    <row r="187" spans="1:68" ht="15.5">
      <c r="A187" s="201">
        <v>2</v>
      </c>
      <c r="B187" s="204">
        <v>45</v>
      </c>
      <c r="C187" s="226">
        <v>46220</v>
      </c>
      <c r="D187" s="491">
        <f t="shared" si="27"/>
        <v>28</v>
      </c>
      <c r="E187" s="204" t="s">
        <v>75</v>
      </c>
      <c r="F187" s="205"/>
      <c r="G187" s="206"/>
      <c r="H187" s="207">
        <v>46221</v>
      </c>
      <c r="I187" s="215">
        <v>23</v>
      </c>
      <c r="J187" s="208">
        <v>183</v>
      </c>
      <c r="K187" s="209">
        <v>7.5999999999999998E-2</v>
      </c>
      <c r="L187" s="210">
        <v>0.3125</v>
      </c>
      <c r="M187" s="210">
        <v>0.27</v>
      </c>
      <c r="N187" s="211">
        <v>36</v>
      </c>
      <c r="O187" s="211">
        <f t="shared" si="28"/>
        <v>26.46</v>
      </c>
      <c r="P187" s="211">
        <v>73.5</v>
      </c>
      <c r="Q187" s="210">
        <v>0.23</v>
      </c>
      <c r="R187" s="212">
        <v>74</v>
      </c>
      <c r="S187" s="201" t="s">
        <v>427</v>
      </c>
      <c r="T187" s="201" t="s">
        <v>485</v>
      </c>
      <c r="U187" s="201"/>
      <c r="V187" s="343"/>
      <c r="W187" s="215">
        <f t="shared" si="35"/>
        <v>23</v>
      </c>
      <c r="X187" s="208">
        <f t="shared" si="35"/>
        <v>183</v>
      </c>
      <c r="Y187" s="209"/>
      <c r="Z187" s="210"/>
      <c r="AA187" s="210"/>
      <c r="AB187" s="211"/>
      <c r="AC187" s="211"/>
      <c r="AD187" s="211"/>
      <c r="AE187" s="210"/>
      <c r="AF187" s="212"/>
      <c r="AG187" s="201" t="str">
        <f t="shared" si="34"/>
        <v>SNI</v>
      </c>
      <c r="AH187" s="201" t="s">
        <v>485</v>
      </c>
      <c r="AI187" s="297">
        <v>46232</v>
      </c>
      <c r="AJ187" s="201"/>
      <c r="AK187" s="201"/>
      <c r="AL187" s="201"/>
      <c r="AM187" s="201"/>
      <c r="AN187" s="201"/>
      <c r="AO187" s="218" t="str">
        <f t="shared" si="31"/>
        <v>SNI</v>
      </c>
      <c r="AP187" s="201" t="s">
        <v>458</v>
      </c>
      <c r="AQ187" s="201"/>
      <c r="AR187" s="201"/>
      <c r="AS187" s="213"/>
      <c r="AT187" s="213"/>
      <c r="AU187" s="476" t="str">
        <f t="shared" si="33"/>
        <v>Ok</v>
      </c>
      <c r="AV187" s="220">
        <v>46232</v>
      </c>
      <c r="AW187" s="221">
        <f t="shared" si="25"/>
        <v>23</v>
      </c>
      <c r="AX187" s="208">
        <f t="shared" si="26"/>
        <v>183</v>
      </c>
      <c r="AY187" s="222"/>
      <c r="AZ187" s="222"/>
      <c r="BA187" s="222"/>
      <c r="BB187" s="222"/>
      <c r="BC187" s="222"/>
      <c r="BD187" s="201"/>
      <c r="BE187" s="201"/>
      <c r="BF187" s="201"/>
      <c r="BG187" s="201"/>
      <c r="BH187" s="455">
        <v>46248</v>
      </c>
      <c r="BI187" s="215">
        <f t="shared" si="30"/>
        <v>23</v>
      </c>
      <c r="BJ187" s="208">
        <f t="shared" si="30"/>
        <v>183</v>
      </c>
      <c r="BK187" s="223">
        <v>14</v>
      </c>
      <c r="BL187" s="208">
        <v>120</v>
      </c>
      <c r="BM187" s="224" t="s">
        <v>222</v>
      </c>
      <c r="BN187" s="201"/>
      <c r="BO187" s="201"/>
      <c r="BP187" s="201"/>
    </row>
    <row r="188" spans="1:68" ht="15.5">
      <c r="A188" s="201">
        <v>2</v>
      </c>
      <c r="B188" s="204">
        <v>45</v>
      </c>
      <c r="C188" s="226">
        <v>46220</v>
      </c>
      <c r="D188" s="491">
        <f t="shared" si="27"/>
        <v>42</v>
      </c>
      <c r="E188" s="204" t="s">
        <v>75</v>
      </c>
      <c r="F188" s="205"/>
      <c r="G188" s="206"/>
      <c r="H188" s="207">
        <v>46221</v>
      </c>
      <c r="I188" s="215">
        <v>23</v>
      </c>
      <c r="J188" s="208">
        <v>184</v>
      </c>
      <c r="K188" s="209">
        <v>3.7000000000000005E-2</v>
      </c>
      <c r="L188" s="210">
        <v>0.37750000000000006</v>
      </c>
      <c r="M188" s="210">
        <v>0.19</v>
      </c>
      <c r="N188" s="211">
        <v>35.5</v>
      </c>
      <c r="O188" s="211">
        <f t="shared" si="28"/>
        <v>26.713750000000001</v>
      </c>
      <c r="P188" s="211">
        <v>75.25</v>
      </c>
      <c r="Q188" s="210">
        <v>0.23</v>
      </c>
      <c r="R188" s="212">
        <v>74</v>
      </c>
      <c r="S188" s="201" t="s">
        <v>427</v>
      </c>
      <c r="T188" s="201" t="s">
        <v>460</v>
      </c>
      <c r="U188" s="201" t="s">
        <v>480</v>
      </c>
      <c r="V188" s="343"/>
      <c r="W188" s="215">
        <f t="shared" si="35"/>
        <v>23</v>
      </c>
      <c r="X188" s="208">
        <f t="shared" si="35"/>
        <v>184</v>
      </c>
      <c r="Y188" s="209"/>
      <c r="Z188" s="210"/>
      <c r="AA188" s="210"/>
      <c r="AB188" s="211"/>
      <c r="AC188" s="211"/>
      <c r="AD188" s="211"/>
      <c r="AE188" s="210"/>
      <c r="AF188" s="212"/>
      <c r="AG188" s="201" t="str">
        <f t="shared" si="34"/>
        <v>SNI</v>
      </c>
      <c r="AH188" s="201" t="s">
        <v>485</v>
      </c>
      <c r="AI188" s="297">
        <v>46232</v>
      </c>
      <c r="AJ188" s="201"/>
      <c r="AK188" s="201"/>
      <c r="AL188" s="201"/>
      <c r="AM188" s="201"/>
      <c r="AN188" s="201"/>
      <c r="AO188" s="218" t="str">
        <f t="shared" si="31"/>
        <v>SNI</v>
      </c>
      <c r="AP188" s="201" t="s">
        <v>458</v>
      </c>
      <c r="AQ188" s="201"/>
      <c r="AR188" s="201"/>
      <c r="AS188" s="213"/>
      <c r="AT188" s="213"/>
      <c r="AU188" s="476" t="str">
        <f t="shared" si="33"/>
        <v>Ok</v>
      </c>
      <c r="AV188" s="220">
        <v>46232</v>
      </c>
      <c r="AW188" s="221">
        <f t="shared" si="25"/>
        <v>23</v>
      </c>
      <c r="AX188" s="208">
        <f t="shared" si="26"/>
        <v>184</v>
      </c>
      <c r="AY188" s="222"/>
      <c r="AZ188" s="222"/>
      <c r="BA188" s="222"/>
      <c r="BB188" s="222"/>
      <c r="BC188" s="222"/>
      <c r="BD188" s="201"/>
      <c r="BE188" s="201"/>
      <c r="BF188" s="201"/>
      <c r="BG188" s="201"/>
      <c r="BH188" s="455">
        <v>46262</v>
      </c>
      <c r="BI188" s="215">
        <f t="shared" si="30"/>
        <v>23</v>
      </c>
      <c r="BJ188" s="208">
        <f t="shared" si="30"/>
        <v>184</v>
      </c>
      <c r="BK188" s="223">
        <v>18</v>
      </c>
      <c r="BL188" s="208">
        <v>151</v>
      </c>
      <c r="BM188" s="224" t="s">
        <v>222</v>
      </c>
      <c r="BN188" s="201"/>
      <c r="BO188" s="201"/>
      <c r="BP188" s="201"/>
    </row>
    <row r="189" spans="1:68" ht="15.5">
      <c r="A189" s="201">
        <v>2</v>
      </c>
      <c r="B189" s="204">
        <v>45</v>
      </c>
      <c r="C189" s="226">
        <v>46220</v>
      </c>
      <c r="D189" s="491">
        <f t="shared" si="27"/>
        <v>56</v>
      </c>
      <c r="E189" s="204" t="s">
        <v>75</v>
      </c>
      <c r="F189" s="205"/>
      <c r="G189" s="206"/>
      <c r="H189" s="207">
        <v>46221</v>
      </c>
      <c r="I189" s="215">
        <v>24</v>
      </c>
      <c r="J189" s="208">
        <v>185</v>
      </c>
      <c r="K189" s="209">
        <v>6.1249999999999999E-2</v>
      </c>
      <c r="L189" s="210">
        <v>0.32500000000000001</v>
      </c>
      <c r="M189" s="210">
        <v>0.19</v>
      </c>
      <c r="N189" s="211">
        <v>37.75</v>
      </c>
      <c r="O189" s="211">
        <f t="shared" si="28"/>
        <v>28.501249999999999</v>
      </c>
      <c r="P189" s="211">
        <v>75.5</v>
      </c>
      <c r="Q189" s="210">
        <v>0.22</v>
      </c>
      <c r="R189" s="212">
        <v>73.5</v>
      </c>
      <c r="S189" s="201" t="s">
        <v>427</v>
      </c>
      <c r="T189" s="201" t="s">
        <v>460</v>
      </c>
      <c r="U189" s="201" t="s">
        <v>480</v>
      </c>
      <c r="V189" s="343"/>
      <c r="W189" s="215">
        <f t="shared" si="35"/>
        <v>24</v>
      </c>
      <c r="X189" s="208">
        <f t="shared" si="35"/>
        <v>185</v>
      </c>
      <c r="Y189" s="209"/>
      <c r="Z189" s="210"/>
      <c r="AA189" s="210"/>
      <c r="AB189" s="211">
        <v>37</v>
      </c>
      <c r="AC189" s="211">
        <v>28.12</v>
      </c>
      <c r="AD189" s="211">
        <v>76</v>
      </c>
      <c r="AE189" s="210"/>
      <c r="AF189" s="212"/>
      <c r="AG189" s="201" t="str">
        <f t="shared" si="34"/>
        <v>SNI</v>
      </c>
      <c r="AH189" s="201" t="s">
        <v>485</v>
      </c>
      <c r="AI189" s="297">
        <v>46232</v>
      </c>
      <c r="AJ189" s="201"/>
      <c r="AK189" s="201"/>
      <c r="AL189" s="201"/>
      <c r="AM189" s="201"/>
      <c r="AN189" s="201"/>
      <c r="AO189" s="218" t="str">
        <f t="shared" si="31"/>
        <v>SNI</v>
      </c>
      <c r="AP189" s="201" t="s">
        <v>458</v>
      </c>
      <c r="AQ189" s="201"/>
      <c r="AR189" s="201"/>
      <c r="AS189" s="213"/>
      <c r="AT189" s="213"/>
      <c r="AU189" s="476" t="str">
        <f t="shared" si="33"/>
        <v>Ok</v>
      </c>
      <c r="AV189" s="220">
        <v>46232</v>
      </c>
      <c r="AW189" s="221">
        <f t="shared" si="25"/>
        <v>24</v>
      </c>
      <c r="AX189" s="208">
        <f t="shared" si="26"/>
        <v>185</v>
      </c>
      <c r="AY189" s="222"/>
      <c r="AZ189" s="222"/>
      <c r="BA189" s="222"/>
      <c r="BB189" s="222"/>
      <c r="BC189" s="222"/>
      <c r="BD189" s="201"/>
      <c r="BE189" s="201"/>
      <c r="BF189" s="201"/>
      <c r="BG189" s="201"/>
      <c r="BH189" s="455">
        <v>46276</v>
      </c>
      <c r="BI189" s="215">
        <f t="shared" si="30"/>
        <v>24</v>
      </c>
      <c r="BJ189" s="208">
        <f t="shared" si="30"/>
        <v>185</v>
      </c>
      <c r="BK189" s="223">
        <v>21</v>
      </c>
      <c r="BL189" s="208">
        <v>176</v>
      </c>
      <c r="BM189" s="224" t="s">
        <v>222</v>
      </c>
      <c r="BN189" s="201"/>
      <c r="BO189" s="201"/>
      <c r="BP189" s="201"/>
    </row>
    <row r="190" spans="1:68" ht="15.5">
      <c r="A190" s="201">
        <v>2</v>
      </c>
      <c r="B190" s="204">
        <v>45</v>
      </c>
      <c r="C190" s="226">
        <v>46220</v>
      </c>
      <c r="D190" s="491">
        <f t="shared" si="27"/>
        <v>56</v>
      </c>
      <c r="E190" s="204" t="s">
        <v>75</v>
      </c>
      <c r="F190" s="205"/>
      <c r="G190" s="206"/>
      <c r="H190" s="207">
        <v>46221</v>
      </c>
      <c r="I190" s="215">
        <v>24</v>
      </c>
      <c r="J190" s="208">
        <v>186</v>
      </c>
      <c r="K190" s="209">
        <v>9.325E-2</v>
      </c>
      <c r="L190" s="210">
        <v>0.31</v>
      </c>
      <c r="M190" s="210">
        <v>0.25</v>
      </c>
      <c r="N190" s="211">
        <v>38.25</v>
      </c>
      <c r="O190" s="211">
        <f t="shared" si="28"/>
        <v>28.783124999999998</v>
      </c>
      <c r="P190" s="211">
        <v>75.25</v>
      </c>
      <c r="Q190" s="210">
        <v>0.22</v>
      </c>
      <c r="R190" s="212">
        <v>73.5</v>
      </c>
      <c r="S190" s="201" t="s">
        <v>427</v>
      </c>
      <c r="T190" s="201" t="s">
        <v>485</v>
      </c>
      <c r="U190" s="201"/>
      <c r="V190" s="343"/>
      <c r="W190" s="215">
        <f t="shared" si="35"/>
        <v>24</v>
      </c>
      <c r="X190" s="208">
        <f t="shared" si="35"/>
        <v>186</v>
      </c>
      <c r="Y190" s="209"/>
      <c r="Z190" s="210"/>
      <c r="AA190" s="210"/>
      <c r="AB190" s="211">
        <v>37</v>
      </c>
      <c r="AC190" s="211">
        <v>28.12</v>
      </c>
      <c r="AD190" s="211">
        <v>76</v>
      </c>
      <c r="AE190" s="210"/>
      <c r="AF190" s="212"/>
      <c r="AG190" s="201" t="str">
        <f t="shared" si="34"/>
        <v>SNI</v>
      </c>
      <c r="AH190" s="201" t="s">
        <v>485</v>
      </c>
      <c r="AI190" s="297">
        <v>46232</v>
      </c>
      <c r="AJ190" s="201"/>
      <c r="AK190" s="201"/>
      <c r="AL190" s="201"/>
      <c r="AM190" s="201"/>
      <c r="AN190" s="201"/>
      <c r="AO190" s="218" t="str">
        <f t="shared" si="31"/>
        <v>SNI</v>
      </c>
      <c r="AP190" s="201" t="s">
        <v>458</v>
      </c>
      <c r="AQ190" s="201"/>
      <c r="AR190" s="201"/>
      <c r="AS190" s="213"/>
      <c r="AT190" s="213"/>
      <c r="AU190" s="476" t="str">
        <f t="shared" si="33"/>
        <v>Ok</v>
      </c>
      <c r="AV190" s="220">
        <v>46232</v>
      </c>
      <c r="AW190" s="221">
        <f t="shared" si="25"/>
        <v>24</v>
      </c>
      <c r="AX190" s="208">
        <f t="shared" si="26"/>
        <v>186</v>
      </c>
      <c r="AY190" s="222"/>
      <c r="AZ190" s="222"/>
      <c r="BA190" s="222"/>
      <c r="BB190" s="222"/>
      <c r="BC190" s="222"/>
      <c r="BD190" s="201"/>
      <c r="BE190" s="201"/>
      <c r="BF190" s="201"/>
      <c r="BG190" s="201"/>
      <c r="BH190" s="455">
        <v>46276</v>
      </c>
      <c r="BI190" s="215">
        <f t="shared" si="30"/>
        <v>24</v>
      </c>
      <c r="BJ190" s="208">
        <f t="shared" si="30"/>
        <v>186</v>
      </c>
      <c r="BK190" s="223">
        <v>21</v>
      </c>
      <c r="BL190" s="208">
        <v>177</v>
      </c>
      <c r="BM190" s="224" t="s">
        <v>222</v>
      </c>
      <c r="BN190" s="201"/>
      <c r="BO190" s="201"/>
      <c r="BP190" s="201"/>
    </row>
    <row r="191" spans="1:68" ht="15.5">
      <c r="A191" s="201">
        <v>2</v>
      </c>
      <c r="B191" s="204" t="s">
        <v>790</v>
      </c>
      <c r="C191" s="226">
        <v>46221</v>
      </c>
      <c r="D191" s="491">
        <f t="shared" si="27"/>
        <v>55</v>
      </c>
      <c r="E191" s="204" t="s">
        <v>75</v>
      </c>
      <c r="F191" s="205"/>
      <c r="G191" s="206"/>
      <c r="H191" s="207">
        <v>46223</v>
      </c>
      <c r="I191" s="215">
        <v>24</v>
      </c>
      <c r="J191" s="208">
        <v>187</v>
      </c>
      <c r="K191" s="209">
        <v>9.35E-2</v>
      </c>
      <c r="L191" s="210">
        <v>0.35250000000000004</v>
      </c>
      <c r="M191" s="210">
        <v>0.25</v>
      </c>
      <c r="N191" s="211">
        <v>35.5</v>
      </c>
      <c r="O191" s="211">
        <f t="shared" si="28"/>
        <v>25.64875</v>
      </c>
      <c r="P191" s="211">
        <v>72.25</v>
      </c>
      <c r="Q191" s="210">
        <v>0.22</v>
      </c>
      <c r="R191" s="212">
        <v>73.5</v>
      </c>
      <c r="S191" s="201" t="s">
        <v>427</v>
      </c>
      <c r="T191" s="201" t="s">
        <v>485</v>
      </c>
      <c r="U191" s="201"/>
      <c r="V191" s="343"/>
      <c r="W191" s="215">
        <f t="shared" si="35"/>
        <v>24</v>
      </c>
      <c r="X191" s="208">
        <f t="shared" si="35"/>
        <v>187</v>
      </c>
      <c r="Y191" s="209"/>
      <c r="Z191" s="210"/>
      <c r="AA191" s="210"/>
      <c r="AB191" s="211"/>
      <c r="AC191" s="211"/>
      <c r="AD191" s="211"/>
      <c r="AE191" s="210"/>
      <c r="AF191" s="212"/>
      <c r="AG191" s="201" t="str">
        <f t="shared" si="34"/>
        <v>SNI</v>
      </c>
      <c r="AH191" s="201" t="s">
        <v>485</v>
      </c>
      <c r="AI191" s="297">
        <v>46232</v>
      </c>
      <c r="AJ191" s="201"/>
      <c r="AK191" s="201"/>
      <c r="AL191" s="201"/>
      <c r="AM191" s="201"/>
      <c r="AN191" s="201"/>
      <c r="AO191" s="218" t="str">
        <f t="shared" si="31"/>
        <v>SNI</v>
      </c>
      <c r="AP191" s="201" t="s">
        <v>458</v>
      </c>
      <c r="AQ191" s="201"/>
      <c r="AR191" s="201"/>
      <c r="AS191" s="213"/>
      <c r="AT191" s="213"/>
      <c r="AU191" s="476" t="str">
        <f t="shared" si="33"/>
        <v>Ok</v>
      </c>
      <c r="AV191" s="220">
        <v>46232</v>
      </c>
      <c r="AW191" s="221">
        <f t="shared" si="25"/>
        <v>24</v>
      </c>
      <c r="AX191" s="208">
        <f t="shared" si="26"/>
        <v>187</v>
      </c>
      <c r="AY191" s="222"/>
      <c r="AZ191" s="222"/>
      <c r="BA191" s="222"/>
      <c r="BB191" s="222"/>
      <c r="BC191" s="222"/>
      <c r="BD191" s="201"/>
      <c r="BE191" s="201"/>
      <c r="BF191" s="201"/>
      <c r="BG191" s="201"/>
      <c r="BH191" s="455">
        <v>46276</v>
      </c>
      <c r="BI191" s="215">
        <f t="shared" si="30"/>
        <v>24</v>
      </c>
      <c r="BJ191" s="208">
        <f t="shared" si="30"/>
        <v>187</v>
      </c>
      <c r="BK191" s="223">
        <v>21</v>
      </c>
      <c r="BL191" s="208">
        <v>178</v>
      </c>
      <c r="BM191" s="224" t="s">
        <v>222</v>
      </c>
      <c r="BN191" s="201"/>
      <c r="BO191" s="201"/>
      <c r="BP191" s="201"/>
    </row>
    <row r="192" spans="1:68" ht="15.5">
      <c r="A192" s="201">
        <v>2</v>
      </c>
      <c r="B192" s="204">
        <v>46</v>
      </c>
      <c r="C192" s="226">
        <v>46221</v>
      </c>
      <c r="D192" s="491">
        <f t="shared" si="27"/>
        <v>55</v>
      </c>
      <c r="E192" s="204" t="s">
        <v>75</v>
      </c>
      <c r="F192" s="205"/>
      <c r="G192" s="206"/>
      <c r="H192" s="207">
        <v>46223</v>
      </c>
      <c r="I192" s="215">
        <v>24</v>
      </c>
      <c r="J192" s="208">
        <v>188</v>
      </c>
      <c r="K192" s="209">
        <v>2.8999999999999998E-2</v>
      </c>
      <c r="L192" s="210">
        <v>0.33250000000000002</v>
      </c>
      <c r="M192" s="210">
        <v>0.44</v>
      </c>
      <c r="N192" s="211">
        <v>35.75</v>
      </c>
      <c r="O192" s="211">
        <f t="shared" si="28"/>
        <v>25.3825</v>
      </c>
      <c r="P192" s="211">
        <v>71</v>
      </c>
      <c r="Q192" s="210">
        <v>0.22</v>
      </c>
      <c r="R192" s="212">
        <v>73.5</v>
      </c>
      <c r="S192" s="201" t="s">
        <v>427</v>
      </c>
      <c r="T192" s="201" t="s">
        <v>485</v>
      </c>
      <c r="U192" s="201"/>
      <c r="V192" s="343"/>
      <c r="W192" s="215">
        <f t="shared" si="35"/>
        <v>24</v>
      </c>
      <c r="X192" s="208">
        <f t="shared" si="35"/>
        <v>188</v>
      </c>
      <c r="Y192" s="209"/>
      <c r="Z192" s="210"/>
      <c r="AA192" s="210"/>
      <c r="AB192" s="211"/>
      <c r="AC192" s="211"/>
      <c r="AD192" s="211"/>
      <c r="AE192" s="210"/>
      <c r="AF192" s="212"/>
      <c r="AG192" s="201" t="str">
        <f t="shared" si="34"/>
        <v>SNI</v>
      </c>
      <c r="AH192" s="201" t="s">
        <v>485</v>
      </c>
      <c r="AI192" s="297">
        <v>46232</v>
      </c>
      <c r="AJ192" s="201"/>
      <c r="AK192" s="201"/>
      <c r="AL192" s="201"/>
      <c r="AM192" s="201"/>
      <c r="AN192" s="201"/>
      <c r="AO192" s="218" t="str">
        <f t="shared" si="31"/>
        <v>SNI</v>
      </c>
      <c r="AP192" s="201" t="s">
        <v>458</v>
      </c>
      <c r="AQ192" s="201"/>
      <c r="AR192" s="201"/>
      <c r="AS192" s="213"/>
      <c r="AT192" s="213"/>
      <c r="AU192" s="476" t="str">
        <f t="shared" si="33"/>
        <v>Ok</v>
      </c>
      <c r="AV192" s="220">
        <v>46232</v>
      </c>
      <c r="AW192" s="221">
        <f t="shared" si="25"/>
        <v>24</v>
      </c>
      <c r="AX192" s="208">
        <f t="shared" si="26"/>
        <v>188</v>
      </c>
      <c r="AY192" s="222"/>
      <c r="AZ192" s="222"/>
      <c r="BA192" s="222"/>
      <c r="BB192" s="222"/>
      <c r="BC192" s="222"/>
      <c r="BD192" s="201"/>
      <c r="BE192" s="201"/>
      <c r="BF192" s="201"/>
      <c r="BG192" s="201"/>
      <c r="BH192" s="455">
        <v>46276</v>
      </c>
      <c r="BI192" s="215">
        <f t="shared" si="30"/>
        <v>24</v>
      </c>
      <c r="BJ192" s="208">
        <f t="shared" si="30"/>
        <v>188</v>
      </c>
      <c r="BK192" s="223">
        <v>21</v>
      </c>
      <c r="BL192" s="208">
        <v>179</v>
      </c>
      <c r="BM192" s="224" t="s">
        <v>222</v>
      </c>
      <c r="BN192" s="201"/>
      <c r="BO192" s="201"/>
      <c r="BP192" s="201"/>
    </row>
    <row r="193" spans="1:68" ht="15.5">
      <c r="A193" s="201">
        <v>2</v>
      </c>
      <c r="B193" s="202" t="s">
        <v>791</v>
      </c>
      <c r="C193" s="226">
        <v>46224</v>
      </c>
      <c r="D193" s="491">
        <f t="shared" si="27"/>
        <v>52</v>
      </c>
      <c r="E193" s="204" t="s">
        <v>72</v>
      </c>
      <c r="F193" s="205"/>
      <c r="G193" s="206"/>
      <c r="H193" s="207">
        <v>46224</v>
      </c>
      <c r="I193" s="215">
        <v>24</v>
      </c>
      <c r="J193" s="208">
        <v>189</v>
      </c>
      <c r="K193" s="209">
        <v>2.4500000000000001E-2</v>
      </c>
      <c r="L193" s="210">
        <v>0.315</v>
      </c>
      <c r="M193" s="210">
        <v>0.39</v>
      </c>
      <c r="N193" s="211">
        <v>35.25</v>
      </c>
      <c r="O193" s="211">
        <f t="shared" si="28"/>
        <v>25.115625000000001</v>
      </c>
      <c r="P193" s="211">
        <v>71.25</v>
      </c>
      <c r="Q193" s="210">
        <v>0.22</v>
      </c>
      <c r="R193" s="212">
        <v>70</v>
      </c>
      <c r="S193" s="201" t="s">
        <v>427</v>
      </c>
      <c r="T193" s="201" t="s">
        <v>485</v>
      </c>
      <c r="U193" s="201"/>
      <c r="V193" s="343"/>
      <c r="W193" s="215">
        <f t="shared" si="35"/>
        <v>24</v>
      </c>
      <c r="X193" s="208">
        <f t="shared" si="35"/>
        <v>189</v>
      </c>
      <c r="Y193" s="209"/>
      <c r="Z193" s="210"/>
      <c r="AA193" s="210"/>
      <c r="AB193" s="211"/>
      <c r="AC193" s="211"/>
      <c r="AD193" s="211"/>
      <c r="AE193" s="210"/>
      <c r="AF193" s="212"/>
      <c r="AG193" s="201" t="str">
        <f t="shared" si="34"/>
        <v>SNI</v>
      </c>
      <c r="AH193" s="201" t="s">
        <v>485</v>
      </c>
      <c r="AI193" s="297">
        <v>46233</v>
      </c>
      <c r="AJ193" s="201"/>
      <c r="AK193" s="201"/>
      <c r="AL193" s="201"/>
      <c r="AM193" s="201"/>
      <c r="AN193" s="201"/>
      <c r="AO193" s="218" t="str">
        <f t="shared" si="31"/>
        <v>SNI</v>
      </c>
      <c r="AP193" s="201" t="s">
        <v>458</v>
      </c>
      <c r="AQ193" s="201"/>
      <c r="AR193" s="201"/>
      <c r="AS193" s="213"/>
      <c r="AT193" s="213"/>
      <c r="AU193" s="476" t="str">
        <f t="shared" si="33"/>
        <v>Ok</v>
      </c>
      <c r="AV193" s="220">
        <v>46233</v>
      </c>
      <c r="AW193" s="221">
        <f t="shared" si="25"/>
        <v>24</v>
      </c>
      <c r="AX193" s="208">
        <f t="shared" si="26"/>
        <v>189</v>
      </c>
      <c r="AY193" s="222"/>
      <c r="AZ193" s="222"/>
      <c r="BA193" s="222"/>
      <c r="BB193" s="222"/>
      <c r="BC193" s="222"/>
      <c r="BD193" s="201"/>
      <c r="BE193" s="201"/>
      <c r="BF193" s="201"/>
      <c r="BG193" s="201"/>
      <c r="BH193" s="455">
        <v>46276</v>
      </c>
      <c r="BI193" s="215">
        <f t="shared" si="30"/>
        <v>24</v>
      </c>
      <c r="BJ193" s="208">
        <f t="shared" si="30"/>
        <v>189</v>
      </c>
      <c r="BK193" s="223">
        <v>21</v>
      </c>
      <c r="BL193" s="208">
        <v>180</v>
      </c>
      <c r="BM193" s="224" t="s">
        <v>222</v>
      </c>
      <c r="BN193" s="201"/>
      <c r="BO193" s="201"/>
      <c r="BP193" s="201"/>
    </row>
    <row r="194" spans="1:68" ht="15.5">
      <c r="A194" s="201">
        <v>2</v>
      </c>
      <c r="B194" s="204">
        <v>48</v>
      </c>
      <c r="C194" s="226">
        <v>46224</v>
      </c>
      <c r="D194" s="491">
        <f t="shared" si="27"/>
        <v>52</v>
      </c>
      <c r="E194" s="204" t="s">
        <v>72</v>
      </c>
      <c r="F194" s="205"/>
      <c r="G194" s="206"/>
      <c r="H194" s="207">
        <v>46224</v>
      </c>
      <c r="I194" s="215">
        <v>24</v>
      </c>
      <c r="J194" s="208">
        <v>190</v>
      </c>
      <c r="K194" s="209">
        <v>7.2249999999999995E-2</v>
      </c>
      <c r="L194" s="210">
        <v>0.33250000000000002</v>
      </c>
      <c r="M194" s="210">
        <v>0.39</v>
      </c>
      <c r="N194" s="211">
        <v>35.25</v>
      </c>
      <c r="O194" s="211">
        <f t="shared" si="28"/>
        <v>25.115625000000001</v>
      </c>
      <c r="P194" s="211">
        <v>71.25</v>
      </c>
      <c r="Q194" s="210">
        <v>0.22</v>
      </c>
      <c r="R194" s="212">
        <v>70</v>
      </c>
      <c r="S194" s="201" t="s">
        <v>427</v>
      </c>
      <c r="T194" s="201" t="s">
        <v>485</v>
      </c>
      <c r="U194" s="201"/>
      <c r="V194" s="343"/>
      <c r="W194" s="215">
        <f t="shared" si="35"/>
        <v>24</v>
      </c>
      <c r="X194" s="208">
        <f t="shared" si="35"/>
        <v>190</v>
      </c>
      <c r="Y194" s="209"/>
      <c r="Z194" s="210"/>
      <c r="AA194" s="210"/>
      <c r="AB194" s="211"/>
      <c r="AC194" s="211"/>
      <c r="AD194" s="211"/>
      <c r="AE194" s="210"/>
      <c r="AF194" s="212"/>
      <c r="AG194" s="201" t="str">
        <f t="shared" si="34"/>
        <v>SNI</v>
      </c>
      <c r="AH194" s="201" t="s">
        <v>485</v>
      </c>
      <c r="AI194" s="297">
        <v>46232</v>
      </c>
      <c r="AJ194" s="201"/>
      <c r="AK194" s="201"/>
      <c r="AL194" s="201"/>
      <c r="AM194" s="201"/>
      <c r="AN194" s="201"/>
      <c r="AO194" s="218" t="str">
        <f t="shared" si="31"/>
        <v>SNI</v>
      </c>
      <c r="AP194" s="201" t="s">
        <v>458</v>
      </c>
      <c r="AQ194" s="201"/>
      <c r="AR194" s="201"/>
      <c r="AS194" s="213"/>
      <c r="AT194" s="213"/>
      <c r="AU194" s="476" t="str">
        <f t="shared" si="33"/>
        <v>Ok</v>
      </c>
      <c r="AV194" s="220">
        <v>46232</v>
      </c>
      <c r="AW194" s="221">
        <f t="shared" si="25"/>
        <v>24</v>
      </c>
      <c r="AX194" s="208">
        <f t="shared" si="26"/>
        <v>190</v>
      </c>
      <c r="AY194" s="222"/>
      <c r="AZ194" s="222"/>
      <c r="BA194" s="222"/>
      <c r="BB194" s="222"/>
      <c r="BC194" s="222"/>
      <c r="BD194" s="201"/>
      <c r="BE194" s="201"/>
      <c r="BF194" s="201"/>
      <c r="BG194" s="201"/>
      <c r="BH194" s="455">
        <v>46276</v>
      </c>
      <c r="BI194" s="215">
        <f t="shared" si="30"/>
        <v>24</v>
      </c>
      <c r="BJ194" s="208">
        <f t="shared" si="30"/>
        <v>190</v>
      </c>
      <c r="BK194" s="223">
        <v>21</v>
      </c>
      <c r="BL194" s="208">
        <v>181</v>
      </c>
      <c r="BM194" s="224" t="s">
        <v>222</v>
      </c>
      <c r="BN194" s="201"/>
      <c r="BO194" s="201"/>
      <c r="BP194" s="201"/>
    </row>
    <row r="195" spans="1:68" ht="15.5">
      <c r="A195" s="201">
        <v>2</v>
      </c>
      <c r="B195" s="204">
        <v>48</v>
      </c>
      <c r="C195" s="226">
        <v>46224</v>
      </c>
      <c r="D195" s="491">
        <f t="shared" si="27"/>
        <v>52</v>
      </c>
      <c r="E195" s="204" t="s">
        <v>72</v>
      </c>
      <c r="F195" s="205"/>
      <c r="G195" s="206"/>
      <c r="H195" s="207">
        <v>46224</v>
      </c>
      <c r="I195" s="215">
        <v>24</v>
      </c>
      <c r="J195" s="208">
        <v>191</v>
      </c>
      <c r="K195" s="209">
        <v>7.6749999999999999E-2</v>
      </c>
      <c r="L195" s="210">
        <v>0.3175</v>
      </c>
      <c r="M195" s="210">
        <v>0.32</v>
      </c>
      <c r="N195" s="211">
        <v>35.5</v>
      </c>
      <c r="O195" s="211">
        <f t="shared" si="28"/>
        <v>25.914999999999999</v>
      </c>
      <c r="P195" s="211">
        <v>73</v>
      </c>
      <c r="Q195" s="210">
        <v>0.22</v>
      </c>
      <c r="R195" s="212">
        <v>70</v>
      </c>
      <c r="S195" s="201" t="s">
        <v>427</v>
      </c>
      <c r="T195" s="201" t="s">
        <v>485</v>
      </c>
      <c r="U195" s="201"/>
      <c r="V195" s="343"/>
      <c r="W195" s="215">
        <f t="shared" si="35"/>
        <v>24</v>
      </c>
      <c r="X195" s="208">
        <f t="shared" si="35"/>
        <v>191</v>
      </c>
      <c r="Y195" s="209"/>
      <c r="Z195" s="210"/>
      <c r="AA195" s="210"/>
      <c r="AB195" s="211"/>
      <c r="AC195" s="211"/>
      <c r="AD195" s="211"/>
      <c r="AE195" s="210"/>
      <c r="AF195" s="212"/>
      <c r="AG195" s="201" t="str">
        <f t="shared" si="34"/>
        <v>SNI</v>
      </c>
      <c r="AH195" s="201" t="s">
        <v>485</v>
      </c>
      <c r="AI195" s="297">
        <v>46232</v>
      </c>
      <c r="AJ195" s="201"/>
      <c r="AK195" s="201"/>
      <c r="AL195" s="201"/>
      <c r="AM195" s="201"/>
      <c r="AN195" s="201"/>
      <c r="AO195" s="218" t="str">
        <f t="shared" si="31"/>
        <v>SNI</v>
      </c>
      <c r="AP195" s="201" t="s">
        <v>458</v>
      </c>
      <c r="AQ195" s="201"/>
      <c r="AR195" s="201"/>
      <c r="AS195" s="213"/>
      <c r="AT195" s="213"/>
      <c r="AU195" s="476" t="str">
        <f t="shared" si="33"/>
        <v>Ok</v>
      </c>
      <c r="AV195" s="220">
        <v>46232</v>
      </c>
      <c r="AW195" s="221">
        <f t="shared" si="25"/>
        <v>24</v>
      </c>
      <c r="AX195" s="208">
        <f t="shared" si="26"/>
        <v>191</v>
      </c>
      <c r="AY195" s="222"/>
      <c r="AZ195" s="222"/>
      <c r="BA195" s="222"/>
      <c r="BB195" s="222"/>
      <c r="BC195" s="222"/>
      <c r="BD195" s="201"/>
      <c r="BE195" s="201"/>
      <c r="BF195" s="201"/>
      <c r="BG195" s="201"/>
      <c r="BH195" s="455">
        <v>46276</v>
      </c>
      <c r="BI195" s="215">
        <f t="shared" si="30"/>
        <v>24</v>
      </c>
      <c r="BJ195" s="208">
        <f t="shared" si="30"/>
        <v>191</v>
      </c>
      <c r="BK195" s="223">
        <v>21</v>
      </c>
      <c r="BL195" s="208">
        <v>182</v>
      </c>
      <c r="BM195" s="224" t="s">
        <v>222</v>
      </c>
      <c r="BN195" s="201"/>
      <c r="BO195" s="201"/>
      <c r="BP195" s="201"/>
    </row>
    <row r="196" spans="1:68" ht="15.5">
      <c r="A196" s="201">
        <v>2</v>
      </c>
      <c r="B196" s="204">
        <v>48</v>
      </c>
      <c r="C196" s="226">
        <v>46224</v>
      </c>
      <c r="D196" s="491">
        <f t="shared" si="27"/>
        <v>52</v>
      </c>
      <c r="E196" s="204" t="s">
        <v>72</v>
      </c>
      <c r="F196" s="205"/>
      <c r="G196" s="206"/>
      <c r="H196" s="207">
        <v>46224</v>
      </c>
      <c r="I196" s="215">
        <v>24</v>
      </c>
      <c r="J196" s="208">
        <v>192</v>
      </c>
      <c r="K196" s="209">
        <v>7.8E-2</v>
      </c>
      <c r="L196" s="210">
        <v>0.32500000000000001</v>
      </c>
      <c r="M196" s="210">
        <v>0.35</v>
      </c>
      <c r="N196" s="211">
        <v>36</v>
      </c>
      <c r="O196" s="211">
        <f t="shared" si="28"/>
        <v>27.99</v>
      </c>
      <c r="P196" s="211">
        <v>77.75</v>
      </c>
      <c r="Q196" s="210">
        <v>0.22</v>
      </c>
      <c r="R196" s="212">
        <v>70</v>
      </c>
      <c r="S196" s="201" t="s">
        <v>427</v>
      </c>
      <c r="T196" s="201" t="s">
        <v>485</v>
      </c>
      <c r="U196" s="201"/>
      <c r="V196" s="343"/>
      <c r="W196" s="215">
        <f t="shared" si="35"/>
        <v>24</v>
      </c>
      <c r="X196" s="208">
        <f t="shared" si="35"/>
        <v>192</v>
      </c>
      <c r="Y196" s="209"/>
      <c r="Z196" s="210"/>
      <c r="AA196" s="210"/>
      <c r="AB196" s="211"/>
      <c r="AC196" s="211"/>
      <c r="AD196" s="211"/>
      <c r="AE196" s="210"/>
      <c r="AF196" s="212"/>
      <c r="AG196" s="201" t="str">
        <f t="shared" si="34"/>
        <v>SNI</v>
      </c>
      <c r="AH196" s="201" t="s">
        <v>485</v>
      </c>
      <c r="AI196" s="297">
        <v>46232</v>
      </c>
      <c r="AJ196" s="201"/>
      <c r="AK196" s="201"/>
      <c r="AL196" s="201"/>
      <c r="AM196" s="201"/>
      <c r="AN196" s="201"/>
      <c r="AO196" s="218" t="str">
        <f t="shared" si="31"/>
        <v>SNI</v>
      </c>
      <c r="AP196" s="201" t="s">
        <v>458</v>
      </c>
      <c r="AQ196" s="201"/>
      <c r="AR196" s="201"/>
      <c r="AS196" s="213"/>
      <c r="AT196" s="213"/>
      <c r="AU196" s="476" t="str">
        <f t="shared" si="33"/>
        <v>Ok</v>
      </c>
      <c r="AV196" s="220">
        <v>46232</v>
      </c>
      <c r="AW196" s="221">
        <f t="shared" si="25"/>
        <v>24</v>
      </c>
      <c r="AX196" s="208">
        <f t="shared" si="26"/>
        <v>192</v>
      </c>
      <c r="AY196" s="222"/>
      <c r="AZ196" s="222"/>
      <c r="BA196" s="222"/>
      <c r="BB196" s="222"/>
      <c r="BC196" s="222"/>
      <c r="BD196" s="201"/>
      <c r="BE196" s="201"/>
      <c r="BF196" s="201"/>
      <c r="BG196" s="201"/>
      <c r="BH196" s="455">
        <v>46276</v>
      </c>
      <c r="BI196" s="215">
        <f t="shared" si="30"/>
        <v>24</v>
      </c>
      <c r="BJ196" s="208">
        <f t="shared" si="30"/>
        <v>192</v>
      </c>
      <c r="BK196" s="223">
        <v>21</v>
      </c>
      <c r="BL196" s="208">
        <v>183</v>
      </c>
      <c r="BM196" s="224" t="s">
        <v>222</v>
      </c>
      <c r="BN196" s="201"/>
      <c r="BO196" s="201"/>
      <c r="BP196" s="201"/>
    </row>
    <row r="197" spans="1:68" ht="15.5">
      <c r="A197" s="201">
        <v>2</v>
      </c>
      <c r="B197" s="204" t="s">
        <v>792</v>
      </c>
      <c r="C197" s="226">
        <v>46225</v>
      </c>
      <c r="D197" s="491">
        <f t="shared" si="27"/>
        <v>63</v>
      </c>
      <c r="E197" s="204" t="s">
        <v>72</v>
      </c>
      <c r="F197" s="205"/>
      <c r="G197" s="206"/>
      <c r="H197" s="207">
        <v>46226</v>
      </c>
      <c r="I197" s="215">
        <v>25</v>
      </c>
      <c r="J197" s="208">
        <v>193</v>
      </c>
      <c r="K197" s="209">
        <v>8.2000000000000003E-2</v>
      </c>
      <c r="L197" s="210">
        <v>0.3125</v>
      </c>
      <c r="M197" s="210">
        <v>0.46</v>
      </c>
      <c r="N197" s="211">
        <v>36.75</v>
      </c>
      <c r="O197" s="211">
        <f t="shared" si="28"/>
        <v>27.5625</v>
      </c>
      <c r="P197" s="211">
        <v>75</v>
      </c>
      <c r="Q197" s="210">
        <v>0.21</v>
      </c>
      <c r="R197" s="212">
        <v>75</v>
      </c>
      <c r="S197" s="201" t="s">
        <v>427</v>
      </c>
      <c r="T197" s="201" t="s">
        <v>485</v>
      </c>
      <c r="U197" s="201"/>
      <c r="V197" s="343"/>
      <c r="W197" s="215">
        <f t="shared" si="35"/>
        <v>25</v>
      </c>
      <c r="X197" s="208">
        <f t="shared" si="35"/>
        <v>193</v>
      </c>
      <c r="Y197" s="209"/>
      <c r="Z197" s="210"/>
      <c r="AA197" s="210"/>
      <c r="AB197" s="211"/>
      <c r="AC197" s="211"/>
      <c r="AD197" s="211"/>
      <c r="AE197" s="210"/>
      <c r="AF197" s="212"/>
      <c r="AG197" s="201" t="str">
        <f t="shared" si="34"/>
        <v>SNI</v>
      </c>
      <c r="AH197" s="201" t="s">
        <v>485</v>
      </c>
      <c r="AI197" s="297">
        <v>46232</v>
      </c>
      <c r="AJ197" s="201"/>
      <c r="AK197" s="201"/>
      <c r="AL197" s="201"/>
      <c r="AM197" s="201"/>
      <c r="AN197" s="201"/>
      <c r="AO197" s="218" t="str">
        <f t="shared" si="31"/>
        <v>SNI</v>
      </c>
      <c r="AP197" s="201" t="s">
        <v>458</v>
      </c>
      <c r="AQ197" s="201"/>
      <c r="AR197" s="201"/>
      <c r="AS197" s="213"/>
      <c r="AT197" s="213"/>
      <c r="AU197" s="476" t="str">
        <f t="shared" si="33"/>
        <v>Ok</v>
      </c>
      <c r="AV197" s="220">
        <v>46232</v>
      </c>
      <c r="AW197" s="221">
        <f t="shared" ref="AW197:AW260" si="36">I197</f>
        <v>25</v>
      </c>
      <c r="AX197" s="208">
        <f t="shared" ref="AX197:AX260" si="37">J197</f>
        <v>193</v>
      </c>
      <c r="AY197" s="222"/>
      <c r="AZ197" s="222"/>
      <c r="BA197" s="222"/>
      <c r="BB197" s="222"/>
      <c r="BC197" s="222"/>
      <c r="BD197" s="201"/>
      <c r="BE197" s="201"/>
      <c r="BF197" s="201"/>
      <c r="BG197" s="201"/>
      <c r="BH197" s="455">
        <v>46288</v>
      </c>
      <c r="BI197" s="215">
        <f t="shared" si="30"/>
        <v>25</v>
      </c>
      <c r="BJ197" s="208">
        <f t="shared" si="30"/>
        <v>193</v>
      </c>
      <c r="BK197" s="223">
        <v>27</v>
      </c>
      <c r="BL197" s="208">
        <v>232</v>
      </c>
      <c r="BM197" s="224"/>
      <c r="BN197" s="201"/>
      <c r="BO197" s="201"/>
      <c r="BP197" s="201"/>
    </row>
    <row r="198" spans="1:68" ht="15.5">
      <c r="A198" s="201">
        <v>2</v>
      </c>
      <c r="B198" s="204">
        <v>49</v>
      </c>
      <c r="C198" s="226">
        <v>46225</v>
      </c>
      <c r="D198" s="491">
        <f t="shared" ref="D198:D261" si="38">BH198-C198</f>
        <v>51</v>
      </c>
      <c r="E198" s="204" t="s">
        <v>72</v>
      </c>
      <c r="F198" s="205"/>
      <c r="G198" s="206"/>
      <c r="H198" s="207">
        <v>46226</v>
      </c>
      <c r="I198" s="215">
        <v>25</v>
      </c>
      <c r="J198" s="208">
        <v>194</v>
      </c>
      <c r="K198" s="209">
        <v>6.7000000000000004E-2</v>
      </c>
      <c r="L198" s="210">
        <v>0.3</v>
      </c>
      <c r="M198" s="210">
        <v>0.2</v>
      </c>
      <c r="N198" s="211">
        <v>36.25</v>
      </c>
      <c r="O198" s="211">
        <f t="shared" ref="O198:O261" si="39">N198*P198/100</f>
        <v>27.731249999999999</v>
      </c>
      <c r="P198" s="211">
        <v>76.5</v>
      </c>
      <c r="Q198" s="210">
        <v>0.21</v>
      </c>
      <c r="R198" s="212">
        <v>75</v>
      </c>
      <c r="S198" s="201" t="s">
        <v>427</v>
      </c>
      <c r="T198" s="201" t="s">
        <v>485</v>
      </c>
      <c r="U198" s="201"/>
      <c r="V198" s="343"/>
      <c r="W198" s="215">
        <f t="shared" si="35"/>
        <v>25</v>
      </c>
      <c r="X198" s="208">
        <f t="shared" si="35"/>
        <v>194</v>
      </c>
      <c r="Y198" s="209"/>
      <c r="Z198" s="210"/>
      <c r="AA198" s="210"/>
      <c r="AB198" s="211"/>
      <c r="AC198" s="211"/>
      <c r="AD198" s="211"/>
      <c r="AE198" s="210"/>
      <c r="AF198" s="212"/>
      <c r="AG198" s="201" t="str">
        <f t="shared" si="34"/>
        <v>SNI</v>
      </c>
      <c r="AH198" s="201" t="s">
        <v>485</v>
      </c>
      <c r="AI198" s="297">
        <v>46233</v>
      </c>
      <c r="AJ198" s="201"/>
      <c r="AK198" s="201"/>
      <c r="AL198" s="201"/>
      <c r="AM198" s="201"/>
      <c r="AN198" s="201"/>
      <c r="AO198" s="218" t="str">
        <f t="shared" si="31"/>
        <v>SNI</v>
      </c>
      <c r="AP198" s="201" t="s">
        <v>458</v>
      </c>
      <c r="AQ198" s="201"/>
      <c r="AR198" s="201"/>
      <c r="AS198" s="213"/>
      <c r="AT198" s="213"/>
      <c r="AU198" s="476" t="str">
        <f t="shared" si="33"/>
        <v>Ok</v>
      </c>
      <c r="AV198" s="220">
        <v>46233</v>
      </c>
      <c r="AW198" s="221">
        <f t="shared" si="36"/>
        <v>25</v>
      </c>
      <c r="AX198" s="208">
        <f t="shared" si="37"/>
        <v>194</v>
      </c>
      <c r="AY198" s="222"/>
      <c r="AZ198" s="222"/>
      <c r="BA198" s="222"/>
      <c r="BB198" s="222"/>
      <c r="BC198" s="222"/>
      <c r="BD198" s="201"/>
      <c r="BE198" s="201"/>
      <c r="BF198" s="201"/>
      <c r="BG198" s="201"/>
      <c r="BH198" s="455">
        <v>46276</v>
      </c>
      <c r="BI198" s="215">
        <f t="shared" ref="BI198:BJ243" si="40">AW198</f>
        <v>25</v>
      </c>
      <c r="BJ198" s="208">
        <f t="shared" si="40"/>
        <v>194</v>
      </c>
      <c r="BK198" s="223">
        <v>22</v>
      </c>
      <c r="BL198" s="208">
        <v>184</v>
      </c>
      <c r="BM198" s="224" t="s">
        <v>222</v>
      </c>
      <c r="BN198" s="201"/>
      <c r="BO198" s="201"/>
      <c r="BP198" s="201"/>
    </row>
    <row r="199" spans="1:68" ht="15.5">
      <c r="A199" s="201">
        <v>2</v>
      </c>
      <c r="B199" s="204">
        <v>49</v>
      </c>
      <c r="C199" s="226">
        <v>46225</v>
      </c>
      <c r="D199" s="491">
        <f t="shared" si="38"/>
        <v>51</v>
      </c>
      <c r="E199" s="204" t="s">
        <v>72</v>
      </c>
      <c r="F199" s="205"/>
      <c r="G199" s="206"/>
      <c r="H199" s="207">
        <v>46226</v>
      </c>
      <c r="I199" s="215">
        <v>25</v>
      </c>
      <c r="J199" s="208">
        <v>195</v>
      </c>
      <c r="K199" s="209">
        <v>3.7250000000000005E-2</v>
      </c>
      <c r="L199" s="210">
        <v>0.33</v>
      </c>
      <c r="M199" s="210">
        <v>0.22</v>
      </c>
      <c r="N199" s="211">
        <v>35.75</v>
      </c>
      <c r="O199" s="211">
        <f t="shared" si="39"/>
        <v>29.13625</v>
      </c>
      <c r="P199" s="211">
        <v>81.5</v>
      </c>
      <c r="Q199" s="210">
        <v>0.21</v>
      </c>
      <c r="R199" s="212">
        <v>75</v>
      </c>
      <c r="S199" s="201" t="s">
        <v>427</v>
      </c>
      <c r="T199" s="201" t="s">
        <v>485</v>
      </c>
      <c r="U199" s="201"/>
      <c r="V199" s="343"/>
      <c r="W199" s="215">
        <f t="shared" si="35"/>
        <v>25</v>
      </c>
      <c r="X199" s="208">
        <f t="shared" si="35"/>
        <v>195</v>
      </c>
      <c r="Y199" s="209"/>
      <c r="Z199" s="210"/>
      <c r="AA199" s="210"/>
      <c r="AB199" s="211"/>
      <c r="AC199" s="211"/>
      <c r="AD199" s="211"/>
      <c r="AE199" s="210"/>
      <c r="AF199" s="212"/>
      <c r="AG199" s="201" t="str">
        <f t="shared" si="34"/>
        <v>SNI</v>
      </c>
      <c r="AH199" s="201" t="s">
        <v>485</v>
      </c>
      <c r="AI199" s="297">
        <v>46232</v>
      </c>
      <c r="AJ199" s="201"/>
      <c r="AK199" s="201"/>
      <c r="AL199" s="201"/>
      <c r="AM199" s="201"/>
      <c r="AN199" s="201"/>
      <c r="AO199" s="218" t="str">
        <f t="shared" ref="AO199:AO211" si="41">AG199</f>
        <v>SNI</v>
      </c>
      <c r="AP199" s="201" t="s">
        <v>458</v>
      </c>
      <c r="AQ199" s="201"/>
      <c r="AR199" s="201"/>
      <c r="AS199" s="213"/>
      <c r="AT199" s="213"/>
      <c r="AU199" s="476" t="str">
        <f t="shared" si="33"/>
        <v>Ok</v>
      </c>
      <c r="AV199" s="220">
        <v>46232</v>
      </c>
      <c r="AW199" s="221">
        <f t="shared" si="36"/>
        <v>25</v>
      </c>
      <c r="AX199" s="208">
        <f t="shared" si="37"/>
        <v>195</v>
      </c>
      <c r="AY199" s="222"/>
      <c r="AZ199" s="222"/>
      <c r="BA199" s="222"/>
      <c r="BB199" s="222"/>
      <c r="BC199" s="222"/>
      <c r="BD199" s="201"/>
      <c r="BE199" s="201"/>
      <c r="BF199" s="201"/>
      <c r="BG199" s="201"/>
      <c r="BH199" s="455">
        <v>46276</v>
      </c>
      <c r="BI199" s="215">
        <f t="shared" si="40"/>
        <v>25</v>
      </c>
      <c r="BJ199" s="208">
        <f t="shared" si="40"/>
        <v>195</v>
      </c>
      <c r="BK199" s="223">
        <v>22</v>
      </c>
      <c r="BL199" s="208">
        <v>185</v>
      </c>
      <c r="BM199" s="224" t="s">
        <v>222</v>
      </c>
      <c r="BN199" s="201"/>
      <c r="BO199" s="201"/>
      <c r="BP199" s="201"/>
    </row>
    <row r="200" spans="1:68" ht="15.5">
      <c r="A200" s="201">
        <v>2</v>
      </c>
      <c r="B200" s="204">
        <v>49</v>
      </c>
      <c r="C200" s="226">
        <v>46225</v>
      </c>
      <c r="D200" s="491">
        <f t="shared" si="38"/>
        <v>51</v>
      </c>
      <c r="E200" s="204" t="s">
        <v>72</v>
      </c>
      <c r="F200" s="205"/>
      <c r="G200" s="206"/>
      <c r="H200" s="207">
        <v>46226</v>
      </c>
      <c r="I200" s="215">
        <v>25</v>
      </c>
      <c r="J200" s="208">
        <v>196</v>
      </c>
      <c r="K200" s="209">
        <v>4.1250000000000002E-2</v>
      </c>
      <c r="L200" s="210">
        <v>0.3125</v>
      </c>
      <c r="M200" s="210">
        <v>0.23</v>
      </c>
      <c r="N200" s="211">
        <v>35.75</v>
      </c>
      <c r="O200" s="211">
        <f t="shared" si="39"/>
        <v>28.153124999999999</v>
      </c>
      <c r="P200" s="211">
        <v>78.75</v>
      </c>
      <c r="Q200" s="210">
        <v>0.21</v>
      </c>
      <c r="R200" s="212">
        <v>75</v>
      </c>
      <c r="S200" s="201" t="s">
        <v>427</v>
      </c>
      <c r="T200" s="201" t="s">
        <v>485</v>
      </c>
      <c r="U200" s="201"/>
      <c r="V200" s="343"/>
      <c r="W200" s="215">
        <f t="shared" si="35"/>
        <v>25</v>
      </c>
      <c r="X200" s="208">
        <f t="shared" si="35"/>
        <v>196</v>
      </c>
      <c r="Y200" s="209"/>
      <c r="Z200" s="210"/>
      <c r="AA200" s="210"/>
      <c r="AB200" s="211"/>
      <c r="AC200" s="211"/>
      <c r="AD200" s="211"/>
      <c r="AE200" s="210"/>
      <c r="AF200" s="212"/>
      <c r="AG200" s="201" t="str">
        <f t="shared" si="34"/>
        <v>SNI</v>
      </c>
      <c r="AH200" s="201" t="s">
        <v>485</v>
      </c>
      <c r="AI200" s="297">
        <v>46233</v>
      </c>
      <c r="AJ200" s="201"/>
      <c r="AK200" s="201"/>
      <c r="AL200" s="201"/>
      <c r="AM200" s="201"/>
      <c r="AN200" s="201"/>
      <c r="AO200" s="218" t="str">
        <f t="shared" si="41"/>
        <v>SNI</v>
      </c>
      <c r="AP200" s="201" t="s">
        <v>458</v>
      </c>
      <c r="AQ200" s="201"/>
      <c r="AR200" s="201"/>
      <c r="AS200" s="213"/>
      <c r="AT200" s="213"/>
      <c r="AU200" s="476" t="str">
        <f t="shared" si="33"/>
        <v>Ok</v>
      </c>
      <c r="AV200" s="220">
        <v>46233</v>
      </c>
      <c r="AW200" s="221">
        <f t="shared" si="36"/>
        <v>25</v>
      </c>
      <c r="AX200" s="208">
        <f t="shared" si="37"/>
        <v>196</v>
      </c>
      <c r="AY200" s="222"/>
      <c r="AZ200" s="222"/>
      <c r="BA200" s="222"/>
      <c r="BB200" s="222"/>
      <c r="BC200" s="222"/>
      <c r="BD200" s="201"/>
      <c r="BE200" s="201"/>
      <c r="BF200" s="201"/>
      <c r="BG200" s="201"/>
      <c r="BH200" s="455">
        <v>46276</v>
      </c>
      <c r="BI200" s="215">
        <f t="shared" si="40"/>
        <v>25</v>
      </c>
      <c r="BJ200" s="208">
        <f t="shared" si="40"/>
        <v>196</v>
      </c>
      <c r="BK200" s="223">
        <v>22</v>
      </c>
      <c r="BL200" s="208">
        <v>186</v>
      </c>
      <c r="BM200" s="224" t="s">
        <v>222</v>
      </c>
      <c r="BN200" s="201"/>
      <c r="BO200" s="201"/>
      <c r="BP200" s="201"/>
    </row>
    <row r="201" spans="1:68" ht="15.5">
      <c r="A201" s="201">
        <v>2</v>
      </c>
      <c r="B201" s="204">
        <v>49</v>
      </c>
      <c r="C201" s="226">
        <v>46225</v>
      </c>
      <c r="D201" s="491">
        <f t="shared" si="38"/>
        <v>57</v>
      </c>
      <c r="E201" s="204" t="s">
        <v>72</v>
      </c>
      <c r="F201" s="205"/>
      <c r="G201" s="206"/>
      <c r="H201" s="207">
        <v>46226</v>
      </c>
      <c r="I201" s="215">
        <v>25</v>
      </c>
      <c r="J201" s="208">
        <v>197</v>
      </c>
      <c r="K201" s="209">
        <v>3.9E-2</v>
      </c>
      <c r="L201" s="210">
        <v>0.32250000000000001</v>
      </c>
      <c r="M201" s="210">
        <v>0.27</v>
      </c>
      <c r="N201" s="211">
        <v>37.25</v>
      </c>
      <c r="O201" s="211">
        <f t="shared" si="39"/>
        <v>27.565000000000001</v>
      </c>
      <c r="P201" s="211">
        <v>74</v>
      </c>
      <c r="Q201" s="210">
        <v>0.21</v>
      </c>
      <c r="R201" s="212">
        <v>81</v>
      </c>
      <c r="S201" s="201" t="s">
        <v>427</v>
      </c>
      <c r="T201" s="201" t="s">
        <v>485</v>
      </c>
      <c r="U201" s="201"/>
      <c r="V201" s="343"/>
      <c r="W201" s="215">
        <f t="shared" si="35"/>
        <v>25</v>
      </c>
      <c r="X201" s="208">
        <f t="shared" si="35"/>
        <v>197</v>
      </c>
      <c r="Y201" s="209"/>
      <c r="Z201" s="210"/>
      <c r="AA201" s="210"/>
      <c r="AB201" s="211">
        <v>35</v>
      </c>
      <c r="AC201" s="211">
        <v>24.85</v>
      </c>
      <c r="AD201" s="211">
        <v>71</v>
      </c>
      <c r="AE201" s="210"/>
      <c r="AF201" s="212"/>
      <c r="AG201" s="201" t="str">
        <f t="shared" si="34"/>
        <v>SNI</v>
      </c>
      <c r="AH201" s="201" t="s">
        <v>485</v>
      </c>
      <c r="AI201" s="297">
        <v>46233</v>
      </c>
      <c r="AJ201" s="201"/>
      <c r="AK201" s="201"/>
      <c r="AL201" s="201"/>
      <c r="AM201" s="201"/>
      <c r="AN201" s="201"/>
      <c r="AO201" s="218" t="str">
        <f t="shared" si="41"/>
        <v>SNI</v>
      </c>
      <c r="AP201" s="201" t="s">
        <v>458</v>
      </c>
      <c r="AQ201" s="201"/>
      <c r="AR201" s="201"/>
      <c r="AS201" s="213"/>
      <c r="AT201" s="213"/>
      <c r="AU201" s="476" t="str">
        <f t="shared" si="33"/>
        <v>Ok</v>
      </c>
      <c r="AV201" s="220">
        <v>46233</v>
      </c>
      <c r="AW201" s="221">
        <f t="shared" si="36"/>
        <v>25</v>
      </c>
      <c r="AX201" s="208">
        <f t="shared" si="37"/>
        <v>197</v>
      </c>
      <c r="AY201" s="222"/>
      <c r="AZ201" s="222"/>
      <c r="BA201" s="222"/>
      <c r="BB201" s="222"/>
      <c r="BC201" s="222"/>
      <c r="BD201" s="201"/>
      <c r="BE201" s="201"/>
      <c r="BF201" s="201"/>
      <c r="BG201" s="201"/>
      <c r="BH201" s="455">
        <v>46282</v>
      </c>
      <c r="BI201" s="215">
        <f t="shared" si="40"/>
        <v>25</v>
      </c>
      <c r="BJ201" s="208">
        <f t="shared" si="40"/>
        <v>197</v>
      </c>
      <c r="BK201" s="223">
        <v>23</v>
      </c>
      <c r="BL201" s="208">
        <v>196</v>
      </c>
      <c r="BM201" s="224" t="s">
        <v>222</v>
      </c>
      <c r="BN201" s="201"/>
      <c r="BO201" s="201"/>
      <c r="BP201" s="201"/>
    </row>
    <row r="202" spans="1:68" ht="15.5">
      <c r="A202" s="201">
        <v>2</v>
      </c>
      <c r="B202" s="204">
        <v>49</v>
      </c>
      <c r="C202" s="226">
        <v>46225</v>
      </c>
      <c r="D202" s="491">
        <f t="shared" si="38"/>
        <v>51</v>
      </c>
      <c r="E202" s="204" t="s">
        <v>72</v>
      </c>
      <c r="F202" s="205"/>
      <c r="G202" s="206"/>
      <c r="H202" s="207">
        <v>46226</v>
      </c>
      <c r="I202" s="215">
        <v>25</v>
      </c>
      <c r="J202" s="208">
        <v>198</v>
      </c>
      <c r="K202" s="209">
        <v>8.0750000000000002E-2</v>
      </c>
      <c r="L202" s="210">
        <v>0.32</v>
      </c>
      <c r="M202" s="210">
        <v>0.23</v>
      </c>
      <c r="N202" s="211">
        <v>34.25</v>
      </c>
      <c r="O202" s="211">
        <f t="shared" si="39"/>
        <v>25.516249999999999</v>
      </c>
      <c r="P202" s="211">
        <v>74.5</v>
      </c>
      <c r="Q202" s="210">
        <v>0.21</v>
      </c>
      <c r="R202" s="212">
        <v>81</v>
      </c>
      <c r="S202" s="201" t="s">
        <v>427</v>
      </c>
      <c r="T202" s="201" t="s">
        <v>485</v>
      </c>
      <c r="U202" s="201"/>
      <c r="V202" s="343"/>
      <c r="W202" s="215">
        <f t="shared" si="35"/>
        <v>25</v>
      </c>
      <c r="X202" s="208">
        <f t="shared" si="35"/>
        <v>198</v>
      </c>
      <c r="Y202" s="209"/>
      <c r="Z202" s="210"/>
      <c r="AA202" s="210"/>
      <c r="AB202" s="211"/>
      <c r="AC202" s="211"/>
      <c r="AD202" s="211"/>
      <c r="AE202" s="210"/>
      <c r="AF202" s="212"/>
      <c r="AG202" s="201" t="str">
        <f t="shared" si="34"/>
        <v>SNI</v>
      </c>
      <c r="AH202" s="201" t="s">
        <v>485</v>
      </c>
      <c r="AI202" s="297">
        <v>46233</v>
      </c>
      <c r="AJ202" s="201"/>
      <c r="AK202" s="201"/>
      <c r="AL202" s="201"/>
      <c r="AM202" s="201"/>
      <c r="AN202" s="201"/>
      <c r="AO202" s="218" t="str">
        <f t="shared" si="41"/>
        <v>SNI</v>
      </c>
      <c r="AP202" s="201" t="s">
        <v>458</v>
      </c>
      <c r="AQ202" s="201"/>
      <c r="AR202" s="201"/>
      <c r="AS202" s="213"/>
      <c r="AT202" s="213"/>
      <c r="AU202" s="476" t="str">
        <f t="shared" si="33"/>
        <v>Ok</v>
      </c>
      <c r="AV202" s="220">
        <v>46233</v>
      </c>
      <c r="AW202" s="221">
        <f t="shared" si="36"/>
        <v>25</v>
      </c>
      <c r="AX202" s="208">
        <f t="shared" si="37"/>
        <v>198</v>
      </c>
      <c r="AY202" s="222"/>
      <c r="AZ202" s="222"/>
      <c r="BA202" s="222"/>
      <c r="BB202" s="222"/>
      <c r="BC202" s="222"/>
      <c r="BD202" s="201"/>
      <c r="BE202" s="201"/>
      <c r="BF202" s="201"/>
      <c r="BG202" s="201"/>
      <c r="BH202" s="455">
        <v>46276</v>
      </c>
      <c r="BI202" s="215">
        <f t="shared" si="40"/>
        <v>25</v>
      </c>
      <c r="BJ202" s="208">
        <f t="shared" si="40"/>
        <v>198</v>
      </c>
      <c r="BK202" s="223">
        <v>22</v>
      </c>
      <c r="BL202" s="208">
        <v>188</v>
      </c>
      <c r="BM202" s="224" t="s">
        <v>222</v>
      </c>
      <c r="BN202" s="201"/>
      <c r="BO202" s="201"/>
      <c r="BP202" s="201"/>
    </row>
    <row r="203" spans="1:68" ht="15.5">
      <c r="A203" s="201">
        <v>2</v>
      </c>
      <c r="B203" s="204" t="s">
        <v>585</v>
      </c>
      <c r="C203" s="226">
        <v>46226</v>
      </c>
      <c r="D203" s="491">
        <f t="shared" si="38"/>
        <v>61</v>
      </c>
      <c r="E203" s="204" t="s">
        <v>72</v>
      </c>
      <c r="F203" s="205"/>
      <c r="G203" s="206"/>
      <c r="H203" s="207">
        <v>46227</v>
      </c>
      <c r="I203" s="215">
        <v>25</v>
      </c>
      <c r="J203" s="208">
        <v>199</v>
      </c>
      <c r="K203" s="209">
        <v>2.6749999999999996E-2</v>
      </c>
      <c r="L203" s="210">
        <v>0.32500000000000001</v>
      </c>
      <c r="M203" s="210">
        <v>0.23</v>
      </c>
      <c r="N203" s="211">
        <v>31.5</v>
      </c>
      <c r="O203" s="211">
        <f t="shared" si="39"/>
        <v>23.625</v>
      </c>
      <c r="P203" s="211">
        <v>75</v>
      </c>
      <c r="Q203" s="210">
        <v>0.21</v>
      </c>
      <c r="R203" s="212">
        <v>81</v>
      </c>
      <c r="S203" s="201" t="s">
        <v>427</v>
      </c>
      <c r="T203" s="201" t="s">
        <v>485</v>
      </c>
      <c r="U203" s="201"/>
      <c r="V203" s="343"/>
      <c r="W203" s="215">
        <f t="shared" si="35"/>
        <v>25</v>
      </c>
      <c r="X203" s="208">
        <f t="shared" si="35"/>
        <v>199</v>
      </c>
      <c r="Y203" s="209"/>
      <c r="Z203" s="210"/>
      <c r="AA203" s="210"/>
      <c r="AB203" s="211">
        <v>27</v>
      </c>
      <c r="AC203" s="211">
        <v>21.06</v>
      </c>
      <c r="AD203" s="211">
        <v>78</v>
      </c>
      <c r="AE203" s="210"/>
      <c r="AF203" s="212"/>
      <c r="AG203" s="201" t="str">
        <f t="shared" si="34"/>
        <v>SNI</v>
      </c>
      <c r="AH203" s="201" t="s">
        <v>485</v>
      </c>
      <c r="AI203" s="297">
        <v>46232</v>
      </c>
      <c r="AJ203" s="201"/>
      <c r="AK203" s="201"/>
      <c r="AL203" s="201"/>
      <c r="AM203" s="201"/>
      <c r="AN203" s="201"/>
      <c r="AO203" s="218" t="str">
        <f t="shared" si="41"/>
        <v>SNI</v>
      </c>
      <c r="AP203" s="201" t="s">
        <v>458</v>
      </c>
      <c r="AQ203" s="201"/>
      <c r="AR203" s="201"/>
      <c r="AS203" s="213"/>
      <c r="AT203" s="213"/>
      <c r="AU203" s="476" t="str">
        <f t="shared" si="33"/>
        <v>Ok</v>
      </c>
      <c r="AV203" s="220">
        <v>46232</v>
      </c>
      <c r="AW203" s="221">
        <f t="shared" si="36"/>
        <v>25</v>
      </c>
      <c r="AX203" s="208">
        <f t="shared" si="37"/>
        <v>199</v>
      </c>
      <c r="AY203" s="222"/>
      <c r="AZ203" s="222"/>
      <c r="BA203" s="222"/>
      <c r="BB203" s="222"/>
      <c r="BC203" s="222"/>
      <c r="BD203" s="201"/>
      <c r="BE203" s="201"/>
      <c r="BF203" s="201"/>
      <c r="BG203" s="201"/>
      <c r="BH203" s="455">
        <v>46287</v>
      </c>
      <c r="BI203" s="215">
        <f t="shared" si="40"/>
        <v>25</v>
      </c>
      <c r="BJ203" s="208">
        <f t="shared" si="40"/>
        <v>199</v>
      </c>
      <c r="BK203" s="223">
        <v>25</v>
      </c>
      <c r="BL203" s="208">
        <v>213</v>
      </c>
      <c r="BM203" s="224"/>
      <c r="BN203" s="201"/>
      <c r="BO203" s="201"/>
      <c r="BP203" s="201"/>
    </row>
    <row r="204" spans="1:68" ht="15.5">
      <c r="A204" s="201">
        <v>2</v>
      </c>
      <c r="B204" s="204">
        <v>50</v>
      </c>
      <c r="C204" s="226">
        <v>46226</v>
      </c>
      <c r="D204" s="491">
        <f t="shared" si="38"/>
        <v>50</v>
      </c>
      <c r="E204" s="204" t="s">
        <v>72</v>
      </c>
      <c r="F204" s="205"/>
      <c r="G204" s="206"/>
      <c r="H204" s="207">
        <v>46227</v>
      </c>
      <c r="I204" s="215">
        <v>25</v>
      </c>
      <c r="J204" s="208">
        <v>200</v>
      </c>
      <c r="K204" s="209">
        <v>5.9499999999999997E-2</v>
      </c>
      <c r="L204" s="210">
        <v>0.28750000000000003</v>
      </c>
      <c r="M204" s="210">
        <v>0.28000000000000003</v>
      </c>
      <c r="N204" s="211">
        <v>32.5</v>
      </c>
      <c r="O204" s="211">
        <f t="shared" si="39"/>
        <v>25.268750000000001</v>
      </c>
      <c r="P204" s="211">
        <v>77.75</v>
      </c>
      <c r="Q204" s="210">
        <v>0.21</v>
      </c>
      <c r="R204" s="212">
        <v>81</v>
      </c>
      <c r="S204" s="201" t="s">
        <v>427</v>
      </c>
      <c r="T204" s="201" t="s">
        <v>485</v>
      </c>
      <c r="U204" s="201"/>
      <c r="V204" s="343"/>
      <c r="W204" s="215">
        <f t="shared" si="35"/>
        <v>25</v>
      </c>
      <c r="X204" s="208">
        <f t="shared" si="35"/>
        <v>200</v>
      </c>
      <c r="Y204" s="209"/>
      <c r="Z204" s="210"/>
      <c r="AA204" s="210"/>
      <c r="AB204" s="211"/>
      <c r="AC204" s="211"/>
      <c r="AD204" s="211"/>
      <c r="AE204" s="210"/>
      <c r="AF204" s="212"/>
      <c r="AG204" s="201" t="str">
        <f t="shared" si="34"/>
        <v>SNI</v>
      </c>
      <c r="AH204" s="201" t="s">
        <v>485</v>
      </c>
      <c r="AI204" s="297">
        <v>46232</v>
      </c>
      <c r="AJ204" s="201"/>
      <c r="AK204" s="201"/>
      <c r="AL204" s="201"/>
      <c r="AM204" s="201"/>
      <c r="AN204" s="201"/>
      <c r="AO204" s="218" t="str">
        <f t="shared" si="41"/>
        <v>SNI</v>
      </c>
      <c r="AP204" s="201" t="s">
        <v>458</v>
      </c>
      <c r="AQ204" s="201"/>
      <c r="AR204" s="201"/>
      <c r="AS204" s="213"/>
      <c r="AT204" s="213"/>
      <c r="AU204" s="476" t="str">
        <f t="shared" si="33"/>
        <v>Ok</v>
      </c>
      <c r="AV204" s="220">
        <v>46232</v>
      </c>
      <c r="AW204" s="221">
        <f t="shared" si="36"/>
        <v>25</v>
      </c>
      <c r="AX204" s="208">
        <f t="shared" si="37"/>
        <v>200</v>
      </c>
      <c r="AY204" s="222"/>
      <c r="AZ204" s="222"/>
      <c r="BA204" s="222"/>
      <c r="BB204" s="222"/>
      <c r="BC204" s="222"/>
      <c r="BD204" s="201"/>
      <c r="BE204" s="201"/>
      <c r="BF204" s="201"/>
      <c r="BG204" s="201"/>
      <c r="BH204" s="455">
        <v>46276</v>
      </c>
      <c r="BI204" s="215">
        <f t="shared" si="40"/>
        <v>25</v>
      </c>
      <c r="BJ204" s="208">
        <f t="shared" si="40"/>
        <v>200</v>
      </c>
      <c r="BK204" s="223">
        <v>22</v>
      </c>
      <c r="BL204" s="208">
        <v>189</v>
      </c>
      <c r="BM204" s="224" t="s">
        <v>222</v>
      </c>
      <c r="BN204" s="201"/>
      <c r="BO204" s="201"/>
      <c r="BP204" s="201"/>
    </row>
    <row r="205" spans="1:68" ht="15.5">
      <c r="A205" s="201">
        <v>2</v>
      </c>
      <c r="B205" s="204">
        <v>50</v>
      </c>
      <c r="C205" s="226">
        <v>46226</v>
      </c>
      <c r="D205" s="491">
        <f t="shared" si="38"/>
        <v>50</v>
      </c>
      <c r="E205" s="204" t="s">
        <v>72</v>
      </c>
      <c r="F205" s="205"/>
      <c r="G205" s="206"/>
      <c r="H205" s="207">
        <v>46227</v>
      </c>
      <c r="I205" s="215">
        <v>26</v>
      </c>
      <c r="J205" s="208">
        <v>201</v>
      </c>
      <c r="K205" s="209">
        <v>8.2000000000000003E-2</v>
      </c>
      <c r="L205" s="210">
        <v>0.3</v>
      </c>
      <c r="M205" s="210">
        <v>0.35</v>
      </c>
      <c r="N205" s="211">
        <v>32</v>
      </c>
      <c r="O205" s="211">
        <f t="shared" si="39"/>
        <v>24.48</v>
      </c>
      <c r="P205" s="211">
        <v>76.5</v>
      </c>
      <c r="Q205" s="210">
        <v>0.22</v>
      </c>
      <c r="R205" s="212">
        <v>70.5</v>
      </c>
      <c r="S205" s="201" t="s">
        <v>427</v>
      </c>
      <c r="T205" s="201" t="s">
        <v>485</v>
      </c>
      <c r="U205" s="201"/>
      <c r="V205" s="343"/>
      <c r="W205" s="215">
        <f t="shared" si="35"/>
        <v>26</v>
      </c>
      <c r="X205" s="208">
        <f t="shared" si="35"/>
        <v>201</v>
      </c>
      <c r="Y205" s="209"/>
      <c r="Z205" s="210"/>
      <c r="AA205" s="210"/>
      <c r="AB205" s="211"/>
      <c r="AC205" s="211"/>
      <c r="AD205" s="211"/>
      <c r="AE205" s="210"/>
      <c r="AF205" s="212"/>
      <c r="AG205" s="201" t="str">
        <f t="shared" si="34"/>
        <v>SNI</v>
      </c>
      <c r="AH205" s="201" t="s">
        <v>485</v>
      </c>
      <c r="AI205" s="297">
        <v>46233</v>
      </c>
      <c r="AJ205" s="201"/>
      <c r="AK205" s="201"/>
      <c r="AL205" s="201"/>
      <c r="AM205" s="201"/>
      <c r="AN205" s="201"/>
      <c r="AO205" s="218" t="str">
        <f t="shared" si="41"/>
        <v>SNI</v>
      </c>
      <c r="AP205" s="201" t="s">
        <v>458</v>
      </c>
      <c r="AQ205" s="201"/>
      <c r="AR205" s="201"/>
      <c r="AS205" s="201"/>
      <c r="AT205" s="201"/>
      <c r="AU205" s="476" t="str">
        <f t="shared" si="33"/>
        <v>Ok</v>
      </c>
      <c r="AV205" s="220">
        <v>46233</v>
      </c>
      <c r="AW205" s="221">
        <f t="shared" si="36"/>
        <v>26</v>
      </c>
      <c r="AX205" s="208">
        <f t="shared" si="37"/>
        <v>201</v>
      </c>
      <c r="AY205" s="222"/>
      <c r="AZ205" s="222"/>
      <c r="BA205" s="222"/>
      <c r="BB205" s="222"/>
      <c r="BC205" s="222"/>
      <c r="BD205" s="201"/>
      <c r="BE205" s="201"/>
      <c r="BF205" s="201"/>
      <c r="BG205" s="201"/>
      <c r="BH205" s="455">
        <v>46276</v>
      </c>
      <c r="BI205" s="215">
        <f t="shared" si="40"/>
        <v>26</v>
      </c>
      <c r="BJ205" s="208">
        <f t="shared" si="40"/>
        <v>201</v>
      </c>
      <c r="BK205" s="223">
        <v>22</v>
      </c>
      <c r="BL205" s="208">
        <v>190</v>
      </c>
      <c r="BM205" s="224" t="s">
        <v>222</v>
      </c>
      <c r="BN205" s="201"/>
      <c r="BO205" s="201"/>
      <c r="BP205" s="201"/>
    </row>
    <row r="206" spans="1:68" ht="15.5">
      <c r="A206" s="141">
        <v>2</v>
      </c>
      <c r="B206" s="38">
        <v>50</v>
      </c>
      <c r="C206" s="301">
        <v>46226</v>
      </c>
      <c r="D206" s="174">
        <f>BH206-C206</f>
        <v>-46226</v>
      </c>
      <c r="E206" s="38" t="s">
        <v>72</v>
      </c>
      <c r="F206" s="302"/>
      <c r="G206" s="303"/>
      <c r="H206" s="304">
        <v>46227</v>
      </c>
      <c r="I206" s="133">
        <v>26</v>
      </c>
      <c r="J206" s="155">
        <v>202</v>
      </c>
      <c r="K206" s="138">
        <v>8.6750000000000008E-2</v>
      </c>
      <c r="L206" s="8">
        <v>0.3075</v>
      </c>
      <c r="M206" s="8">
        <v>0.37</v>
      </c>
      <c r="N206" s="139">
        <v>25</v>
      </c>
      <c r="O206" s="139">
        <f t="shared" si="39"/>
        <v>19.25</v>
      </c>
      <c r="P206" s="139">
        <v>77</v>
      </c>
      <c r="Q206" s="8">
        <v>0.22</v>
      </c>
      <c r="R206" s="140">
        <v>70.5</v>
      </c>
      <c r="S206" s="141" t="s">
        <v>427</v>
      </c>
      <c r="T206" s="141" t="s">
        <v>460</v>
      </c>
      <c r="U206" s="141" t="s">
        <v>583</v>
      </c>
      <c r="V206" s="156"/>
      <c r="W206" s="133">
        <f t="shared" si="35"/>
        <v>26</v>
      </c>
      <c r="X206" s="155">
        <f t="shared" si="35"/>
        <v>202</v>
      </c>
      <c r="Y206" s="138"/>
      <c r="Z206" s="8"/>
      <c r="AA206" s="8"/>
      <c r="AB206" s="139">
        <v>31</v>
      </c>
      <c r="AC206" s="139">
        <v>23.56</v>
      </c>
      <c r="AD206" s="139">
        <v>76</v>
      </c>
      <c r="AE206" s="8"/>
      <c r="AF206" s="140"/>
      <c r="AG206" s="141" t="str">
        <f t="shared" si="34"/>
        <v>SNI</v>
      </c>
      <c r="AH206" s="141" t="s">
        <v>485</v>
      </c>
      <c r="AI206" s="306">
        <v>46232</v>
      </c>
      <c r="AJ206" s="141"/>
      <c r="AK206" s="141"/>
      <c r="AL206" s="141"/>
      <c r="AM206" s="141"/>
      <c r="AN206" s="141"/>
      <c r="AO206" s="195" t="str">
        <f t="shared" si="41"/>
        <v>SNI</v>
      </c>
      <c r="AP206" s="201" t="s">
        <v>458</v>
      </c>
      <c r="AQ206" s="141"/>
      <c r="AR206" s="141"/>
      <c r="AS206" s="141"/>
      <c r="AT206" s="141"/>
      <c r="AU206" s="476" t="str">
        <f t="shared" si="33"/>
        <v>Ok</v>
      </c>
      <c r="AV206" s="309">
        <v>46232</v>
      </c>
      <c r="AW206" s="310">
        <f t="shared" si="36"/>
        <v>26</v>
      </c>
      <c r="AX206" s="155">
        <f t="shared" si="37"/>
        <v>202</v>
      </c>
      <c r="AY206" s="311"/>
      <c r="AZ206" s="311"/>
      <c r="BA206" s="311"/>
      <c r="BB206" s="311"/>
      <c r="BC206" s="311"/>
      <c r="BD206" s="141"/>
      <c r="BE206" s="141"/>
      <c r="BF206" s="141"/>
      <c r="BG206" s="141"/>
      <c r="BH206" s="23"/>
      <c r="BI206" s="133">
        <f t="shared" si="40"/>
        <v>26</v>
      </c>
      <c r="BJ206" s="155">
        <f t="shared" si="40"/>
        <v>202</v>
      </c>
      <c r="BK206" s="312"/>
      <c r="BL206" s="155"/>
      <c r="BM206" s="200"/>
      <c r="BN206" s="141"/>
      <c r="BO206" s="141"/>
      <c r="BP206" s="141"/>
    </row>
    <row r="207" spans="1:68" ht="15.5">
      <c r="A207" s="201">
        <v>2</v>
      </c>
      <c r="B207" s="204">
        <v>50</v>
      </c>
      <c r="C207" s="226">
        <v>46226</v>
      </c>
      <c r="D207" s="491">
        <f t="shared" si="38"/>
        <v>56</v>
      </c>
      <c r="E207" s="204" t="s">
        <v>72</v>
      </c>
      <c r="F207" s="205"/>
      <c r="G207" s="206"/>
      <c r="H207" s="207">
        <v>46227</v>
      </c>
      <c r="I207" s="215">
        <v>26</v>
      </c>
      <c r="J207" s="208">
        <v>203</v>
      </c>
      <c r="K207" s="209">
        <v>6.8250000000000005E-2</v>
      </c>
      <c r="L207" s="210">
        <v>0.315</v>
      </c>
      <c r="M207" s="210">
        <v>0.28999999999999998</v>
      </c>
      <c r="N207" s="211">
        <v>31.75</v>
      </c>
      <c r="O207" s="211">
        <f t="shared" si="39"/>
        <v>23.733125000000001</v>
      </c>
      <c r="P207" s="211">
        <v>74.75</v>
      </c>
      <c r="Q207" s="210">
        <v>0.22</v>
      </c>
      <c r="R207" s="212">
        <v>70.5</v>
      </c>
      <c r="S207" s="201" t="s">
        <v>427</v>
      </c>
      <c r="T207" s="201" t="s">
        <v>485</v>
      </c>
      <c r="U207" s="201"/>
      <c r="V207" s="343"/>
      <c r="W207" s="215">
        <f t="shared" si="35"/>
        <v>26</v>
      </c>
      <c r="X207" s="208">
        <f t="shared" si="35"/>
        <v>203</v>
      </c>
      <c r="Y207" s="209"/>
      <c r="Z207" s="210"/>
      <c r="AA207" s="210"/>
      <c r="AB207" s="211">
        <v>29</v>
      </c>
      <c r="AC207" s="211">
        <v>22.91</v>
      </c>
      <c r="AD207" s="211">
        <v>79</v>
      </c>
      <c r="AE207" s="210"/>
      <c r="AF207" s="212"/>
      <c r="AG207" s="201" t="str">
        <f t="shared" si="34"/>
        <v>SNI</v>
      </c>
      <c r="AH207" s="201" t="s">
        <v>485</v>
      </c>
      <c r="AI207" s="297">
        <v>46232</v>
      </c>
      <c r="AJ207" s="201"/>
      <c r="AK207" s="201"/>
      <c r="AL207" s="201"/>
      <c r="AM207" s="201"/>
      <c r="AN207" s="201"/>
      <c r="AO207" s="218" t="str">
        <f t="shared" si="41"/>
        <v>SNI</v>
      </c>
      <c r="AP207" s="201" t="s">
        <v>458</v>
      </c>
      <c r="AQ207" s="201"/>
      <c r="AR207" s="201"/>
      <c r="AS207" s="201"/>
      <c r="AT207" s="201"/>
      <c r="AU207" s="476" t="str">
        <f t="shared" si="33"/>
        <v>Ok</v>
      </c>
      <c r="AV207" s="220">
        <v>46232</v>
      </c>
      <c r="AW207" s="221">
        <f t="shared" si="36"/>
        <v>26</v>
      </c>
      <c r="AX207" s="208">
        <f t="shared" si="37"/>
        <v>203</v>
      </c>
      <c r="AY207" s="222"/>
      <c r="AZ207" s="222"/>
      <c r="BA207" s="222"/>
      <c r="BB207" s="222"/>
      <c r="BC207" s="222"/>
      <c r="BD207" s="201"/>
      <c r="BE207" s="201"/>
      <c r="BF207" s="201"/>
      <c r="BG207" s="201"/>
      <c r="BH207" s="455">
        <v>46282</v>
      </c>
      <c r="BI207" s="215">
        <f t="shared" si="40"/>
        <v>26</v>
      </c>
      <c r="BJ207" s="208">
        <f t="shared" si="40"/>
        <v>203</v>
      </c>
      <c r="BK207" s="223">
        <v>23</v>
      </c>
      <c r="BL207" s="208">
        <v>197</v>
      </c>
      <c r="BM207" s="224" t="s">
        <v>222</v>
      </c>
      <c r="BN207" s="201"/>
      <c r="BO207" s="201"/>
      <c r="BP207" s="201"/>
    </row>
    <row r="208" spans="1:68" ht="15.5">
      <c r="A208" s="141">
        <v>2</v>
      </c>
      <c r="B208" s="38">
        <v>50</v>
      </c>
      <c r="C208" s="301">
        <v>46226</v>
      </c>
      <c r="D208" s="174">
        <f t="shared" si="38"/>
        <v>-46226</v>
      </c>
      <c r="E208" s="38" t="s">
        <v>72</v>
      </c>
      <c r="F208" s="302"/>
      <c r="G208" s="303"/>
      <c r="H208" s="304">
        <v>46227</v>
      </c>
      <c r="I208" s="133">
        <v>26</v>
      </c>
      <c r="J208" s="155">
        <v>204</v>
      </c>
      <c r="K208" s="138">
        <v>5.7749999999999996E-2</v>
      </c>
      <c r="L208" s="8">
        <v>0.27</v>
      </c>
      <c r="M208" s="8">
        <v>0.23</v>
      </c>
      <c r="N208" s="139">
        <v>33.5</v>
      </c>
      <c r="O208" s="139">
        <f t="shared" si="39"/>
        <v>24.873750000000001</v>
      </c>
      <c r="P208" s="139">
        <v>74.25</v>
      </c>
      <c r="Q208" s="8">
        <v>0.22</v>
      </c>
      <c r="R208" s="140">
        <v>70.5</v>
      </c>
      <c r="S208" s="141" t="s">
        <v>427</v>
      </c>
      <c r="T208" s="141" t="s">
        <v>485</v>
      </c>
      <c r="U208" s="141"/>
      <c r="V208" s="156"/>
      <c r="W208" s="133">
        <f t="shared" si="35"/>
        <v>26</v>
      </c>
      <c r="X208" s="155">
        <f t="shared" si="35"/>
        <v>204</v>
      </c>
      <c r="Y208" s="138"/>
      <c r="Z208" s="8"/>
      <c r="AA208" s="8"/>
      <c r="AB208" s="139"/>
      <c r="AC208" s="139"/>
      <c r="AD208" s="139"/>
      <c r="AE208" s="8"/>
      <c r="AF208" s="140"/>
      <c r="AG208" s="141" t="str">
        <f t="shared" si="34"/>
        <v>SNI</v>
      </c>
      <c r="AH208" s="141" t="s">
        <v>485</v>
      </c>
      <c r="AI208" s="306">
        <v>46232</v>
      </c>
      <c r="AJ208" s="141"/>
      <c r="AK208" s="141"/>
      <c r="AL208" s="141"/>
      <c r="AM208" s="141"/>
      <c r="AN208" s="141"/>
      <c r="AO208" s="195" t="str">
        <f t="shared" si="41"/>
        <v>SNI</v>
      </c>
      <c r="AP208" s="201" t="s">
        <v>458</v>
      </c>
      <c r="AQ208" s="141"/>
      <c r="AR208" s="141"/>
      <c r="AS208" s="141"/>
      <c r="AT208" s="141"/>
      <c r="AU208" s="476" t="str">
        <f t="shared" si="33"/>
        <v>Ok</v>
      </c>
      <c r="AV208" s="309">
        <v>46232</v>
      </c>
      <c r="AW208" s="310">
        <f t="shared" si="36"/>
        <v>26</v>
      </c>
      <c r="AX208" s="155">
        <f t="shared" si="37"/>
        <v>204</v>
      </c>
      <c r="AY208" s="311"/>
      <c r="AZ208" s="311"/>
      <c r="BA208" s="311"/>
      <c r="BB208" s="311"/>
      <c r="BC208" s="311"/>
      <c r="BD208" s="141"/>
      <c r="BE208" s="141"/>
      <c r="BF208" s="141"/>
      <c r="BG208" s="141"/>
      <c r="BH208" s="23"/>
      <c r="BI208" s="133">
        <f t="shared" si="40"/>
        <v>26</v>
      </c>
      <c r="BJ208" s="155">
        <f t="shared" si="40"/>
        <v>204</v>
      </c>
      <c r="BK208" s="312"/>
      <c r="BL208" s="155"/>
      <c r="BM208" s="200"/>
      <c r="BN208" s="141"/>
      <c r="BO208" s="141"/>
      <c r="BP208" s="141"/>
    </row>
    <row r="209" spans="1:68" ht="15.5">
      <c r="A209" s="201">
        <v>2</v>
      </c>
      <c r="B209" s="204" t="s">
        <v>793</v>
      </c>
      <c r="C209" s="226">
        <v>46227</v>
      </c>
      <c r="D209" s="491">
        <f t="shared" si="38"/>
        <v>55</v>
      </c>
      <c r="E209" s="204" t="s">
        <v>72</v>
      </c>
      <c r="F209" s="205"/>
      <c r="G209" s="206"/>
      <c r="H209" s="207">
        <v>46228</v>
      </c>
      <c r="I209" s="215">
        <v>26</v>
      </c>
      <c r="J209" s="208">
        <v>205</v>
      </c>
      <c r="K209" s="209">
        <v>2.6999999999999996E-2</v>
      </c>
      <c r="L209" s="210">
        <v>0.29499999999999998</v>
      </c>
      <c r="M209" s="210">
        <v>0.3</v>
      </c>
      <c r="N209" s="211">
        <v>37.75</v>
      </c>
      <c r="O209" s="211">
        <f t="shared" si="39"/>
        <v>25.858750000000001</v>
      </c>
      <c r="P209" s="211">
        <v>68.5</v>
      </c>
      <c r="Q209" s="210">
        <v>0.22</v>
      </c>
      <c r="R209" s="212">
        <v>81</v>
      </c>
      <c r="S209" s="201" t="s">
        <v>427</v>
      </c>
      <c r="T209" s="201" t="s">
        <v>485</v>
      </c>
      <c r="U209" s="201"/>
      <c r="V209" s="343"/>
      <c r="W209" s="215">
        <f t="shared" si="35"/>
        <v>26</v>
      </c>
      <c r="X209" s="208">
        <f t="shared" si="35"/>
        <v>205</v>
      </c>
      <c r="Y209" s="209"/>
      <c r="Z209" s="210"/>
      <c r="AA209" s="210"/>
      <c r="AB209" s="211">
        <v>34</v>
      </c>
      <c r="AC209" s="211">
        <v>25.84</v>
      </c>
      <c r="AD209" s="211">
        <v>76</v>
      </c>
      <c r="AE209" s="210"/>
      <c r="AF209" s="212"/>
      <c r="AG209" s="201" t="str">
        <f t="shared" si="34"/>
        <v>SNI</v>
      </c>
      <c r="AH209" s="201" t="s">
        <v>485</v>
      </c>
      <c r="AI209" s="297">
        <v>46233</v>
      </c>
      <c r="AJ209" s="201"/>
      <c r="AK209" s="201"/>
      <c r="AL209" s="201"/>
      <c r="AM209" s="201"/>
      <c r="AN209" s="201"/>
      <c r="AO209" s="218" t="str">
        <f t="shared" si="41"/>
        <v>SNI</v>
      </c>
      <c r="AP209" s="201" t="s">
        <v>458</v>
      </c>
      <c r="AQ209" s="201"/>
      <c r="AR209" s="201"/>
      <c r="AS209" s="201"/>
      <c r="AT209" s="201"/>
      <c r="AU209" s="476" t="str">
        <f t="shared" si="33"/>
        <v>Ok</v>
      </c>
      <c r="AV209" s="220">
        <v>46233</v>
      </c>
      <c r="AW209" s="221">
        <f t="shared" si="36"/>
        <v>26</v>
      </c>
      <c r="AX209" s="208">
        <f t="shared" si="37"/>
        <v>205</v>
      </c>
      <c r="AY209" s="222"/>
      <c r="AZ209" s="222"/>
      <c r="BA209" s="222"/>
      <c r="BB209" s="222"/>
      <c r="BC209" s="222"/>
      <c r="BD209" s="201"/>
      <c r="BE209" s="201"/>
      <c r="BF209" s="201"/>
      <c r="BG209" s="201"/>
      <c r="BH209" s="455">
        <v>46282</v>
      </c>
      <c r="BI209" s="215">
        <f t="shared" si="40"/>
        <v>26</v>
      </c>
      <c r="BJ209" s="208">
        <f t="shared" si="40"/>
        <v>205</v>
      </c>
      <c r="BK209" s="223">
        <v>23</v>
      </c>
      <c r="BL209" s="208">
        <v>198</v>
      </c>
      <c r="BM209" s="224" t="s">
        <v>222</v>
      </c>
      <c r="BN209" s="201"/>
      <c r="BO209" s="201"/>
      <c r="BP209" s="201"/>
    </row>
    <row r="210" spans="1:68" ht="15.5">
      <c r="A210" s="201">
        <v>2</v>
      </c>
      <c r="B210" s="204">
        <v>51</v>
      </c>
      <c r="C210" s="226">
        <v>46227</v>
      </c>
      <c r="D210" s="491">
        <f t="shared" si="38"/>
        <v>55</v>
      </c>
      <c r="E210" s="204" t="s">
        <v>72</v>
      </c>
      <c r="F210" s="205"/>
      <c r="G210" s="206"/>
      <c r="H210" s="207">
        <v>46228</v>
      </c>
      <c r="I210" s="215">
        <v>26</v>
      </c>
      <c r="J210" s="208">
        <v>206</v>
      </c>
      <c r="K210" s="209">
        <v>3.0499999999999999E-2</v>
      </c>
      <c r="L210" s="210">
        <v>0.30249999999999999</v>
      </c>
      <c r="M210" s="210">
        <v>0.45</v>
      </c>
      <c r="N210" s="211">
        <v>40.25</v>
      </c>
      <c r="O210" s="211">
        <f t="shared" si="39"/>
        <v>27.772500000000001</v>
      </c>
      <c r="P210" s="211">
        <v>69</v>
      </c>
      <c r="Q210" s="210">
        <v>0.22</v>
      </c>
      <c r="R210" s="212">
        <v>81</v>
      </c>
      <c r="S210" s="201" t="s">
        <v>427</v>
      </c>
      <c r="T210" s="201" t="s">
        <v>485</v>
      </c>
      <c r="U210" s="201"/>
      <c r="V210" s="343"/>
      <c r="W210" s="215">
        <f t="shared" si="35"/>
        <v>26</v>
      </c>
      <c r="X210" s="208">
        <f t="shared" si="35"/>
        <v>206</v>
      </c>
      <c r="Y210" s="209"/>
      <c r="Z210" s="210"/>
      <c r="AA210" s="210"/>
      <c r="AB210" s="211"/>
      <c r="AC210" s="211"/>
      <c r="AD210" s="211"/>
      <c r="AE210" s="210"/>
      <c r="AF210" s="212"/>
      <c r="AG210" s="201" t="str">
        <f t="shared" si="34"/>
        <v>SNI</v>
      </c>
      <c r="AH210" s="201" t="s">
        <v>485</v>
      </c>
      <c r="AI210" s="297">
        <v>46233</v>
      </c>
      <c r="AJ210" s="201"/>
      <c r="AK210" s="201"/>
      <c r="AL210" s="201"/>
      <c r="AM210" s="201"/>
      <c r="AN210" s="201"/>
      <c r="AO210" s="218" t="str">
        <f t="shared" si="41"/>
        <v>SNI</v>
      </c>
      <c r="AP210" s="201" t="s">
        <v>458</v>
      </c>
      <c r="AQ210" s="201"/>
      <c r="AR210" s="201"/>
      <c r="AS210" s="201"/>
      <c r="AT210" s="201"/>
      <c r="AU210" s="476" t="str">
        <f t="shared" ref="AU210:AU273" si="42">IF(OR(T210="Reject",AH210="Reject",AP210="Reject"),"Reject",IF(OR(T210="Hold",AH210="Hold",AP207="Hold"),"Hold","Ok"))</f>
        <v>Ok</v>
      </c>
      <c r="AV210" s="220">
        <v>46233</v>
      </c>
      <c r="AW210" s="221">
        <f t="shared" si="36"/>
        <v>26</v>
      </c>
      <c r="AX210" s="208">
        <f t="shared" si="37"/>
        <v>206</v>
      </c>
      <c r="AY210" s="222"/>
      <c r="AZ210" s="222"/>
      <c r="BA210" s="222"/>
      <c r="BB210" s="222"/>
      <c r="BC210" s="222"/>
      <c r="BD210" s="201"/>
      <c r="BE210" s="201"/>
      <c r="BF210" s="201"/>
      <c r="BG210" s="201"/>
      <c r="BH210" s="455">
        <v>46282</v>
      </c>
      <c r="BI210" s="215">
        <f t="shared" si="40"/>
        <v>26</v>
      </c>
      <c r="BJ210" s="208">
        <f t="shared" si="40"/>
        <v>206</v>
      </c>
      <c r="BK210" s="223">
        <v>23</v>
      </c>
      <c r="BL210" s="208">
        <v>199</v>
      </c>
      <c r="BM210" s="224" t="s">
        <v>222</v>
      </c>
      <c r="BN210" s="201"/>
      <c r="BO210" s="201"/>
      <c r="BP210" s="201"/>
    </row>
    <row r="211" spans="1:68" ht="15.5">
      <c r="A211" s="201">
        <v>2</v>
      </c>
      <c r="B211" s="204">
        <v>51</v>
      </c>
      <c r="C211" s="226">
        <v>46227</v>
      </c>
      <c r="D211" s="491">
        <f t="shared" si="38"/>
        <v>55</v>
      </c>
      <c r="E211" s="204" t="s">
        <v>72</v>
      </c>
      <c r="F211" s="205"/>
      <c r="G211" s="206"/>
      <c r="H211" s="207">
        <v>46228</v>
      </c>
      <c r="I211" s="215">
        <v>26</v>
      </c>
      <c r="J211" s="208">
        <v>207</v>
      </c>
      <c r="K211" s="209">
        <v>7.7499999999999999E-2</v>
      </c>
      <c r="L211" s="210">
        <v>0.28000000000000003</v>
      </c>
      <c r="M211" s="210">
        <v>0.39</v>
      </c>
      <c r="N211" s="211">
        <v>40</v>
      </c>
      <c r="O211" s="211">
        <f t="shared" si="39"/>
        <v>28.3</v>
      </c>
      <c r="P211" s="211">
        <v>70.75</v>
      </c>
      <c r="Q211" s="210">
        <v>0.22</v>
      </c>
      <c r="R211" s="212">
        <v>81</v>
      </c>
      <c r="S211" s="201" t="s">
        <v>427</v>
      </c>
      <c r="T211" s="201" t="s">
        <v>485</v>
      </c>
      <c r="U211" s="201"/>
      <c r="V211" s="343"/>
      <c r="W211" s="215">
        <f t="shared" si="35"/>
        <v>26</v>
      </c>
      <c r="X211" s="208">
        <f t="shared" si="35"/>
        <v>207</v>
      </c>
      <c r="Y211" s="209"/>
      <c r="Z211" s="210"/>
      <c r="AA211" s="210"/>
      <c r="AB211" s="211"/>
      <c r="AC211" s="211"/>
      <c r="AD211" s="211"/>
      <c r="AE211" s="210"/>
      <c r="AF211" s="212"/>
      <c r="AG211" s="201" t="str">
        <f t="shared" si="34"/>
        <v>SNI</v>
      </c>
      <c r="AH211" s="201" t="s">
        <v>485</v>
      </c>
      <c r="AI211" s="297">
        <v>46233</v>
      </c>
      <c r="AJ211" s="201"/>
      <c r="AK211" s="201"/>
      <c r="AL211" s="201"/>
      <c r="AM211" s="201"/>
      <c r="AN211" s="201"/>
      <c r="AO211" s="218" t="str">
        <f t="shared" si="41"/>
        <v>SNI</v>
      </c>
      <c r="AP211" s="201" t="s">
        <v>458</v>
      </c>
      <c r="AQ211" s="201"/>
      <c r="AR211" s="201"/>
      <c r="AS211" s="201"/>
      <c r="AT211" s="201"/>
      <c r="AU211" s="476" t="str">
        <f t="shared" si="42"/>
        <v>Ok</v>
      </c>
      <c r="AV211" s="220">
        <v>46233</v>
      </c>
      <c r="AW211" s="221">
        <f t="shared" si="36"/>
        <v>26</v>
      </c>
      <c r="AX211" s="208">
        <f t="shared" si="37"/>
        <v>207</v>
      </c>
      <c r="AY211" s="222"/>
      <c r="AZ211" s="222"/>
      <c r="BA211" s="222"/>
      <c r="BB211" s="222"/>
      <c r="BC211" s="222"/>
      <c r="BD211" s="201"/>
      <c r="BE211" s="201"/>
      <c r="BF211" s="201"/>
      <c r="BG211" s="201"/>
      <c r="BH211" s="455">
        <v>46282</v>
      </c>
      <c r="BI211" s="215">
        <f t="shared" si="40"/>
        <v>26</v>
      </c>
      <c r="BJ211" s="208">
        <f t="shared" si="40"/>
        <v>207</v>
      </c>
      <c r="BK211" s="223">
        <v>23</v>
      </c>
      <c r="BL211" s="208">
        <v>200</v>
      </c>
      <c r="BM211" s="224" t="s">
        <v>222</v>
      </c>
      <c r="BN211" s="201"/>
      <c r="BO211" s="201"/>
      <c r="BP211" s="201"/>
    </row>
    <row r="212" spans="1:68" ht="15.5">
      <c r="A212" s="345">
        <v>3</v>
      </c>
      <c r="B212" s="204" t="s">
        <v>794</v>
      </c>
      <c r="C212" s="226">
        <v>46235</v>
      </c>
      <c r="D212" s="491">
        <f t="shared" si="38"/>
        <v>41</v>
      </c>
      <c r="E212" s="204" t="s">
        <v>72</v>
      </c>
      <c r="F212" s="205"/>
      <c r="G212" s="206"/>
      <c r="H212" s="207">
        <v>46089</v>
      </c>
      <c r="I212" s="215">
        <v>26</v>
      </c>
      <c r="J212" s="208">
        <v>208</v>
      </c>
      <c r="K212" s="209">
        <v>8.5999999999999993E-2</v>
      </c>
      <c r="L212" s="210">
        <v>0.3</v>
      </c>
      <c r="M212" s="210">
        <v>0.34</v>
      </c>
      <c r="N212" s="211">
        <v>37</v>
      </c>
      <c r="O212" s="211">
        <f t="shared" si="39"/>
        <v>27.195</v>
      </c>
      <c r="P212" s="211">
        <v>73.5</v>
      </c>
      <c r="Q212" s="210">
        <v>0.22</v>
      </c>
      <c r="R212" s="212">
        <v>81.5</v>
      </c>
      <c r="S212" s="201" t="s">
        <v>584</v>
      </c>
      <c r="T212" s="201" t="s">
        <v>458</v>
      </c>
      <c r="U212" s="201"/>
      <c r="V212" s="343"/>
      <c r="W212" s="215">
        <f t="shared" si="35"/>
        <v>26</v>
      </c>
      <c r="X212" s="208">
        <f t="shared" si="35"/>
        <v>208</v>
      </c>
      <c r="Y212" s="209"/>
      <c r="Z212" s="210"/>
      <c r="AA212" s="210"/>
      <c r="AB212" s="211">
        <v>37</v>
      </c>
      <c r="AC212" s="211">
        <v>28.86</v>
      </c>
      <c r="AD212" s="211">
        <v>78</v>
      </c>
      <c r="AE212" s="210"/>
      <c r="AF212" s="212"/>
      <c r="AG212" s="201" t="str">
        <f t="shared" si="34"/>
        <v>TAICHUNG</v>
      </c>
      <c r="AH212" s="201" t="s">
        <v>485</v>
      </c>
      <c r="AI212" s="346">
        <v>46240</v>
      </c>
      <c r="AJ212" s="201"/>
      <c r="AK212" s="201"/>
      <c r="AL212" s="201"/>
      <c r="AM212" s="201"/>
      <c r="AN212" s="201"/>
      <c r="AO212" s="201"/>
      <c r="AP212" s="201" t="s">
        <v>458</v>
      </c>
      <c r="AQ212" s="201"/>
      <c r="AR212" s="201"/>
      <c r="AS212" s="201"/>
      <c r="AT212" s="201"/>
      <c r="AU212" s="476" t="str">
        <f t="shared" si="42"/>
        <v>Ok</v>
      </c>
      <c r="AV212" s="201"/>
      <c r="AW212" s="221">
        <f t="shared" si="36"/>
        <v>26</v>
      </c>
      <c r="AX212" s="208">
        <f t="shared" si="37"/>
        <v>208</v>
      </c>
      <c r="AY212" s="222"/>
      <c r="AZ212" s="222"/>
      <c r="BA212" s="222"/>
      <c r="BB212" s="222"/>
      <c r="BC212" s="222"/>
      <c r="BD212" s="201"/>
      <c r="BE212" s="201"/>
      <c r="BF212" s="201"/>
      <c r="BG212" s="201"/>
      <c r="BH212" s="455">
        <v>46276</v>
      </c>
      <c r="BI212" s="215">
        <f t="shared" si="40"/>
        <v>26</v>
      </c>
      <c r="BJ212" s="208">
        <f t="shared" si="40"/>
        <v>208</v>
      </c>
      <c r="BK212" s="223">
        <v>22</v>
      </c>
      <c r="BL212" s="208">
        <v>191</v>
      </c>
      <c r="BM212" s="224" t="s">
        <v>222</v>
      </c>
      <c r="BN212" s="201"/>
      <c r="BO212" s="201"/>
      <c r="BP212" s="201"/>
    </row>
    <row r="213" spans="1:68" ht="15.5">
      <c r="A213" s="201">
        <v>3</v>
      </c>
      <c r="B213" s="204">
        <v>52</v>
      </c>
      <c r="C213" s="226">
        <v>46235</v>
      </c>
      <c r="D213" s="491">
        <f t="shared" si="38"/>
        <v>41</v>
      </c>
      <c r="E213" s="204" t="s">
        <v>72</v>
      </c>
      <c r="F213" s="205"/>
      <c r="G213" s="206"/>
      <c r="H213" s="207">
        <v>46237</v>
      </c>
      <c r="I213" s="494">
        <v>27</v>
      </c>
      <c r="J213" s="208">
        <v>209</v>
      </c>
      <c r="K213" s="209">
        <v>2.9000000000000001E-2</v>
      </c>
      <c r="L213" s="210">
        <v>0.32</v>
      </c>
      <c r="M213" s="210">
        <v>0.42</v>
      </c>
      <c r="N213" s="211">
        <v>38</v>
      </c>
      <c r="O213" s="211">
        <f t="shared" si="39"/>
        <v>26.79</v>
      </c>
      <c r="P213" s="211">
        <v>70.5</v>
      </c>
      <c r="Q213" s="210">
        <v>0.23</v>
      </c>
      <c r="R213" s="212">
        <v>80</v>
      </c>
      <c r="S213" s="201" t="s">
        <v>427</v>
      </c>
      <c r="T213" s="201" t="s">
        <v>458</v>
      </c>
      <c r="U213" s="201"/>
      <c r="V213" s="343"/>
      <c r="W213" s="215">
        <f t="shared" si="35"/>
        <v>27</v>
      </c>
      <c r="X213" s="208">
        <f t="shared" si="35"/>
        <v>209</v>
      </c>
      <c r="Y213" s="209"/>
      <c r="Z213" s="210"/>
      <c r="AA213" s="210"/>
      <c r="AB213" s="211">
        <v>35</v>
      </c>
      <c r="AC213" s="211"/>
      <c r="AD213" s="211"/>
      <c r="AE213" s="210"/>
      <c r="AF213" s="212"/>
      <c r="AG213" s="201" t="str">
        <f t="shared" si="34"/>
        <v>SNI</v>
      </c>
      <c r="AH213" s="201" t="s">
        <v>485</v>
      </c>
      <c r="AI213" s="346">
        <v>46240</v>
      </c>
      <c r="AJ213" s="201"/>
      <c r="AK213" s="201"/>
      <c r="AL213" s="201"/>
      <c r="AM213" s="201"/>
      <c r="AN213" s="201"/>
      <c r="AO213" s="201"/>
      <c r="AP213" s="201" t="s">
        <v>458</v>
      </c>
      <c r="AQ213" s="201"/>
      <c r="AR213" s="201"/>
      <c r="AS213" s="201"/>
      <c r="AT213" s="201"/>
      <c r="AU213" s="476" t="str">
        <f t="shared" si="42"/>
        <v>Ok</v>
      </c>
      <c r="AV213" s="201"/>
      <c r="AW213" s="221">
        <f t="shared" si="36"/>
        <v>27</v>
      </c>
      <c r="AX213" s="208">
        <f t="shared" si="37"/>
        <v>209</v>
      </c>
      <c r="AY213" s="222"/>
      <c r="AZ213" s="222"/>
      <c r="BA213" s="222"/>
      <c r="BB213" s="222"/>
      <c r="BC213" s="222"/>
      <c r="BD213" s="201"/>
      <c r="BE213" s="201"/>
      <c r="BF213" s="201"/>
      <c r="BG213" s="201"/>
      <c r="BH213" s="455">
        <v>46276</v>
      </c>
      <c r="BI213" s="215">
        <f t="shared" si="40"/>
        <v>27</v>
      </c>
      <c r="BJ213" s="208">
        <f t="shared" si="40"/>
        <v>209</v>
      </c>
      <c r="BK213" s="223">
        <v>22</v>
      </c>
      <c r="BL213" s="208">
        <v>187</v>
      </c>
      <c r="BM213" s="224" t="s">
        <v>222</v>
      </c>
      <c r="BN213" s="201"/>
      <c r="BO213" s="201"/>
      <c r="BP213" s="201"/>
    </row>
    <row r="214" spans="1:68" ht="15.5">
      <c r="A214" s="201">
        <v>3</v>
      </c>
      <c r="B214" s="204" t="s">
        <v>795</v>
      </c>
      <c r="C214" s="226">
        <v>46269</v>
      </c>
      <c r="D214" s="491">
        <f t="shared" si="38"/>
        <v>13</v>
      </c>
      <c r="E214" s="204" t="s">
        <v>72</v>
      </c>
      <c r="F214" s="205"/>
      <c r="G214" s="206"/>
      <c r="H214" s="207">
        <v>46239</v>
      </c>
      <c r="I214" s="494">
        <v>27</v>
      </c>
      <c r="J214" s="208">
        <v>210</v>
      </c>
      <c r="K214" s="209">
        <v>4.4999999999999998E-2</v>
      </c>
      <c r="L214" s="210">
        <v>0.32750000000000001</v>
      </c>
      <c r="M214" s="210">
        <v>0.39</v>
      </c>
      <c r="N214" s="211">
        <v>38</v>
      </c>
      <c r="O214" s="211">
        <f t="shared" si="39"/>
        <v>26.6</v>
      </c>
      <c r="P214" s="211">
        <v>70</v>
      </c>
      <c r="Q214" s="210">
        <v>0.23</v>
      </c>
      <c r="R214" s="212">
        <v>76</v>
      </c>
      <c r="S214" s="201" t="s">
        <v>427</v>
      </c>
      <c r="T214" s="201" t="s">
        <v>458</v>
      </c>
      <c r="U214" s="201"/>
      <c r="V214" s="343"/>
      <c r="W214" s="215">
        <f t="shared" si="35"/>
        <v>27</v>
      </c>
      <c r="X214" s="208">
        <f t="shared" si="35"/>
        <v>210</v>
      </c>
      <c r="Y214" s="209"/>
      <c r="Z214" s="210"/>
      <c r="AA214" s="210"/>
      <c r="AB214" s="211"/>
      <c r="AC214" s="211"/>
      <c r="AD214" s="211"/>
      <c r="AE214" s="210"/>
      <c r="AF214" s="212"/>
      <c r="AG214" s="201" t="s">
        <v>427</v>
      </c>
      <c r="AH214" s="201" t="s">
        <v>458</v>
      </c>
      <c r="AI214" s="347">
        <v>46280</v>
      </c>
      <c r="AJ214" s="201"/>
      <c r="AK214" s="201"/>
      <c r="AL214" s="201"/>
      <c r="AM214" s="201"/>
      <c r="AN214" s="201"/>
      <c r="AO214" s="201"/>
      <c r="AP214" s="201" t="s">
        <v>458</v>
      </c>
      <c r="AQ214" s="201"/>
      <c r="AR214" s="201"/>
      <c r="AS214" s="201"/>
      <c r="AT214" s="201"/>
      <c r="AU214" s="476" t="str">
        <f t="shared" si="42"/>
        <v>Ok</v>
      </c>
      <c r="AV214" s="201"/>
      <c r="AW214" s="221">
        <f t="shared" si="36"/>
        <v>27</v>
      </c>
      <c r="AX214" s="208">
        <f t="shared" si="37"/>
        <v>210</v>
      </c>
      <c r="AY214" s="222"/>
      <c r="AZ214" s="222"/>
      <c r="BA214" s="222"/>
      <c r="BB214" s="222"/>
      <c r="BC214" s="222"/>
      <c r="BD214" s="201"/>
      <c r="BE214" s="201"/>
      <c r="BF214" s="201"/>
      <c r="BG214" s="201"/>
      <c r="BH214" s="455">
        <v>46282</v>
      </c>
      <c r="BI214" s="215">
        <f t="shared" si="40"/>
        <v>27</v>
      </c>
      <c r="BJ214" s="208">
        <f t="shared" si="40"/>
        <v>210</v>
      </c>
      <c r="BK214" s="223">
        <v>23</v>
      </c>
      <c r="BL214" s="208">
        <v>201</v>
      </c>
      <c r="BM214" s="224" t="s">
        <v>222</v>
      </c>
      <c r="BN214" s="201"/>
      <c r="BO214" s="201"/>
      <c r="BP214" s="201"/>
    </row>
    <row r="215" spans="1:68" ht="15.5">
      <c r="A215" s="201">
        <v>3</v>
      </c>
      <c r="B215" s="204">
        <v>54</v>
      </c>
      <c r="C215" s="226">
        <v>46269</v>
      </c>
      <c r="D215" s="491">
        <f t="shared" si="38"/>
        <v>13</v>
      </c>
      <c r="E215" s="204" t="s">
        <v>72</v>
      </c>
      <c r="F215" s="205"/>
      <c r="G215" s="206"/>
      <c r="H215" s="207">
        <v>46239</v>
      </c>
      <c r="I215" s="494">
        <v>27</v>
      </c>
      <c r="J215" s="208">
        <v>211</v>
      </c>
      <c r="K215" s="209">
        <v>3.7999999999999999E-2</v>
      </c>
      <c r="L215" s="210">
        <v>0.34750000000000003</v>
      </c>
      <c r="M215" s="210">
        <v>0.3</v>
      </c>
      <c r="N215" s="211">
        <v>33.75</v>
      </c>
      <c r="O215" s="211">
        <f t="shared" si="39"/>
        <v>25.734375</v>
      </c>
      <c r="P215" s="211">
        <v>76.25</v>
      </c>
      <c r="Q215" s="210">
        <v>0.23</v>
      </c>
      <c r="R215" s="212">
        <v>80</v>
      </c>
      <c r="S215" s="201" t="s">
        <v>584</v>
      </c>
      <c r="T215" s="201" t="s">
        <v>458</v>
      </c>
      <c r="U215" s="201"/>
      <c r="V215" s="343"/>
      <c r="W215" s="215">
        <f t="shared" si="35"/>
        <v>27</v>
      </c>
      <c r="X215" s="208">
        <f t="shared" si="35"/>
        <v>211</v>
      </c>
      <c r="Y215" s="209"/>
      <c r="Z215" s="210"/>
      <c r="AA215" s="210"/>
      <c r="AB215" s="211"/>
      <c r="AC215" s="211"/>
      <c r="AD215" s="211"/>
      <c r="AE215" s="210"/>
      <c r="AF215" s="212"/>
      <c r="AG215" s="201" t="s">
        <v>584</v>
      </c>
      <c r="AH215" s="201" t="s">
        <v>458</v>
      </c>
      <c r="AI215" s="347">
        <v>46280</v>
      </c>
      <c r="AJ215" s="201"/>
      <c r="AK215" s="201"/>
      <c r="AL215" s="201"/>
      <c r="AM215" s="201"/>
      <c r="AN215" s="201"/>
      <c r="AO215" s="201"/>
      <c r="AP215" s="201" t="s">
        <v>458</v>
      </c>
      <c r="AQ215" s="201"/>
      <c r="AR215" s="201"/>
      <c r="AS215" s="201"/>
      <c r="AT215" s="201"/>
      <c r="AU215" s="476" t="str">
        <f t="shared" si="42"/>
        <v>Ok</v>
      </c>
      <c r="AV215" s="201"/>
      <c r="AW215" s="221">
        <f t="shared" si="36"/>
        <v>27</v>
      </c>
      <c r="AX215" s="208">
        <f t="shared" si="37"/>
        <v>211</v>
      </c>
      <c r="AY215" s="222"/>
      <c r="AZ215" s="222"/>
      <c r="BA215" s="222"/>
      <c r="BB215" s="222"/>
      <c r="BC215" s="222"/>
      <c r="BD215" s="201"/>
      <c r="BE215" s="201"/>
      <c r="BF215" s="201"/>
      <c r="BG215" s="201"/>
      <c r="BH215" s="455">
        <v>46282</v>
      </c>
      <c r="BI215" s="215">
        <f t="shared" si="40"/>
        <v>27</v>
      </c>
      <c r="BJ215" s="208">
        <f t="shared" si="40"/>
        <v>211</v>
      </c>
      <c r="BK215" s="223">
        <v>24</v>
      </c>
      <c r="BL215" s="208">
        <v>202</v>
      </c>
      <c r="BM215" s="224" t="s">
        <v>222</v>
      </c>
      <c r="BN215" s="201"/>
      <c r="BO215" s="201"/>
      <c r="BP215" s="201"/>
    </row>
    <row r="216" spans="1:68" ht="15.5">
      <c r="A216" s="201">
        <v>3</v>
      </c>
      <c r="B216" s="204">
        <v>54</v>
      </c>
      <c r="C216" s="226">
        <v>46269</v>
      </c>
      <c r="D216" s="491">
        <f t="shared" si="38"/>
        <v>18</v>
      </c>
      <c r="E216" s="204" t="s">
        <v>72</v>
      </c>
      <c r="F216" s="205"/>
      <c r="G216" s="206"/>
      <c r="H216" s="207">
        <v>46239</v>
      </c>
      <c r="I216" s="494">
        <v>27</v>
      </c>
      <c r="J216" s="208">
        <v>212</v>
      </c>
      <c r="K216" s="209">
        <v>0.06</v>
      </c>
      <c r="L216" s="210">
        <v>0.35000000000000003</v>
      </c>
      <c r="M216" s="210">
        <v>0.24</v>
      </c>
      <c r="N216" s="211">
        <v>27.5</v>
      </c>
      <c r="O216" s="211">
        <f t="shared" si="39"/>
        <v>20.487500000000001</v>
      </c>
      <c r="P216" s="211">
        <v>74.5</v>
      </c>
      <c r="Q216" s="210">
        <v>0.23</v>
      </c>
      <c r="R216" s="212">
        <v>80</v>
      </c>
      <c r="S216" s="201"/>
      <c r="T216" s="201" t="s">
        <v>586</v>
      </c>
      <c r="U216" s="201" t="s">
        <v>583</v>
      </c>
      <c r="V216" s="343"/>
      <c r="W216" s="215">
        <f t="shared" si="35"/>
        <v>27</v>
      </c>
      <c r="X216" s="208">
        <f t="shared" si="35"/>
        <v>212</v>
      </c>
      <c r="Y216" s="209"/>
      <c r="Z216" s="210"/>
      <c r="AA216" s="210"/>
      <c r="AB216" s="211"/>
      <c r="AC216" s="211"/>
      <c r="AD216" s="211"/>
      <c r="AE216" s="210"/>
      <c r="AF216" s="212"/>
      <c r="AG216" s="201"/>
      <c r="AH216" s="201" t="s">
        <v>586</v>
      </c>
      <c r="AI216" s="347">
        <v>46280</v>
      </c>
      <c r="AJ216" s="201"/>
      <c r="AK216" s="201"/>
      <c r="AL216" s="201"/>
      <c r="AM216" s="201"/>
      <c r="AN216" s="201"/>
      <c r="AO216" s="201"/>
      <c r="AP216" s="201" t="s">
        <v>458</v>
      </c>
      <c r="AQ216" s="201"/>
      <c r="AR216" s="201"/>
      <c r="AS216" s="201"/>
      <c r="AT216" s="201"/>
      <c r="AU216" s="476" t="str">
        <f t="shared" si="42"/>
        <v>Ok</v>
      </c>
      <c r="AV216" s="201"/>
      <c r="AW216" s="221">
        <f t="shared" si="36"/>
        <v>27</v>
      </c>
      <c r="AX216" s="208">
        <f t="shared" si="37"/>
        <v>212</v>
      </c>
      <c r="AY216" s="222"/>
      <c r="AZ216" s="222"/>
      <c r="BA216" s="222"/>
      <c r="BB216" s="222"/>
      <c r="BC216" s="222"/>
      <c r="BD216" s="201"/>
      <c r="BE216" s="201"/>
      <c r="BF216" s="201"/>
      <c r="BG216" s="201"/>
      <c r="BH216" s="455">
        <v>46287</v>
      </c>
      <c r="BI216" s="215">
        <f t="shared" si="40"/>
        <v>27</v>
      </c>
      <c r="BJ216" s="208">
        <f t="shared" si="40"/>
        <v>212</v>
      </c>
      <c r="BK216" s="223">
        <v>25</v>
      </c>
      <c r="BL216" s="208">
        <v>214</v>
      </c>
      <c r="BM216" s="224"/>
      <c r="BN216" s="201"/>
      <c r="BO216" s="201"/>
      <c r="BP216" s="201"/>
    </row>
    <row r="217" spans="1:68" ht="15.5">
      <c r="A217" s="201">
        <v>3</v>
      </c>
      <c r="B217" s="204">
        <v>54</v>
      </c>
      <c r="C217" s="226">
        <v>46269</v>
      </c>
      <c r="D217" s="491">
        <f t="shared" si="38"/>
        <v>18</v>
      </c>
      <c r="E217" s="204" t="s">
        <v>72</v>
      </c>
      <c r="F217" s="205"/>
      <c r="G217" s="206"/>
      <c r="H217" s="207">
        <v>46239</v>
      </c>
      <c r="I217" s="494">
        <v>27</v>
      </c>
      <c r="J217" s="208">
        <v>213</v>
      </c>
      <c r="K217" s="209">
        <v>0.06</v>
      </c>
      <c r="L217" s="210">
        <v>0.33500000000000002</v>
      </c>
      <c r="M217" s="210">
        <v>0.13</v>
      </c>
      <c r="N217" s="211">
        <v>31</v>
      </c>
      <c r="O217" s="211">
        <f t="shared" si="39"/>
        <v>24.024999999999999</v>
      </c>
      <c r="P217" s="211">
        <v>77.5</v>
      </c>
      <c r="Q217" s="210">
        <v>0.23</v>
      </c>
      <c r="R217" s="212">
        <v>66</v>
      </c>
      <c r="S217" s="201" t="s">
        <v>427</v>
      </c>
      <c r="T217" s="201" t="s">
        <v>458</v>
      </c>
      <c r="U217" s="201" t="s">
        <v>583</v>
      </c>
      <c r="V217" s="343"/>
      <c r="W217" s="215">
        <f t="shared" si="35"/>
        <v>27</v>
      </c>
      <c r="X217" s="208">
        <f t="shared" si="35"/>
        <v>213</v>
      </c>
      <c r="Y217" s="209"/>
      <c r="Z217" s="210"/>
      <c r="AA217" s="210"/>
      <c r="AB217" s="211"/>
      <c r="AC217" s="211"/>
      <c r="AD217" s="211"/>
      <c r="AE217" s="210"/>
      <c r="AF217" s="212"/>
      <c r="AG217" s="201" t="s">
        <v>427</v>
      </c>
      <c r="AH217" s="201" t="s">
        <v>458</v>
      </c>
      <c r="AI217" s="346"/>
      <c r="AJ217" s="201"/>
      <c r="AK217" s="201"/>
      <c r="AL217" s="201"/>
      <c r="AM217" s="201"/>
      <c r="AN217" s="201"/>
      <c r="AO217" s="201"/>
      <c r="AP217" s="201"/>
      <c r="AQ217" s="201"/>
      <c r="AR217" s="201"/>
      <c r="AS217" s="201"/>
      <c r="AT217" s="201"/>
      <c r="AU217" s="476" t="str">
        <f t="shared" si="42"/>
        <v>Ok</v>
      </c>
      <c r="AV217" s="201"/>
      <c r="AW217" s="221">
        <f t="shared" si="36"/>
        <v>27</v>
      </c>
      <c r="AX217" s="208">
        <f t="shared" si="37"/>
        <v>213</v>
      </c>
      <c r="AY217" s="222"/>
      <c r="AZ217" s="222"/>
      <c r="BA217" s="222"/>
      <c r="BB217" s="222"/>
      <c r="BC217" s="222"/>
      <c r="BD217" s="201"/>
      <c r="BE217" s="201"/>
      <c r="BF217" s="201"/>
      <c r="BG217" s="201"/>
      <c r="BH217" s="455">
        <v>46287</v>
      </c>
      <c r="BI217" s="215">
        <f t="shared" si="40"/>
        <v>27</v>
      </c>
      <c r="BJ217" s="208">
        <f t="shared" si="40"/>
        <v>213</v>
      </c>
      <c r="BK217" s="223">
        <v>25</v>
      </c>
      <c r="BL217" s="208">
        <v>215</v>
      </c>
      <c r="BM217" s="224"/>
      <c r="BN217" s="201"/>
      <c r="BO217" s="201"/>
      <c r="BP217" s="201"/>
    </row>
    <row r="218" spans="1:68" ht="15.5">
      <c r="A218" s="201">
        <v>3</v>
      </c>
      <c r="B218" s="204">
        <v>54</v>
      </c>
      <c r="C218" s="226">
        <v>46269</v>
      </c>
      <c r="D218" s="491">
        <f t="shared" si="38"/>
        <v>19</v>
      </c>
      <c r="E218" s="204" t="s">
        <v>72</v>
      </c>
      <c r="F218" s="205"/>
      <c r="G218" s="206"/>
      <c r="H218" s="207">
        <v>46239</v>
      </c>
      <c r="I218" s="494">
        <v>27</v>
      </c>
      <c r="J218" s="208">
        <v>214</v>
      </c>
      <c r="K218" s="209">
        <v>7.2999999999999995E-2</v>
      </c>
      <c r="L218" s="210">
        <v>0.34749999999999998</v>
      </c>
      <c r="M218" s="210">
        <v>0.16</v>
      </c>
      <c r="N218" s="211">
        <v>31.75</v>
      </c>
      <c r="O218" s="211">
        <f t="shared" si="39"/>
        <v>25.003125000000001</v>
      </c>
      <c r="P218" s="211">
        <v>78.75</v>
      </c>
      <c r="Q218" s="210">
        <v>0.23</v>
      </c>
      <c r="R218" s="212">
        <v>66</v>
      </c>
      <c r="S218" s="201" t="s">
        <v>427</v>
      </c>
      <c r="T218" s="201" t="s">
        <v>458</v>
      </c>
      <c r="U218" s="201" t="s">
        <v>583</v>
      </c>
      <c r="V218" s="343"/>
      <c r="W218" s="215">
        <f t="shared" si="35"/>
        <v>27</v>
      </c>
      <c r="X218" s="208">
        <f t="shared" si="35"/>
        <v>214</v>
      </c>
      <c r="Y218" s="209"/>
      <c r="Z218" s="210"/>
      <c r="AA218" s="210"/>
      <c r="AB218" s="211"/>
      <c r="AC218" s="211"/>
      <c r="AD218" s="211"/>
      <c r="AE218" s="210"/>
      <c r="AF218" s="212"/>
      <c r="AG218" s="201" t="s">
        <v>427</v>
      </c>
      <c r="AH218" s="201" t="s">
        <v>458</v>
      </c>
      <c r="AI218" s="346"/>
      <c r="AJ218" s="201"/>
      <c r="AK218" s="201"/>
      <c r="AL218" s="201"/>
      <c r="AM218" s="201"/>
      <c r="AN218" s="201"/>
      <c r="AO218" s="201"/>
      <c r="AP218" s="201"/>
      <c r="AQ218" s="201"/>
      <c r="AR218" s="201"/>
      <c r="AS218" s="201"/>
      <c r="AT218" s="201"/>
      <c r="AU218" s="476" t="str">
        <f t="shared" si="42"/>
        <v>Ok</v>
      </c>
      <c r="AV218" s="201"/>
      <c r="AW218" s="221">
        <f t="shared" si="36"/>
        <v>27</v>
      </c>
      <c r="AX218" s="208">
        <f t="shared" si="37"/>
        <v>214</v>
      </c>
      <c r="AY218" s="222"/>
      <c r="AZ218" s="222"/>
      <c r="BA218" s="222"/>
      <c r="BB218" s="222"/>
      <c r="BC218" s="222"/>
      <c r="BD218" s="201"/>
      <c r="BE218" s="201"/>
      <c r="BF218" s="201"/>
      <c r="BG218" s="201"/>
      <c r="BH218" s="455">
        <v>46288</v>
      </c>
      <c r="BI218" s="215">
        <f t="shared" si="40"/>
        <v>27</v>
      </c>
      <c r="BJ218" s="208">
        <f t="shared" si="40"/>
        <v>214</v>
      </c>
      <c r="BK218" s="223">
        <v>27</v>
      </c>
      <c r="BL218" s="208">
        <v>233</v>
      </c>
      <c r="BM218" s="224"/>
      <c r="BN218" s="201"/>
      <c r="BO218" s="201"/>
      <c r="BP218" s="201"/>
    </row>
    <row r="219" spans="1:68" ht="15.5">
      <c r="A219" s="201">
        <v>3</v>
      </c>
      <c r="B219" s="204" t="s">
        <v>796</v>
      </c>
      <c r="C219" s="348">
        <v>46270</v>
      </c>
      <c r="D219" s="491">
        <f t="shared" si="38"/>
        <v>12</v>
      </c>
      <c r="E219" s="204" t="s">
        <v>72</v>
      </c>
      <c r="F219" s="205"/>
      <c r="G219" s="206"/>
      <c r="H219" s="207">
        <v>46272</v>
      </c>
      <c r="I219" s="494">
        <v>27</v>
      </c>
      <c r="J219" s="208">
        <v>215</v>
      </c>
      <c r="K219" s="209">
        <v>8.6500000000000007E-2</v>
      </c>
      <c r="L219" s="210">
        <v>0.3125</v>
      </c>
      <c r="M219" s="210">
        <v>0.36</v>
      </c>
      <c r="N219" s="211">
        <v>30.75</v>
      </c>
      <c r="O219" s="211">
        <f t="shared" si="39"/>
        <v>23.600625000000001</v>
      </c>
      <c r="P219" s="211">
        <v>76.75</v>
      </c>
      <c r="Q219" s="210">
        <v>0.23</v>
      </c>
      <c r="R219" s="212">
        <v>61</v>
      </c>
      <c r="S219" s="201" t="s">
        <v>427</v>
      </c>
      <c r="T219" s="201" t="s">
        <v>458</v>
      </c>
      <c r="U219" s="201" t="s">
        <v>583</v>
      </c>
      <c r="V219" s="343"/>
      <c r="W219" s="215">
        <f t="shared" si="35"/>
        <v>27</v>
      </c>
      <c r="X219" s="208">
        <f t="shared" si="35"/>
        <v>215</v>
      </c>
      <c r="Y219" s="209"/>
      <c r="Z219" s="210"/>
      <c r="AA219" s="210"/>
      <c r="AB219" s="211"/>
      <c r="AC219" s="211"/>
      <c r="AD219" s="211"/>
      <c r="AE219" s="210"/>
      <c r="AF219" s="212"/>
      <c r="AG219" s="201" t="s">
        <v>427</v>
      </c>
      <c r="AH219" s="201" t="s">
        <v>458</v>
      </c>
      <c r="AI219" s="346"/>
      <c r="AJ219" s="201"/>
      <c r="AK219" s="201"/>
      <c r="AL219" s="201"/>
      <c r="AM219" s="201"/>
      <c r="AN219" s="201"/>
      <c r="AO219" s="201"/>
      <c r="AP219" s="201"/>
      <c r="AQ219" s="201"/>
      <c r="AR219" s="201"/>
      <c r="AS219" s="201"/>
      <c r="AT219" s="201"/>
      <c r="AU219" s="476" t="str">
        <f t="shared" si="42"/>
        <v>Ok</v>
      </c>
      <c r="AV219" s="201"/>
      <c r="AW219" s="221">
        <f t="shared" si="36"/>
        <v>27</v>
      </c>
      <c r="AX219" s="208">
        <f t="shared" si="37"/>
        <v>215</v>
      </c>
      <c r="AY219" s="222"/>
      <c r="AZ219" s="222"/>
      <c r="BA219" s="222"/>
      <c r="BB219" s="222"/>
      <c r="BC219" s="222"/>
      <c r="BD219" s="201"/>
      <c r="BE219" s="201"/>
      <c r="BF219" s="201"/>
      <c r="BG219" s="201"/>
      <c r="BH219" s="455">
        <v>46282</v>
      </c>
      <c r="BI219" s="215">
        <f t="shared" si="40"/>
        <v>27</v>
      </c>
      <c r="BJ219" s="208">
        <f t="shared" si="40"/>
        <v>215</v>
      </c>
      <c r="BK219" s="223">
        <v>24</v>
      </c>
      <c r="BL219" s="208">
        <v>203</v>
      </c>
      <c r="BM219" s="224" t="s">
        <v>222</v>
      </c>
      <c r="BN219" s="201"/>
      <c r="BO219" s="201"/>
      <c r="BP219" s="201"/>
    </row>
    <row r="220" spans="1:68" ht="15.5">
      <c r="A220" s="201">
        <v>3</v>
      </c>
      <c r="B220" s="204">
        <v>55</v>
      </c>
      <c r="C220" s="348">
        <v>46270</v>
      </c>
      <c r="D220" s="491">
        <f t="shared" si="38"/>
        <v>12</v>
      </c>
      <c r="E220" s="204" t="s">
        <v>72</v>
      </c>
      <c r="F220" s="205"/>
      <c r="G220" s="206"/>
      <c r="H220" s="207">
        <v>46272</v>
      </c>
      <c r="I220" s="494">
        <v>27</v>
      </c>
      <c r="J220" s="208">
        <v>216</v>
      </c>
      <c r="K220" s="209">
        <v>5.3999999999999999E-2</v>
      </c>
      <c r="L220" s="210">
        <v>0.35000000000000003</v>
      </c>
      <c r="M220" s="210">
        <v>0.39</v>
      </c>
      <c r="N220" s="211">
        <v>34.75</v>
      </c>
      <c r="O220" s="211">
        <f t="shared" si="39"/>
        <v>25.715</v>
      </c>
      <c r="P220" s="211">
        <v>74</v>
      </c>
      <c r="Q220" s="210">
        <v>0.23</v>
      </c>
      <c r="R220" s="212">
        <v>61</v>
      </c>
      <c r="S220" s="201" t="s">
        <v>584</v>
      </c>
      <c r="T220" s="201" t="s">
        <v>458</v>
      </c>
      <c r="U220" s="201"/>
      <c r="V220" s="343"/>
      <c r="W220" s="215">
        <f t="shared" si="35"/>
        <v>27</v>
      </c>
      <c r="X220" s="208">
        <f t="shared" si="35"/>
        <v>216</v>
      </c>
      <c r="Y220" s="209"/>
      <c r="Z220" s="210"/>
      <c r="AA220" s="210"/>
      <c r="AB220" s="211"/>
      <c r="AC220" s="211"/>
      <c r="AD220" s="211"/>
      <c r="AE220" s="210"/>
      <c r="AF220" s="212"/>
      <c r="AG220" s="201" t="s">
        <v>584</v>
      </c>
      <c r="AH220" s="201" t="s">
        <v>458</v>
      </c>
      <c r="AI220" s="346"/>
      <c r="AJ220" s="201"/>
      <c r="AK220" s="201"/>
      <c r="AL220" s="201"/>
      <c r="AM220" s="201"/>
      <c r="AN220" s="201"/>
      <c r="AO220" s="201"/>
      <c r="AP220" s="201"/>
      <c r="AQ220" s="201"/>
      <c r="AR220" s="201"/>
      <c r="AS220" s="201"/>
      <c r="AT220" s="201"/>
      <c r="AU220" s="476" t="str">
        <f t="shared" si="42"/>
        <v>Ok</v>
      </c>
      <c r="AV220" s="201"/>
      <c r="AW220" s="221">
        <f t="shared" si="36"/>
        <v>27</v>
      </c>
      <c r="AX220" s="208">
        <f t="shared" si="37"/>
        <v>216</v>
      </c>
      <c r="AY220" s="222"/>
      <c r="AZ220" s="222"/>
      <c r="BA220" s="222"/>
      <c r="BB220" s="222"/>
      <c r="BC220" s="222"/>
      <c r="BD220" s="201"/>
      <c r="BE220" s="201"/>
      <c r="BF220" s="201"/>
      <c r="BG220" s="201"/>
      <c r="BH220" s="455">
        <v>46282</v>
      </c>
      <c r="BI220" s="215">
        <f t="shared" si="40"/>
        <v>27</v>
      </c>
      <c r="BJ220" s="208">
        <f t="shared" si="40"/>
        <v>216</v>
      </c>
      <c r="BK220" s="223">
        <v>24</v>
      </c>
      <c r="BL220" s="208">
        <v>204</v>
      </c>
      <c r="BM220" s="224" t="s">
        <v>222</v>
      </c>
      <c r="BN220" s="201"/>
      <c r="BO220" s="201"/>
      <c r="BP220" s="201"/>
    </row>
    <row r="221" spans="1:68" ht="15.5">
      <c r="A221" s="201">
        <v>3</v>
      </c>
      <c r="B221" s="204">
        <v>55</v>
      </c>
      <c r="C221" s="348">
        <v>46270</v>
      </c>
      <c r="D221" s="491">
        <f t="shared" si="38"/>
        <v>12</v>
      </c>
      <c r="E221" s="204" t="s">
        <v>72</v>
      </c>
      <c r="F221" s="205"/>
      <c r="G221" s="206"/>
      <c r="H221" s="207">
        <v>46272</v>
      </c>
      <c r="I221" s="494">
        <v>28</v>
      </c>
      <c r="J221" s="208">
        <v>217</v>
      </c>
      <c r="K221" s="209">
        <v>7.0750000000000007E-2</v>
      </c>
      <c r="L221" s="210">
        <v>0.34500000000000003</v>
      </c>
      <c r="M221" s="210">
        <v>0.46</v>
      </c>
      <c r="N221" s="211">
        <v>33.25</v>
      </c>
      <c r="O221" s="211">
        <f t="shared" si="39"/>
        <v>25.436250000000001</v>
      </c>
      <c r="P221" s="211">
        <v>76.5</v>
      </c>
      <c r="Q221" s="210">
        <v>0.25</v>
      </c>
      <c r="R221" s="212">
        <v>72.5</v>
      </c>
      <c r="S221" s="201" t="s">
        <v>584</v>
      </c>
      <c r="T221" s="201" t="s">
        <v>458</v>
      </c>
      <c r="U221" s="201"/>
      <c r="V221" s="343"/>
      <c r="W221" s="215">
        <f t="shared" si="35"/>
        <v>28</v>
      </c>
      <c r="X221" s="208">
        <f t="shared" si="35"/>
        <v>217</v>
      </c>
      <c r="Y221" s="209"/>
      <c r="Z221" s="210"/>
      <c r="AA221" s="210"/>
      <c r="AB221" s="211"/>
      <c r="AC221" s="211"/>
      <c r="AD221" s="211"/>
      <c r="AE221" s="210"/>
      <c r="AF221" s="212"/>
      <c r="AG221" s="201" t="s">
        <v>584</v>
      </c>
      <c r="AH221" s="201" t="s">
        <v>458</v>
      </c>
      <c r="AI221" s="347">
        <v>46280</v>
      </c>
      <c r="AJ221" s="201"/>
      <c r="AK221" s="201"/>
      <c r="AL221" s="201"/>
      <c r="AM221" s="201"/>
      <c r="AN221" s="201"/>
      <c r="AO221" s="201"/>
      <c r="AP221" s="201" t="s">
        <v>458</v>
      </c>
      <c r="AQ221" s="201"/>
      <c r="AR221" s="201"/>
      <c r="AS221" s="201"/>
      <c r="AT221" s="201"/>
      <c r="AU221" s="476" t="str">
        <f t="shared" si="42"/>
        <v>Ok</v>
      </c>
      <c r="AV221" s="201"/>
      <c r="AW221" s="221">
        <f t="shared" si="36"/>
        <v>28</v>
      </c>
      <c r="AX221" s="208">
        <f t="shared" si="37"/>
        <v>217</v>
      </c>
      <c r="AY221" s="222"/>
      <c r="AZ221" s="222"/>
      <c r="BA221" s="222"/>
      <c r="BB221" s="222"/>
      <c r="BC221" s="222"/>
      <c r="BD221" s="201"/>
      <c r="BE221" s="201"/>
      <c r="BF221" s="201"/>
      <c r="BG221" s="201"/>
      <c r="BH221" s="455">
        <v>46282</v>
      </c>
      <c r="BI221" s="215">
        <f t="shared" si="40"/>
        <v>28</v>
      </c>
      <c r="BJ221" s="208">
        <f t="shared" si="40"/>
        <v>217</v>
      </c>
      <c r="BK221" s="223">
        <v>24</v>
      </c>
      <c r="BL221" s="208">
        <v>205</v>
      </c>
      <c r="BM221" s="224" t="s">
        <v>222</v>
      </c>
      <c r="BN221" s="201"/>
      <c r="BO221" s="201"/>
      <c r="BP221" s="201"/>
    </row>
    <row r="222" spans="1:68" ht="15.5">
      <c r="A222" s="201">
        <v>3</v>
      </c>
      <c r="B222" s="204">
        <v>55</v>
      </c>
      <c r="C222" s="348">
        <v>46270</v>
      </c>
      <c r="D222" s="491">
        <f t="shared" si="38"/>
        <v>12</v>
      </c>
      <c r="E222" s="204" t="s">
        <v>72</v>
      </c>
      <c r="F222" s="205"/>
      <c r="G222" s="206"/>
      <c r="H222" s="207">
        <v>46272</v>
      </c>
      <c r="I222" s="494">
        <v>28</v>
      </c>
      <c r="J222" s="208">
        <v>218</v>
      </c>
      <c r="K222" s="209">
        <v>0.16475000000000001</v>
      </c>
      <c r="L222" s="210">
        <v>0.33500000000000002</v>
      </c>
      <c r="M222" s="210">
        <v>0.44</v>
      </c>
      <c r="N222" s="211">
        <v>22.75</v>
      </c>
      <c r="O222" s="211">
        <f t="shared" si="39"/>
        <v>17.9725</v>
      </c>
      <c r="P222" s="211">
        <v>79</v>
      </c>
      <c r="Q222" s="210">
        <v>0.25</v>
      </c>
      <c r="R222" s="212">
        <v>72.5</v>
      </c>
      <c r="S222" s="201"/>
      <c r="T222" s="201" t="s">
        <v>586</v>
      </c>
      <c r="U222" s="201" t="s">
        <v>587</v>
      </c>
      <c r="V222" s="343"/>
      <c r="W222" s="215">
        <f t="shared" si="35"/>
        <v>28</v>
      </c>
      <c r="X222" s="208">
        <f t="shared" si="35"/>
        <v>218</v>
      </c>
      <c r="Y222" s="209"/>
      <c r="Z222" s="210"/>
      <c r="AA222" s="210"/>
      <c r="AB222" s="211"/>
      <c r="AC222" s="211"/>
      <c r="AD222" s="211"/>
      <c r="AE222" s="210"/>
      <c r="AF222" s="212"/>
      <c r="AG222" s="201"/>
      <c r="AH222" s="201" t="s">
        <v>586</v>
      </c>
      <c r="AI222" s="347">
        <v>46280</v>
      </c>
      <c r="AJ222" s="201"/>
      <c r="AK222" s="201"/>
      <c r="AL222" s="201"/>
      <c r="AM222" s="201"/>
      <c r="AN222" s="201"/>
      <c r="AO222" s="201"/>
      <c r="AP222" s="201" t="s">
        <v>458</v>
      </c>
      <c r="AQ222" s="201"/>
      <c r="AR222" s="201"/>
      <c r="AS222" s="201"/>
      <c r="AT222" s="201"/>
      <c r="AU222" s="476" t="str">
        <f t="shared" si="42"/>
        <v>Ok</v>
      </c>
      <c r="AV222" s="201"/>
      <c r="AW222" s="221">
        <f t="shared" si="36"/>
        <v>28</v>
      </c>
      <c r="AX222" s="208">
        <f t="shared" si="37"/>
        <v>218</v>
      </c>
      <c r="AY222" s="222"/>
      <c r="AZ222" s="222"/>
      <c r="BA222" s="222"/>
      <c r="BB222" s="222"/>
      <c r="BC222" s="222"/>
      <c r="BD222" s="201"/>
      <c r="BE222" s="201"/>
      <c r="BF222" s="201"/>
      <c r="BG222" s="201"/>
      <c r="BH222" s="455">
        <v>46282</v>
      </c>
      <c r="BI222" s="215">
        <f t="shared" si="40"/>
        <v>28</v>
      </c>
      <c r="BJ222" s="208">
        <f t="shared" si="40"/>
        <v>218</v>
      </c>
      <c r="BK222" s="223">
        <v>24</v>
      </c>
      <c r="BL222" s="208">
        <v>206</v>
      </c>
      <c r="BM222" s="224" t="s">
        <v>222</v>
      </c>
      <c r="BN222" s="201"/>
      <c r="BO222" s="201"/>
      <c r="BP222" s="201"/>
    </row>
    <row r="223" spans="1:68" ht="15.5">
      <c r="A223" s="201">
        <v>3</v>
      </c>
      <c r="B223" s="204">
        <v>55</v>
      </c>
      <c r="C223" s="348">
        <v>46270</v>
      </c>
      <c r="D223" s="491">
        <f t="shared" si="38"/>
        <v>12</v>
      </c>
      <c r="E223" s="204" t="s">
        <v>72</v>
      </c>
      <c r="F223" s="205"/>
      <c r="G223" s="206"/>
      <c r="H223" s="207">
        <v>46272</v>
      </c>
      <c r="I223" s="494">
        <v>28</v>
      </c>
      <c r="J223" s="208">
        <v>219</v>
      </c>
      <c r="K223" s="209">
        <v>0.10299999999999999</v>
      </c>
      <c r="L223" s="210">
        <v>0.34749999999999998</v>
      </c>
      <c r="M223" s="210">
        <v>0.41</v>
      </c>
      <c r="N223" s="211">
        <v>24.25</v>
      </c>
      <c r="O223" s="211">
        <f t="shared" si="39"/>
        <v>18.793749999999999</v>
      </c>
      <c r="P223" s="211">
        <v>77.5</v>
      </c>
      <c r="Q223" s="210">
        <v>0.25</v>
      </c>
      <c r="R223" s="212">
        <v>72.5</v>
      </c>
      <c r="S223" s="201"/>
      <c r="T223" s="201" t="s">
        <v>586</v>
      </c>
      <c r="U223" s="201" t="s">
        <v>583</v>
      </c>
      <c r="V223" s="343"/>
      <c r="W223" s="215">
        <f t="shared" si="35"/>
        <v>28</v>
      </c>
      <c r="X223" s="208">
        <f t="shared" si="35"/>
        <v>219</v>
      </c>
      <c r="Y223" s="209"/>
      <c r="Z223" s="210"/>
      <c r="AA223" s="210"/>
      <c r="AB223" s="211"/>
      <c r="AC223" s="211"/>
      <c r="AD223" s="211"/>
      <c r="AE223" s="210"/>
      <c r="AF223" s="212"/>
      <c r="AG223" s="201"/>
      <c r="AH223" s="201" t="s">
        <v>586</v>
      </c>
      <c r="AI223" s="346"/>
      <c r="AJ223" s="201"/>
      <c r="AK223" s="201"/>
      <c r="AL223" s="201"/>
      <c r="AM223" s="201"/>
      <c r="AN223" s="201"/>
      <c r="AO223" s="201"/>
      <c r="AP223" s="201"/>
      <c r="AQ223" s="201"/>
      <c r="AR223" s="201"/>
      <c r="AS223" s="201"/>
      <c r="AT223" s="201"/>
      <c r="AU223" s="476" t="str">
        <f t="shared" si="42"/>
        <v>Ok</v>
      </c>
      <c r="AV223" s="201"/>
      <c r="AW223" s="221">
        <f t="shared" si="36"/>
        <v>28</v>
      </c>
      <c r="AX223" s="208">
        <f t="shared" si="37"/>
        <v>219</v>
      </c>
      <c r="AY223" s="222"/>
      <c r="AZ223" s="222"/>
      <c r="BA223" s="222"/>
      <c r="BB223" s="222"/>
      <c r="BC223" s="222"/>
      <c r="BD223" s="201"/>
      <c r="BE223" s="201"/>
      <c r="BF223" s="201"/>
      <c r="BG223" s="201"/>
      <c r="BH223" s="455">
        <v>46282</v>
      </c>
      <c r="BI223" s="215">
        <f t="shared" si="40"/>
        <v>28</v>
      </c>
      <c r="BJ223" s="208">
        <f t="shared" si="40"/>
        <v>219</v>
      </c>
      <c r="BK223" s="223">
        <v>24</v>
      </c>
      <c r="BL223" s="208">
        <v>207</v>
      </c>
      <c r="BM223" s="224" t="s">
        <v>222</v>
      </c>
      <c r="BN223" s="201"/>
      <c r="BO223" s="201"/>
      <c r="BP223" s="201"/>
    </row>
    <row r="224" spans="1:68" ht="15.5">
      <c r="A224" s="201">
        <v>3</v>
      </c>
      <c r="B224" s="204" t="s">
        <v>797</v>
      </c>
      <c r="C224" s="348">
        <v>46272</v>
      </c>
      <c r="D224" s="491">
        <f t="shared" si="38"/>
        <v>10</v>
      </c>
      <c r="E224" s="204" t="s">
        <v>72</v>
      </c>
      <c r="F224" s="205"/>
      <c r="G224" s="206"/>
      <c r="H224" s="207">
        <v>46273</v>
      </c>
      <c r="I224" s="494">
        <v>28</v>
      </c>
      <c r="J224" s="208">
        <v>220</v>
      </c>
      <c r="K224" s="209">
        <v>9.5000000000000001E-2</v>
      </c>
      <c r="L224" s="210">
        <v>0.34750000000000003</v>
      </c>
      <c r="M224" s="210">
        <v>0.42</v>
      </c>
      <c r="N224" s="211">
        <v>27</v>
      </c>
      <c r="O224" s="211">
        <f t="shared" si="39"/>
        <v>19.7775</v>
      </c>
      <c r="P224" s="211">
        <v>73.25</v>
      </c>
      <c r="Q224" s="210">
        <v>0.25</v>
      </c>
      <c r="R224" s="212">
        <v>70</v>
      </c>
      <c r="S224" s="201"/>
      <c r="T224" s="201" t="s">
        <v>586</v>
      </c>
      <c r="U224" s="201" t="s">
        <v>583</v>
      </c>
      <c r="V224" s="343"/>
      <c r="W224" s="215">
        <f t="shared" si="35"/>
        <v>28</v>
      </c>
      <c r="X224" s="208">
        <f t="shared" si="35"/>
        <v>220</v>
      </c>
      <c r="Y224" s="209"/>
      <c r="Z224" s="210"/>
      <c r="AA224" s="210"/>
      <c r="AB224" s="211"/>
      <c r="AC224" s="211"/>
      <c r="AD224" s="211"/>
      <c r="AE224" s="210"/>
      <c r="AF224" s="212"/>
      <c r="AG224" s="201"/>
      <c r="AH224" s="201" t="s">
        <v>586</v>
      </c>
      <c r="AI224" s="346"/>
      <c r="AJ224" s="201"/>
      <c r="AK224" s="201"/>
      <c r="AL224" s="201"/>
      <c r="AM224" s="201"/>
      <c r="AN224" s="201"/>
      <c r="AO224" s="201"/>
      <c r="AP224" s="201"/>
      <c r="AQ224" s="201"/>
      <c r="AR224" s="201"/>
      <c r="AS224" s="201"/>
      <c r="AT224" s="201"/>
      <c r="AU224" s="476" t="str">
        <f t="shared" si="42"/>
        <v>Ok</v>
      </c>
      <c r="AV224" s="201"/>
      <c r="AW224" s="221">
        <f t="shared" si="36"/>
        <v>28</v>
      </c>
      <c r="AX224" s="208">
        <f t="shared" si="37"/>
        <v>220</v>
      </c>
      <c r="AY224" s="222"/>
      <c r="AZ224" s="222"/>
      <c r="BA224" s="222"/>
      <c r="BB224" s="222"/>
      <c r="BC224" s="222"/>
      <c r="BD224" s="201"/>
      <c r="BE224" s="201"/>
      <c r="BF224" s="201"/>
      <c r="BG224" s="201"/>
      <c r="BH224" s="455">
        <v>46282</v>
      </c>
      <c r="BI224" s="215">
        <f t="shared" si="40"/>
        <v>28</v>
      </c>
      <c r="BJ224" s="208">
        <f t="shared" si="40"/>
        <v>220</v>
      </c>
      <c r="BK224" s="223">
        <v>24</v>
      </c>
      <c r="BL224" s="208">
        <v>208</v>
      </c>
      <c r="BM224" s="224" t="s">
        <v>222</v>
      </c>
      <c r="BN224" s="201"/>
      <c r="BO224" s="201"/>
      <c r="BP224" s="201"/>
    </row>
    <row r="225" spans="1:68" ht="15.5">
      <c r="A225" s="201">
        <v>3</v>
      </c>
      <c r="B225" s="204">
        <v>56</v>
      </c>
      <c r="C225" s="348">
        <v>46272</v>
      </c>
      <c r="D225" s="491">
        <f t="shared" si="38"/>
        <v>10</v>
      </c>
      <c r="E225" s="204" t="s">
        <v>72</v>
      </c>
      <c r="F225" s="205"/>
      <c r="G225" s="206"/>
      <c r="H225" s="207">
        <v>46273</v>
      </c>
      <c r="I225" s="494">
        <v>28</v>
      </c>
      <c r="J225" s="208">
        <v>221</v>
      </c>
      <c r="K225" s="209">
        <v>7.0750000000000007E-2</v>
      </c>
      <c r="L225" s="210">
        <v>0.35250000000000004</v>
      </c>
      <c r="M225" s="210">
        <v>0.4</v>
      </c>
      <c r="N225" s="211">
        <v>26.25</v>
      </c>
      <c r="O225" s="211">
        <f t="shared" si="39"/>
        <v>18.834375000000001</v>
      </c>
      <c r="P225" s="211">
        <v>71.75</v>
      </c>
      <c r="Q225" s="210">
        <v>0.25</v>
      </c>
      <c r="R225" s="212">
        <v>74.5</v>
      </c>
      <c r="S225" s="201"/>
      <c r="T225" s="201" t="s">
        <v>586</v>
      </c>
      <c r="U225" s="201" t="s">
        <v>583</v>
      </c>
      <c r="V225" s="343"/>
      <c r="W225" s="215">
        <f t="shared" si="35"/>
        <v>28</v>
      </c>
      <c r="X225" s="208">
        <f t="shared" si="35"/>
        <v>221</v>
      </c>
      <c r="Y225" s="209"/>
      <c r="Z225" s="210"/>
      <c r="AA225" s="210"/>
      <c r="AB225" s="211"/>
      <c r="AC225" s="211"/>
      <c r="AD225" s="211"/>
      <c r="AE225" s="210"/>
      <c r="AF225" s="212"/>
      <c r="AG225" s="201"/>
      <c r="AH225" s="201" t="s">
        <v>586</v>
      </c>
      <c r="AI225" s="346"/>
      <c r="AJ225" s="201"/>
      <c r="AK225" s="201"/>
      <c r="AL225" s="201"/>
      <c r="AM225" s="201"/>
      <c r="AN225" s="201"/>
      <c r="AO225" s="201"/>
      <c r="AP225" s="201"/>
      <c r="AQ225" s="201"/>
      <c r="AR225" s="201"/>
      <c r="AS225" s="201"/>
      <c r="AT225" s="201"/>
      <c r="AU225" s="476" t="str">
        <f t="shared" si="42"/>
        <v>Ok</v>
      </c>
      <c r="AV225" s="201"/>
      <c r="AW225" s="221">
        <f t="shared" si="36"/>
        <v>28</v>
      </c>
      <c r="AX225" s="208">
        <f t="shared" si="37"/>
        <v>221</v>
      </c>
      <c r="AY225" s="222"/>
      <c r="AZ225" s="222"/>
      <c r="BA225" s="222"/>
      <c r="BB225" s="222"/>
      <c r="BC225" s="222"/>
      <c r="BD225" s="201"/>
      <c r="BE225" s="201"/>
      <c r="BF225" s="201"/>
      <c r="BG225" s="201"/>
      <c r="BH225" s="455">
        <v>46282</v>
      </c>
      <c r="BI225" s="215">
        <f t="shared" si="40"/>
        <v>28</v>
      </c>
      <c r="BJ225" s="208">
        <f t="shared" si="40"/>
        <v>221</v>
      </c>
      <c r="BK225" s="223">
        <v>24</v>
      </c>
      <c r="BL225" s="208">
        <v>209</v>
      </c>
      <c r="BM225" s="224" t="s">
        <v>222</v>
      </c>
      <c r="BN225" s="201"/>
      <c r="BO225" s="201"/>
      <c r="BP225" s="201"/>
    </row>
    <row r="226" spans="1:68" ht="15.5">
      <c r="A226" s="201">
        <v>3</v>
      </c>
      <c r="B226" s="204">
        <v>56</v>
      </c>
      <c r="C226" s="348">
        <v>46272</v>
      </c>
      <c r="D226" s="491">
        <f t="shared" si="38"/>
        <v>15</v>
      </c>
      <c r="E226" s="204" t="s">
        <v>72</v>
      </c>
      <c r="F226" s="205"/>
      <c r="G226" s="206"/>
      <c r="H226" s="207">
        <v>46273</v>
      </c>
      <c r="I226" s="494">
        <v>28</v>
      </c>
      <c r="J226" s="208">
        <v>222</v>
      </c>
      <c r="K226" s="209">
        <v>2.1749999999999999E-2</v>
      </c>
      <c r="L226" s="210">
        <v>0.35</v>
      </c>
      <c r="M226" s="210">
        <v>0.33</v>
      </c>
      <c r="N226" s="211">
        <v>28.5</v>
      </c>
      <c r="O226" s="211">
        <f t="shared" si="39"/>
        <v>20.805</v>
      </c>
      <c r="P226" s="211">
        <v>73</v>
      </c>
      <c r="Q226" s="210">
        <v>0.25</v>
      </c>
      <c r="R226" s="212">
        <v>74.5</v>
      </c>
      <c r="S226" s="201"/>
      <c r="T226" s="201" t="s">
        <v>586</v>
      </c>
      <c r="U226" s="201" t="s">
        <v>583</v>
      </c>
      <c r="V226" s="343"/>
      <c r="W226" s="215">
        <f t="shared" si="35"/>
        <v>28</v>
      </c>
      <c r="X226" s="208">
        <f t="shared" si="35"/>
        <v>222</v>
      </c>
      <c r="Y226" s="209"/>
      <c r="Z226" s="210"/>
      <c r="AA226" s="210"/>
      <c r="AB226" s="211"/>
      <c r="AC226" s="211"/>
      <c r="AD226" s="211"/>
      <c r="AE226" s="210"/>
      <c r="AF226" s="212"/>
      <c r="AG226" s="201"/>
      <c r="AH226" s="201" t="s">
        <v>586</v>
      </c>
      <c r="AI226" s="347">
        <v>46279</v>
      </c>
      <c r="AJ226" s="201"/>
      <c r="AK226" s="201"/>
      <c r="AL226" s="201"/>
      <c r="AM226" s="201"/>
      <c r="AN226" s="201"/>
      <c r="AO226" s="201"/>
      <c r="AP226" s="201" t="s">
        <v>458</v>
      </c>
      <c r="AQ226" s="201"/>
      <c r="AR226" s="201"/>
      <c r="AS226" s="201"/>
      <c r="AT226" s="201"/>
      <c r="AU226" s="476" t="str">
        <f t="shared" si="42"/>
        <v>Ok</v>
      </c>
      <c r="AV226" s="201"/>
      <c r="AW226" s="221">
        <f t="shared" si="36"/>
        <v>28</v>
      </c>
      <c r="AX226" s="208">
        <f t="shared" si="37"/>
        <v>222</v>
      </c>
      <c r="AY226" s="222"/>
      <c r="AZ226" s="222"/>
      <c r="BA226" s="222"/>
      <c r="BB226" s="222"/>
      <c r="BC226" s="222"/>
      <c r="BD226" s="201"/>
      <c r="BE226" s="201"/>
      <c r="BF226" s="201"/>
      <c r="BG226" s="201"/>
      <c r="BH226" s="455">
        <v>46287</v>
      </c>
      <c r="BI226" s="215">
        <f t="shared" si="40"/>
        <v>28</v>
      </c>
      <c r="BJ226" s="208">
        <f t="shared" si="40"/>
        <v>222</v>
      </c>
      <c r="BK226" s="223">
        <v>25</v>
      </c>
      <c r="BL226" s="208">
        <v>216</v>
      </c>
      <c r="BM226" s="224"/>
      <c r="BN226" s="201"/>
      <c r="BO226" s="201"/>
      <c r="BP226" s="201"/>
    </row>
    <row r="227" spans="1:68" ht="15.5">
      <c r="A227" s="201">
        <v>3</v>
      </c>
      <c r="B227" s="204" t="s">
        <v>798</v>
      </c>
      <c r="C227" s="348">
        <v>46273</v>
      </c>
      <c r="D227" s="491">
        <f t="shared" si="38"/>
        <v>14</v>
      </c>
      <c r="E227" s="204" t="s">
        <v>72</v>
      </c>
      <c r="F227" s="205"/>
      <c r="G227" s="206"/>
      <c r="H227" s="207">
        <v>46274</v>
      </c>
      <c r="I227" s="494">
        <v>28</v>
      </c>
      <c r="J227" s="208">
        <v>223</v>
      </c>
      <c r="K227" s="209">
        <v>3.8249999999999999E-2</v>
      </c>
      <c r="L227" s="210">
        <v>0.35749999999999998</v>
      </c>
      <c r="M227" s="210">
        <v>0.28999999999999998</v>
      </c>
      <c r="N227" s="211">
        <v>29</v>
      </c>
      <c r="O227" s="211">
        <f t="shared" si="39"/>
        <v>21.605</v>
      </c>
      <c r="P227" s="211">
        <v>74.5</v>
      </c>
      <c r="Q227" s="210">
        <v>0.25</v>
      </c>
      <c r="R227" s="212">
        <v>75</v>
      </c>
      <c r="S227" s="201"/>
      <c r="T227" s="201" t="s">
        <v>586</v>
      </c>
      <c r="U227" s="201" t="s">
        <v>583</v>
      </c>
      <c r="V227" s="343"/>
      <c r="W227" s="215">
        <f t="shared" si="35"/>
        <v>28</v>
      </c>
      <c r="X227" s="208">
        <f t="shared" si="35"/>
        <v>223</v>
      </c>
      <c r="Y227" s="209"/>
      <c r="Z227" s="210"/>
      <c r="AA227" s="210"/>
      <c r="AB227" s="211"/>
      <c r="AC227" s="211"/>
      <c r="AD227" s="211"/>
      <c r="AE227" s="210"/>
      <c r="AF227" s="212"/>
      <c r="AG227" s="201"/>
      <c r="AH227" s="201" t="s">
        <v>586</v>
      </c>
      <c r="AI227" s="347">
        <v>46280</v>
      </c>
      <c r="AJ227" s="201"/>
      <c r="AK227" s="201"/>
      <c r="AL227" s="201"/>
      <c r="AM227" s="201"/>
      <c r="AN227" s="201"/>
      <c r="AO227" s="201"/>
      <c r="AP227" s="201" t="s">
        <v>458</v>
      </c>
      <c r="AQ227" s="201"/>
      <c r="AR227" s="201"/>
      <c r="AS227" s="201"/>
      <c r="AT227" s="201"/>
      <c r="AU227" s="476" t="str">
        <f t="shared" si="42"/>
        <v>Ok</v>
      </c>
      <c r="AV227" s="201"/>
      <c r="AW227" s="221">
        <f t="shared" si="36"/>
        <v>28</v>
      </c>
      <c r="AX227" s="208">
        <f t="shared" si="37"/>
        <v>223</v>
      </c>
      <c r="AY227" s="222"/>
      <c r="AZ227" s="222"/>
      <c r="BA227" s="222"/>
      <c r="BB227" s="222"/>
      <c r="BC227" s="222"/>
      <c r="BD227" s="201"/>
      <c r="BE227" s="201"/>
      <c r="BF227" s="201"/>
      <c r="BG227" s="201"/>
      <c r="BH227" s="455">
        <v>46287</v>
      </c>
      <c r="BI227" s="215">
        <f t="shared" si="40"/>
        <v>28</v>
      </c>
      <c r="BJ227" s="208">
        <f t="shared" si="40"/>
        <v>223</v>
      </c>
      <c r="BK227" s="223">
        <v>25</v>
      </c>
      <c r="BL227" s="208">
        <v>217</v>
      </c>
      <c r="BM227" s="224"/>
      <c r="BN227" s="201"/>
      <c r="BO227" s="201"/>
      <c r="BP227" s="201"/>
    </row>
    <row r="228" spans="1:68" ht="15.5">
      <c r="A228" s="201">
        <v>3</v>
      </c>
      <c r="B228" s="204">
        <v>57</v>
      </c>
      <c r="C228" s="348">
        <v>46273</v>
      </c>
      <c r="D228" s="491">
        <f t="shared" si="38"/>
        <v>9</v>
      </c>
      <c r="E228" s="204" t="s">
        <v>72</v>
      </c>
      <c r="F228" s="205"/>
      <c r="G228" s="206"/>
      <c r="H228" s="207">
        <v>46274</v>
      </c>
      <c r="I228" s="494">
        <v>28</v>
      </c>
      <c r="J228" s="208">
        <v>224</v>
      </c>
      <c r="K228" s="209">
        <v>3.175E-2</v>
      </c>
      <c r="L228" s="210">
        <v>0.33500000000000002</v>
      </c>
      <c r="M228" s="210">
        <v>0.43</v>
      </c>
      <c r="N228" s="211">
        <v>31.25</v>
      </c>
      <c r="O228" s="211">
        <f t="shared" si="39"/>
        <v>23.046875</v>
      </c>
      <c r="P228" s="211">
        <v>73.75</v>
      </c>
      <c r="Q228" s="210">
        <v>0.25</v>
      </c>
      <c r="R228" s="212">
        <v>75</v>
      </c>
      <c r="S228" s="201" t="s">
        <v>427</v>
      </c>
      <c r="T228" s="201" t="s">
        <v>458</v>
      </c>
      <c r="U228" s="201" t="s">
        <v>583</v>
      </c>
      <c r="V228" s="343"/>
      <c r="W228" s="215">
        <f t="shared" si="35"/>
        <v>28</v>
      </c>
      <c r="X228" s="208">
        <f t="shared" si="35"/>
        <v>224</v>
      </c>
      <c r="Y228" s="209"/>
      <c r="Z228" s="210"/>
      <c r="AA228" s="210"/>
      <c r="AB228" s="211"/>
      <c r="AC228" s="211"/>
      <c r="AD228" s="211"/>
      <c r="AE228" s="210"/>
      <c r="AF228" s="212"/>
      <c r="AG228" s="201" t="s">
        <v>427</v>
      </c>
      <c r="AH228" s="201" t="s">
        <v>458</v>
      </c>
      <c r="AI228" s="347">
        <v>46280</v>
      </c>
      <c r="AJ228" s="201"/>
      <c r="AK228" s="201"/>
      <c r="AL228" s="201"/>
      <c r="AM228" s="201"/>
      <c r="AN228" s="201"/>
      <c r="AO228" s="201"/>
      <c r="AP228" s="201" t="s">
        <v>458</v>
      </c>
      <c r="AQ228" s="201"/>
      <c r="AR228" s="201"/>
      <c r="AS228" s="201"/>
      <c r="AT228" s="201"/>
      <c r="AU228" s="476" t="str">
        <f t="shared" si="42"/>
        <v>Ok</v>
      </c>
      <c r="AV228" s="201"/>
      <c r="AW228" s="221">
        <f t="shared" si="36"/>
        <v>28</v>
      </c>
      <c r="AX228" s="208">
        <f t="shared" si="37"/>
        <v>224</v>
      </c>
      <c r="AY228" s="222"/>
      <c r="AZ228" s="222"/>
      <c r="BA228" s="222"/>
      <c r="BB228" s="222"/>
      <c r="BC228" s="222"/>
      <c r="BD228" s="201"/>
      <c r="BE228" s="201"/>
      <c r="BF228" s="201"/>
      <c r="BG228" s="201"/>
      <c r="BH228" s="455">
        <v>46282</v>
      </c>
      <c r="BI228" s="215">
        <f t="shared" si="40"/>
        <v>28</v>
      </c>
      <c r="BJ228" s="208">
        <f t="shared" si="40"/>
        <v>224</v>
      </c>
      <c r="BK228" s="223">
        <v>24</v>
      </c>
      <c r="BL228" s="208">
        <v>210</v>
      </c>
      <c r="BM228" s="224" t="s">
        <v>222</v>
      </c>
      <c r="BN228" s="201"/>
      <c r="BO228" s="201"/>
      <c r="BP228" s="201"/>
    </row>
    <row r="229" spans="1:68" ht="15.5">
      <c r="A229" s="201">
        <v>9</v>
      </c>
      <c r="B229" s="204">
        <v>57</v>
      </c>
      <c r="C229" s="348">
        <v>46273</v>
      </c>
      <c r="D229" s="491">
        <f t="shared" si="38"/>
        <v>9</v>
      </c>
      <c r="E229" s="204" t="s">
        <v>72</v>
      </c>
      <c r="F229" s="205"/>
      <c r="G229" s="206"/>
      <c r="H229" s="207">
        <v>46274</v>
      </c>
      <c r="I229" s="494">
        <v>29</v>
      </c>
      <c r="J229" s="208">
        <v>225</v>
      </c>
      <c r="K229" s="209">
        <v>3.175E-2</v>
      </c>
      <c r="L229" s="210">
        <v>0.33</v>
      </c>
      <c r="M229" s="210">
        <v>0.45</v>
      </c>
      <c r="N229" s="211">
        <v>33.75</v>
      </c>
      <c r="O229" s="211">
        <f t="shared" si="39"/>
        <v>25.734375</v>
      </c>
      <c r="P229" s="211">
        <v>76.25</v>
      </c>
      <c r="Q229" s="210">
        <v>0.22</v>
      </c>
      <c r="R229" s="212">
        <v>80</v>
      </c>
      <c r="S229" s="201" t="s">
        <v>584</v>
      </c>
      <c r="T229" s="201" t="s">
        <v>458</v>
      </c>
      <c r="U229" s="201"/>
      <c r="V229" s="343"/>
      <c r="W229" s="215">
        <f t="shared" si="35"/>
        <v>29</v>
      </c>
      <c r="X229" s="208">
        <f t="shared" si="35"/>
        <v>225</v>
      </c>
      <c r="Y229" s="209"/>
      <c r="Z229" s="210"/>
      <c r="AA229" s="210"/>
      <c r="AB229" s="211"/>
      <c r="AC229" s="211"/>
      <c r="AD229" s="211"/>
      <c r="AE229" s="210"/>
      <c r="AF229" s="212"/>
      <c r="AG229" s="201" t="s">
        <v>584</v>
      </c>
      <c r="AH229" s="201" t="s">
        <v>458</v>
      </c>
      <c r="AI229" s="347">
        <v>46280</v>
      </c>
      <c r="AJ229" s="201"/>
      <c r="AK229" s="201"/>
      <c r="AL229" s="201"/>
      <c r="AM229" s="201"/>
      <c r="AN229" s="201"/>
      <c r="AO229" s="201"/>
      <c r="AP229" s="201" t="s">
        <v>458</v>
      </c>
      <c r="AQ229" s="201"/>
      <c r="AR229" s="201"/>
      <c r="AS229" s="201"/>
      <c r="AT229" s="201"/>
      <c r="AU229" s="476" t="str">
        <f t="shared" si="42"/>
        <v>Ok</v>
      </c>
      <c r="AV229" s="201"/>
      <c r="AW229" s="221">
        <f t="shared" si="36"/>
        <v>29</v>
      </c>
      <c r="AX229" s="208">
        <f t="shared" si="37"/>
        <v>225</v>
      </c>
      <c r="AY229" s="222"/>
      <c r="AZ229" s="222"/>
      <c r="BA229" s="222"/>
      <c r="BB229" s="222"/>
      <c r="BC229" s="222"/>
      <c r="BD229" s="201"/>
      <c r="BE229" s="201"/>
      <c r="BF229" s="201"/>
      <c r="BG229" s="201"/>
      <c r="BH229" s="455">
        <v>46282</v>
      </c>
      <c r="BI229" s="215">
        <f t="shared" si="40"/>
        <v>29</v>
      </c>
      <c r="BJ229" s="208">
        <f t="shared" si="40"/>
        <v>225</v>
      </c>
      <c r="BK229" s="223">
        <v>24</v>
      </c>
      <c r="BL229" s="208">
        <v>211</v>
      </c>
      <c r="BM229" s="224" t="s">
        <v>222</v>
      </c>
      <c r="BN229" s="201"/>
      <c r="BO229" s="201"/>
      <c r="BP229" s="201"/>
    </row>
    <row r="230" spans="1:68" ht="15.5">
      <c r="A230" s="201">
        <v>9</v>
      </c>
      <c r="B230" s="204">
        <v>57</v>
      </c>
      <c r="C230" s="348">
        <v>46273</v>
      </c>
      <c r="D230" s="491">
        <f t="shared" si="38"/>
        <v>38</v>
      </c>
      <c r="E230" s="204" t="s">
        <v>72</v>
      </c>
      <c r="F230" s="205"/>
      <c r="G230" s="206"/>
      <c r="H230" s="207">
        <v>46274</v>
      </c>
      <c r="I230" s="494">
        <v>29</v>
      </c>
      <c r="J230" s="208">
        <v>226</v>
      </c>
      <c r="K230" s="209">
        <v>4.725E-2</v>
      </c>
      <c r="L230" s="210">
        <v>0.34250000000000003</v>
      </c>
      <c r="M230" s="210">
        <v>0.47</v>
      </c>
      <c r="N230" s="211">
        <v>39.75</v>
      </c>
      <c r="O230" s="211">
        <f t="shared" si="39"/>
        <v>29.315625000000001</v>
      </c>
      <c r="P230" s="211">
        <v>73.75</v>
      </c>
      <c r="Q230" s="210">
        <v>0.22</v>
      </c>
      <c r="R230" s="212">
        <v>80</v>
      </c>
      <c r="S230" s="201" t="s">
        <v>427</v>
      </c>
      <c r="T230" s="201" t="s">
        <v>458</v>
      </c>
      <c r="U230" s="201" t="s">
        <v>583</v>
      </c>
      <c r="V230" s="343"/>
      <c r="W230" s="215">
        <f t="shared" si="35"/>
        <v>29</v>
      </c>
      <c r="X230" s="208">
        <f t="shared" si="35"/>
        <v>226</v>
      </c>
      <c r="Y230" s="209"/>
      <c r="Z230" s="210"/>
      <c r="AA230" s="210"/>
      <c r="AB230" s="211"/>
      <c r="AC230" s="211"/>
      <c r="AD230" s="211"/>
      <c r="AE230" s="210"/>
      <c r="AF230" s="212"/>
      <c r="AG230" s="201" t="s">
        <v>427</v>
      </c>
      <c r="AH230" s="201" t="s">
        <v>458</v>
      </c>
      <c r="AI230" s="347">
        <v>46280</v>
      </c>
      <c r="AJ230" s="201"/>
      <c r="AK230" s="201"/>
      <c r="AL230" s="201"/>
      <c r="AM230" s="201"/>
      <c r="AN230" s="201"/>
      <c r="AO230" s="201"/>
      <c r="AP230" s="201" t="s">
        <v>458</v>
      </c>
      <c r="AQ230" s="201"/>
      <c r="AR230" s="201"/>
      <c r="AS230" s="201"/>
      <c r="AT230" s="201"/>
      <c r="AU230" s="492" t="str">
        <f t="shared" si="42"/>
        <v>Ok</v>
      </c>
      <c r="AV230" s="201"/>
      <c r="AW230" s="221">
        <f t="shared" si="36"/>
        <v>29</v>
      </c>
      <c r="AX230" s="208">
        <f t="shared" si="37"/>
        <v>226</v>
      </c>
      <c r="AY230" s="222"/>
      <c r="AZ230" s="222"/>
      <c r="BA230" s="222"/>
      <c r="BB230" s="222"/>
      <c r="BC230" s="222"/>
      <c r="BD230" s="201"/>
      <c r="BE230" s="201"/>
      <c r="BF230" s="201"/>
      <c r="BG230" s="201"/>
      <c r="BH230" s="455">
        <v>46311</v>
      </c>
      <c r="BI230" s="215">
        <f t="shared" si="40"/>
        <v>29</v>
      </c>
      <c r="BJ230" s="208">
        <f t="shared" si="40"/>
        <v>226</v>
      </c>
      <c r="BK230" s="223"/>
      <c r="BL230" s="208"/>
      <c r="BM230" s="224"/>
      <c r="BN230" s="201"/>
      <c r="BO230" s="201"/>
      <c r="BP230" s="201"/>
    </row>
    <row r="231" spans="1:68" ht="15.5">
      <c r="A231" s="201">
        <v>9</v>
      </c>
      <c r="B231" s="204">
        <v>57</v>
      </c>
      <c r="C231" s="348">
        <v>46273</v>
      </c>
      <c r="D231" s="491">
        <f t="shared" si="38"/>
        <v>14</v>
      </c>
      <c r="E231" s="204" t="s">
        <v>72</v>
      </c>
      <c r="F231" s="205"/>
      <c r="G231" s="206"/>
      <c r="H231" s="207">
        <v>46274</v>
      </c>
      <c r="I231" s="494">
        <v>29</v>
      </c>
      <c r="J231" s="208">
        <v>227</v>
      </c>
      <c r="K231" s="209">
        <v>4.1000000000000002E-2</v>
      </c>
      <c r="L231" s="210">
        <v>0.34750000000000003</v>
      </c>
      <c r="M231" s="210">
        <v>0.26</v>
      </c>
      <c r="N231" s="211">
        <v>41</v>
      </c>
      <c r="O231" s="211">
        <f t="shared" si="39"/>
        <v>27.982500000000002</v>
      </c>
      <c r="P231" s="211">
        <v>68.25</v>
      </c>
      <c r="Q231" s="210">
        <v>0.22</v>
      </c>
      <c r="R231" s="212">
        <v>80</v>
      </c>
      <c r="S231" s="201" t="s">
        <v>427</v>
      </c>
      <c r="T231" s="201" t="s">
        <v>458</v>
      </c>
      <c r="U231" s="201" t="s">
        <v>583</v>
      </c>
      <c r="V231" s="343"/>
      <c r="W231" s="215">
        <f t="shared" si="35"/>
        <v>29</v>
      </c>
      <c r="X231" s="208">
        <f t="shared" si="35"/>
        <v>227</v>
      </c>
      <c r="Y231" s="209"/>
      <c r="Z231" s="210"/>
      <c r="AA231" s="210"/>
      <c r="AB231" s="211"/>
      <c r="AC231" s="211"/>
      <c r="AD231" s="211"/>
      <c r="AE231" s="210"/>
      <c r="AF231" s="212"/>
      <c r="AG231" s="201" t="s">
        <v>427</v>
      </c>
      <c r="AH231" s="201" t="s">
        <v>458</v>
      </c>
      <c r="AI231" s="347">
        <v>46279</v>
      </c>
      <c r="AJ231" s="201"/>
      <c r="AK231" s="201"/>
      <c r="AL231" s="201"/>
      <c r="AM231" s="201"/>
      <c r="AN231" s="201"/>
      <c r="AO231" s="201"/>
      <c r="AP231" s="201" t="s">
        <v>458</v>
      </c>
      <c r="AQ231" s="201"/>
      <c r="AR231" s="201"/>
      <c r="AS231" s="201"/>
      <c r="AT231" s="201"/>
      <c r="AU231" s="476" t="str">
        <f t="shared" si="42"/>
        <v>Ok</v>
      </c>
      <c r="AV231" s="201"/>
      <c r="AW231" s="221">
        <f t="shared" si="36"/>
        <v>29</v>
      </c>
      <c r="AX231" s="208">
        <f t="shared" si="37"/>
        <v>227</v>
      </c>
      <c r="AY231" s="222"/>
      <c r="AZ231" s="222"/>
      <c r="BA231" s="222"/>
      <c r="BB231" s="222"/>
      <c r="BC231" s="222"/>
      <c r="BD231" s="201"/>
      <c r="BE231" s="201"/>
      <c r="BF231" s="201"/>
      <c r="BG231" s="201"/>
      <c r="BH231" s="455">
        <v>46287</v>
      </c>
      <c r="BI231" s="215">
        <f t="shared" si="40"/>
        <v>29</v>
      </c>
      <c r="BJ231" s="208">
        <f t="shared" si="40"/>
        <v>227</v>
      </c>
      <c r="BK231" s="223">
        <v>25</v>
      </c>
      <c r="BL231" s="208">
        <v>218</v>
      </c>
      <c r="BM231" s="224"/>
      <c r="BN231" s="201"/>
      <c r="BO231" s="201"/>
      <c r="BP231" s="201"/>
    </row>
    <row r="232" spans="1:68" ht="15.5">
      <c r="A232" s="201">
        <v>9</v>
      </c>
      <c r="B232" s="204">
        <v>57</v>
      </c>
      <c r="C232" s="348">
        <v>46273</v>
      </c>
      <c r="D232" s="491">
        <f t="shared" si="38"/>
        <v>14</v>
      </c>
      <c r="E232" s="204" t="s">
        <v>72</v>
      </c>
      <c r="F232" s="205"/>
      <c r="G232" s="206"/>
      <c r="H232" s="207">
        <v>46274</v>
      </c>
      <c r="I232" s="494">
        <v>29</v>
      </c>
      <c r="J232" s="208">
        <v>228</v>
      </c>
      <c r="K232" s="209">
        <v>3.2000000000000001E-2</v>
      </c>
      <c r="L232" s="210">
        <v>0.33250000000000002</v>
      </c>
      <c r="M232" s="210">
        <v>0.24</v>
      </c>
      <c r="N232" s="211">
        <v>41.25</v>
      </c>
      <c r="O232" s="211">
        <f t="shared" si="39"/>
        <v>29.7</v>
      </c>
      <c r="P232" s="211">
        <v>72</v>
      </c>
      <c r="Q232" s="210">
        <v>0.22</v>
      </c>
      <c r="R232" s="212">
        <v>80</v>
      </c>
      <c r="S232" s="201" t="s">
        <v>427</v>
      </c>
      <c r="T232" s="201" t="s">
        <v>458</v>
      </c>
      <c r="U232" s="201" t="s">
        <v>583</v>
      </c>
      <c r="V232" s="343"/>
      <c r="W232" s="215">
        <f t="shared" si="35"/>
        <v>29</v>
      </c>
      <c r="X232" s="208">
        <f t="shared" si="35"/>
        <v>228</v>
      </c>
      <c r="Y232" s="209"/>
      <c r="Z232" s="210"/>
      <c r="AA232" s="210"/>
      <c r="AB232" s="211"/>
      <c r="AC232" s="211"/>
      <c r="AD232" s="211"/>
      <c r="AE232" s="210"/>
      <c r="AF232" s="212"/>
      <c r="AG232" s="201" t="s">
        <v>427</v>
      </c>
      <c r="AH232" s="201" t="s">
        <v>458</v>
      </c>
      <c r="AI232" s="347">
        <v>46280</v>
      </c>
      <c r="AJ232" s="201"/>
      <c r="AK232" s="201"/>
      <c r="AL232" s="201"/>
      <c r="AM232" s="201"/>
      <c r="AN232" s="201"/>
      <c r="AO232" s="201"/>
      <c r="AP232" s="201" t="s">
        <v>458</v>
      </c>
      <c r="AQ232" s="201"/>
      <c r="AR232" s="201"/>
      <c r="AS232" s="201"/>
      <c r="AT232" s="201"/>
      <c r="AU232" s="476" t="str">
        <f t="shared" si="42"/>
        <v>Ok</v>
      </c>
      <c r="AV232" s="201"/>
      <c r="AW232" s="221">
        <f t="shared" si="36"/>
        <v>29</v>
      </c>
      <c r="AX232" s="208">
        <f t="shared" si="37"/>
        <v>228</v>
      </c>
      <c r="AY232" s="222"/>
      <c r="AZ232" s="222"/>
      <c r="BA232" s="222"/>
      <c r="BB232" s="222"/>
      <c r="BC232" s="222"/>
      <c r="BD232" s="201"/>
      <c r="BE232" s="201"/>
      <c r="BF232" s="201"/>
      <c r="BG232" s="201"/>
      <c r="BH232" s="455">
        <v>46287</v>
      </c>
      <c r="BI232" s="215">
        <f t="shared" si="40"/>
        <v>29</v>
      </c>
      <c r="BJ232" s="208">
        <f t="shared" si="40"/>
        <v>228</v>
      </c>
      <c r="BK232" s="223">
        <v>25</v>
      </c>
      <c r="BL232" s="208">
        <v>219</v>
      </c>
      <c r="BM232" s="224"/>
      <c r="BN232" s="201"/>
      <c r="BO232" s="201"/>
      <c r="BP232" s="201"/>
    </row>
    <row r="233" spans="1:68" ht="15.5">
      <c r="A233" s="201">
        <v>9</v>
      </c>
      <c r="B233" s="204">
        <v>57</v>
      </c>
      <c r="C233" s="348">
        <v>46273</v>
      </c>
      <c r="D233" s="491">
        <f t="shared" si="38"/>
        <v>14</v>
      </c>
      <c r="E233" s="204" t="s">
        <v>72</v>
      </c>
      <c r="F233" s="205"/>
      <c r="G233" s="206"/>
      <c r="H233" s="207">
        <v>46274</v>
      </c>
      <c r="I233" s="494">
        <v>29</v>
      </c>
      <c r="J233" s="208">
        <v>229</v>
      </c>
      <c r="K233" s="209">
        <v>2.35E-2</v>
      </c>
      <c r="L233" s="210">
        <v>0.35750000000000004</v>
      </c>
      <c r="M233" s="210">
        <v>0.24</v>
      </c>
      <c r="N233" s="211">
        <v>39.75</v>
      </c>
      <c r="O233" s="211">
        <f t="shared" si="39"/>
        <v>29.315625000000001</v>
      </c>
      <c r="P233" s="211">
        <v>73.75</v>
      </c>
      <c r="Q233" s="210">
        <v>0.22</v>
      </c>
      <c r="R233" s="212">
        <v>79.5</v>
      </c>
      <c r="S233" s="201" t="s">
        <v>427</v>
      </c>
      <c r="T233" s="201" t="s">
        <v>458</v>
      </c>
      <c r="U233" s="201" t="s">
        <v>583</v>
      </c>
      <c r="V233" s="343"/>
      <c r="W233" s="215">
        <f t="shared" si="35"/>
        <v>29</v>
      </c>
      <c r="X233" s="208">
        <f t="shared" si="35"/>
        <v>229</v>
      </c>
      <c r="Y233" s="209"/>
      <c r="Z233" s="210"/>
      <c r="AA233" s="210"/>
      <c r="AB233" s="211"/>
      <c r="AC233" s="211"/>
      <c r="AD233" s="211"/>
      <c r="AE233" s="210"/>
      <c r="AF233" s="212"/>
      <c r="AG233" s="201" t="s">
        <v>427</v>
      </c>
      <c r="AH233" s="201" t="s">
        <v>458</v>
      </c>
      <c r="AI233" s="347">
        <v>46280</v>
      </c>
      <c r="AJ233" s="201"/>
      <c r="AK233" s="201"/>
      <c r="AL233" s="201"/>
      <c r="AM233" s="201"/>
      <c r="AN233" s="201"/>
      <c r="AO233" s="201"/>
      <c r="AP233" s="201" t="s">
        <v>458</v>
      </c>
      <c r="AQ233" s="201"/>
      <c r="AR233" s="201"/>
      <c r="AS233" s="201"/>
      <c r="AT233" s="201"/>
      <c r="AU233" s="476" t="str">
        <f t="shared" si="42"/>
        <v>Ok</v>
      </c>
      <c r="AV233" s="201"/>
      <c r="AW233" s="221">
        <f t="shared" si="36"/>
        <v>29</v>
      </c>
      <c r="AX233" s="208">
        <f t="shared" si="37"/>
        <v>229</v>
      </c>
      <c r="AY233" s="222"/>
      <c r="AZ233" s="222"/>
      <c r="BA233" s="222"/>
      <c r="BB233" s="222"/>
      <c r="BC233" s="222"/>
      <c r="BD233" s="201"/>
      <c r="BE233" s="201"/>
      <c r="BF233" s="201"/>
      <c r="BG233" s="201"/>
      <c r="BH233" s="455">
        <v>46287</v>
      </c>
      <c r="BI233" s="215">
        <f t="shared" si="40"/>
        <v>29</v>
      </c>
      <c r="BJ233" s="208">
        <f t="shared" si="40"/>
        <v>229</v>
      </c>
      <c r="BK233" s="223">
        <v>25</v>
      </c>
      <c r="BL233" s="208">
        <v>220</v>
      </c>
      <c r="BM233" s="224"/>
      <c r="BN233" s="201"/>
      <c r="BO233" s="201"/>
      <c r="BP233" s="201"/>
    </row>
    <row r="234" spans="1:68" ht="15.5">
      <c r="A234" s="201">
        <v>9</v>
      </c>
      <c r="B234" s="204">
        <v>57</v>
      </c>
      <c r="C234" s="348">
        <v>46273</v>
      </c>
      <c r="D234" s="491">
        <f t="shared" si="38"/>
        <v>14</v>
      </c>
      <c r="E234" s="204" t="s">
        <v>72</v>
      </c>
      <c r="F234" s="205"/>
      <c r="G234" s="206"/>
      <c r="H234" s="207">
        <v>46274</v>
      </c>
      <c r="I234" s="494">
        <v>29</v>
      </c>
      <c r="J234" s="208">
        <v>230</v>
      </c>
      <c r="K234" s="209">
        <v>3.6999999999999998E-2</v>
      </c>
      <c r="L234" s="210">
        <v>0.35</v>
      </c>
      <c r="M234" s="210">
        <v>0.37</v>
      </c>
      <c r="N234" s="211">
        <v>38.5</v>
      </c>
      <c r="O234" s="211">
        <f t="shared" si="39"/>
        <v>28.297499999999999</v>
      </c>
      <c r="P234" s="211">
        <v>73.5</v>
      </c>
      <c r="Q234" s="210">
        <v>0.22</v>
      </c>
      <c r="R234" s="212">
        <v>79.5</v>
      </c>
      <c r="S234" s="201" t="s">
        <v>427</v>
      </c>
      <c r="T234" s="201" t="s">
        <v>458</v>
      </c>
      <c r="U234" s="201" t="s">
        <v>583</v>
      </c>
      <c r="V234" s="343"/>
      <c r="W234" s="215">
        <f t="shared" si="35"/>
        <v>29</v>
      </c>
      <c r="X234" s="208">
        <f t="shared" si="35"/>
        <v>230</v>
      </c>
      <c r="Y234" s="209"/>
      <c r="Z234" s="210"/>
      <c r="AA234" s="210"/>
      <c r="AB234" s="211"/>
      <c r="AC234" s="211"/>
      <c r="AD234" s="211"/>
      <c r="AE234" s="210"/>
      <c r="AF234" s="212"/>
      <c r="AG234" s="201" t="s">
        <v>427</v>
      </c>
      <c r="AH234" s="201" t="s">
        <v>458</v>
      </c>
      <c r="AI234" s="347">
        <v>46280</v>
      </c>
      <c r="AJ234" s="201"/>
      <c r="AK234" s="201"/>
      <c r="AL234" s="201"/>
      <c r="AM234" s="201"/>
      <c r="AN234" s="201"/>
      <c r="AO234" s="201"/>
      <c r="AP234" s="201" t="s">
        <v>458</v>
      </c>
      <c r="AQ234" s="201"/>
      <c r="AR234" s="201"/>
      <c r="AS234" s="201"/>
      <c r="AT234" s="201"/>
      <c r="AU234" s="476" t="str">
        <f t="shared" si="42"/>
        <v>Ok</v>
      </c>
      <c r="AV234" s="201"/>
      <c r="AW234" s="221">
        <f t="shared" si="36"/>
        <v>29</v>
      </c>
      <c r="AX234" s="208">
        <f t="shared" si="37"/>
        <v>230</v>
      </c>
      <c r="AY234" s="222"/>
      <c r="AZ234" s="222"/>
      <c r="BA234" s="222"/>
      <c r="BB234" s="222"/>
      <c r="BC234" s="222"/>
      <c r="BD234" s="201"/>
      <c r="BE234" s="201"/>
      <c r="BF234" s="201"/>
      <c r="BG234" s="201"/>
      <c r="BH234" s="455">
        <v>46287</v>
      </c>
      <c r="BI234" s="215">
        <f t="shared" si="40"/>
        <v>29</v>
      </c>
      <c r="BJ234" s="208">
        <f t="shared" si="40"/>
        <v>230</v>
      </c>
      <c r="BK234" s="223">
        <v>25</v>
      </c>
      <c r="BL234" s="208">
        <v>221</v>
      </c>
      <c r="BM234" s="224"/>
      <c r="BN234" s="201"/>
      <c r="BO234" s="201"/>
      <c r="BP234" s="201"/>
    </row>
    <row r="235" spans="1:68" ht="15.5">
      <c r="A235" s="201">
        <v>9</v>
      </c>
      <c r="B235" s="204">
        <v>57</v>
      </c>
      <c r="C235" s="348">
        <v>46273</v>
      </c>
      <c r="D235" s="491">
        <f t="shared" si="38"/>
        <v>14</v>
      </c>
      <c r="E235" s="204" t="s">
        <v>72</v>
      </c>
      <c r="F235" s="205"/>
      <c r="G235" s="206"/>
      <c r="H235" s="207">
        <v>46274</v>
      </c>
      <c r="I235" s="494">
        <v>29</v>
      </c>
      <c r="J235" s="208">
        <v>231</v>
      </c>
      <c r="K235" s="209">
        <v>9.325E-2</v>
      </c>
      <c r="L235" s="210">
        <v>0.36250000000000004</v>
      </c>
      <c r="M235" s="210">
        <v>0.24</v>
      </c>
      <c r="N235" s="211">
        <v>34.75</v>
      </c>
      <c r="O235" s="211">
        <f t="shared" si="39"/>
        <v>24.933125</v>
      </c>
      <c r="P235" s="211">
        <v>71.75</v>
      </c>
      <c r="Q235" s="210">
        <v>0.22</v>
      </c>
      <c r="R235" s="212">
        <v>79.5</v>
      </c>
      <c r="S235" s="201" t="s">
        <v>584</v>
      </c>
      <c r="T235" s="201" t="s">
        <v>458</v>
      </c>
      <c r="U235" s="201"/>
      <c r="V235" s="343"/>
      <c r="W235" s="215">
        <f t="shared" si="35"/>
        <v>29</v>
      </c>
      <c r="X235" s="208">
        <f t="shared" si="35"/>
        <v>231</v>
      </c>
      <c r="Y235" s="209"/>
      <c r="Z235" s="210"/>
      <c r="AA235" s="210"/>
      <c r="AB235" s="211"/>
      <c r="AC235" s="211"/>
      <c r="AD235" s="211"/>
      <c r="AE235" s="210"/>
      <c r="AF235" s="212"/>
      <c r="AG235" s="201" t="s">
        <v>584</v>
      </c>
      <c r="AH235" s="201" t="s">
        <v>458</v>
      </c>
      <c r="AI235" s="347">
        <v>46280</v>
      </c>
      <c r="AJ235" s="201"/>
      <c r="AK235" s="201"/>
      <c r="AL235" s="201"/>
      <c r="AM235" s="201"/>
      <c r="AN235" s="201"/>
      <c r="AO235" s="201"/>
      <c r="AP235" s="201" t="s">
        <v>458</v>
      </c>
      <c r="AQ235" s="201"/>
      <c r="AR235" s="201"/>
      <c r="AS235" s="201"/>
      <c r="AT235" s="201"/>
      <c r="AU235" s="476" t="str">
        <f t="shared" si="42"/>
        <v>Ok</v>
      </c>
      <c r="AV235" s="201"/>
      <c r="AW235" s="221">
        <f t="shared" si="36"/>
        <v>29</v>
      </c>
      <c r="AX235" s="208">
        <f t="shared" si="37"/>
        <v>231</v>
      </c>
      <c r="AY235" s="222"/>
      <c r="AZ235" s="222"/>
      <c r="BA235" s="222"/>
      <c r="BB235" s="222"/>
      <c r="BC235" s="222"/>
      <c r="BD235" s="201"/>
      <c r="BE235" s="201"/>
      <c r="BF235" s="201"/>
      <c r="BG235" s="201"/>
      <c r="BH235" s="455">
        <v>46287</v>
      </c>
      <c r="BI235" s="215">
        <f t="shared" si="40"/>
        <v>29</v>
      </c>
      <c r="BJ235" s="208">
        <f t="shared" si="40"/>
        <v>231</v>
      </c>
      <c r="BK235" s="223">
        <v>26</v>
      </c>
      <c r="BL235" s="208">
        <v>222</v>
      </c>
      <c r="BM235" s="224"/>
      <c r="BN235" s="201"/>
      <c r="BO235" s="201"/>
      <c r="BP235" s="201"/>
    </row>
    <row r="236" spans="1:68" ht="15.5">
      <c r="A236" s="201">
        <v>9</v>
      </c>
      <c r="B236" s="204">
        <v>57</v>
      </c>
      <c r="C236" s="348">
        <v>46273</v>
      </c>
      <c r="D236" s="491">
        <f t="shared" si="38"/>
        <v>14</v>
      </c>
      <c r="E236" s="204" t="s">
        <v>72</v>
      </c>
      <c r="F236" s="205"/>
      <c r="G236" s="206"/>
      <c r="H236" s="207">
        <v>46274</v>
      </c>
      <c r="I236" s="494">
        <v>29</v>
      </c>
      <c r="J236" s="208">
        <v>232</v>
      </c>
      <c r="K236" s="209">
        <v>8.0250000000000002E-2</v>
      </c>
      <c r="L236" s="210">
        <v>0.36</v>
      </c>
      <c r="M236" s="210">
        <v>0.19</v>
      </c>
      <c r="N236" s="211">
        <v>37</v>
      </c>
      <c r="O236" s="211">
        <f t="shared" si="39"/>
        <v>26.732500000000002</v>
      </c>
      <c r="P236" s="211">
        <v>72.25</v>
      </c>
      <c r="Q236" s="210">
        <v>0.22</v>
      </c>
      <c r="R236" s="212">
        <v>79.5</v>
      </c>
      <c r="S236" s="201" t="s">
        <v>584</v>
      </c>
      <c r="T236" s="201" t="s">
        <v>458</v>
      </c>
      <c r="U236" s="201"/>
      <c r="V236" s="343"/>
      <c r="W236" s="215">
        <f t="shared" si="35"/>
        <v>29</v>
      </c>
      <c r="X236" s="208">
        <f t="shared" si="35"/>
        <v>232</v>
      </c>
      <c r="Y236" s="209"/>
      <c r="Z236" s="210"/>
      <c r="AA236" s="210"/>
      <c r="AB236" s="211"/>
      <c r="AC236" s="211"/>
      <c r="AD236" s="211"/>
      <c r="AE236" s="210"/>
      <c r="AF236" s="212"/>
      <c r="AG236" s="201" t="s">
        <v>584</v>
      </c>
      <c r="AH236" s="201" t="s">
        <v>458</v>
      </c>
      <c r="AI236" s="347">
        <v>46280</v>
      </c>
      <c r="AJ236" s="201"/>
      <c r="AK236" s="201"/>
      <c r="AL236" s="201"/>
      <c r="AM236" s="201"/>
      <c r="AN236" s="201"/>
      <c r="AO236" s="201"/>
      <c r="AP236" s="201" t="s">
        <v>458</v>
      </c>
      <c r="AQ236" s="201"/>
      <c r="AR236" s="201"/>
      <c r="AS236" s="201"/>
      <c r="AT236" s="201"/>
      <c r="AU236" s="476" t="str">
        <f t="shared" si="42"/>
        <v>Ok</v>
      </c>
      <c r="AV236" s="201"/>
      <c r="AW236" s="221">
        <f t="shared" si="36"/>
        <v>29</v>
      </c>
      <c r="AX236" s="208">
        <f t="shared" si="37"/>
        <v>232</v>
      </c>
      <c r="AY236" s="222"/>
      <c r="AZ236" s="222"/>
      <c r="BA236" s="222"/>
      <c r="BB236" s="222"/>
      <c r="BC236" s="222"/>
      <c r="BD236" s="201"/>
      <c r="BE236" s="201"/>
      <c r="BF236" s="201"/>
      <c r="BG236" s="201"/>
      <c r="BH236" s="455">
        <v>46287</v>
      </c>
      <c r="BI236" s="215">
        <f t="shared" si="40"/>
        <v>29</v>
      </c>
      <c r="BJ236" s="208">
        <f t="shared" si="40"/>
        <v>232</v>
      </c>
      <c r="BK236" s="223">
        <v>26</v>
      </c>
      <c r="BL236" s="208">
        <v>223</v>
      </c>
      <c r="BM236" s="224"/>
      <c r="BN236" s="201"/>
      <c r="BO236" s="201"/>
      <c r="BP236" s="201"/>
    </row>
    <row r="237" spans="1:68" ht="15.5">
      <c r="A237" s="201">
        <v>9</v>
      </c>
      <c r="B237" s="204" t="s">
        <v>799</v>
      </c>
      <c r="C237" s="350">
        <v>46274</v>
      </c>
      <c r="D237" s="491">
        <f t="shared" si="38"/>
        <v>13</v>
      </c>
      <c r="E237" s="204" t="s">
        <v>72</v>
      </c>
      <c r="F237" s="205"/>
      <c r="G237" s="206"/>
      <c r="H237" s="207">
        <v>46275</v>
      </c>
      <c r="I237" s="494">
        <v>30</v>
      </c>
      <c r="J237" s="208">
        <v>233</v>
      </c>
      <c r="K237" s="209">
        <v>6.1499999999999999E-2</v>
      </c>
      <c r="L237" s="210">
        <v>0.35</v>
      </c>
      <c r="M237" s="210">
        <v>0.17</v>
      </c>
      <c r="N237" s="211">
        <v>36.75</v>
      </c>
      <c r="O237" s="211">
        <f t="shared" si="39"/>
        <v>27.286874999999998</v>
      </c>
      <c r="P237" s="211">
        <v>74.25</v>
      </c>
      <c r="Q237" s="210">
        <v>0.25</v>
      </c>
      <c r="R237" s="212">
        <v>75</v>
      </c>
      <c r="S237" s="201" t="s">
        <v>584</v>
      </c>
      <c r="T237" s="201" t="s">
        <v>458</v>
      </c>
      <c r="U237" s="201"/>
      <c r="V237" s="343"/>
      <c r="W237" s="215">
        <f t="shared" si="35"/>
        <v>30</v>
      </c>
      <c r="X237" s="208">
        <f t="shared" si="35"/>
        <v>233</v>
      </c>
      <c r="Y237" s="209"/>
      <c r="Z237" s="210"/>
      <c r="AA237" s="210"/>
      <c r="AB237" s="211"/>
      <c r="AC237" s="211"/>
      <c r="AD237" s="211"/>
      <c r="AE237" s="210"/>
      <c r="AF237" s="212"/>
      <c r="AG237" s="201" t="s">
        <v>584</v>
      </c>
      <c r="AH237" s="201" t="s">
        <v>458</v>
      </c>
      <c r="AI237" s="347">
        <v>46280</v>
      </c>
      <c r="AJ237" s="201"/>
      <c r="AK237" s="201"/>
      <c r="AL237" s="201"/>
      <c r="AM237" s="201"/>
      <c r="AN237" s="201"/>
      <c r="AO237" s="201"/>
      <c r="AP237" s="201" t="s">
        <v>458</v>
      </c>
      <c r="AQ237" s="201"/>
      <c r="AR237" s="201"/>
      <c r="AS237" s="201"/>
      <c r="AT237" s="201"/>
      <c r="AU237" s="476" t="str">
        <f t="shared" si="42"/>
        <v>Ok</v>
      </c>
      <c r="AV237" s="201"/>
      <c r="AW237" s="221">
        <f t="shared" si="36"/>
        <v>30</v>
      </c>
      <c r="AX237" s="208">
        <f t="shared" si="37"/>
        <v>233</v>
      </c>
      <c r="AY237" s="222"/>
      <c r="AZ237" s="222"/>
      <c r="BA237" s="222"/>
      <c r="BB237" s="222"/>
      <c r="BC237" s="222"/>
      <c r="BD237" s="201"/>
      <c r="BE237" s="201"/>
      <c r="BF237" s="201"/>
      <c r="BG237" s="201"/>
      <c r="BH237" s="455">
        <v>46287</v>
      </c>
      <c r="BI237" s="215">
        <f t="shared" si="40"/>
        <v>30</v>
      </c>
      <c r="BJ237" s="208">
        <f t="shared" si="40"/>
        <v>233</v>
      </c>
      <c r="BK237" s="223">
        <v>26</v>
      </c>
      <c r="BL237" s="208">
        <v>224</v>
      </c>
      <c r="BM237" s="224"/>
      <c r="BN237" s="201"/>
      <c r="BO237" s="201"/>
      <c r="BP237" s="201"/>
    </row>
    <row r="238" spans="1:68" ht="15.5">
      <c r="A238" s="201">
        <v>9</v>
      </c>
      <c r="B238" s="204">
        <v>58</v>
      </c>
      <c r="C238" s="350">
        <v>46274</v>
      </c>
      <c r="D238" s="491">
        <f t="shared" si="38"/>
        <v>13</v>
      </c>
      <c r="E238" s="204" t="s">
        <v>72</v>
      </c>
      <c r="F238" s="205"/>
      <c r="G238" s="206"/>
      <c r="H238" s="207">
        <v>46275</v>
      </c>
      <c r="I238" s="494">
        <v>30</v>
      </c>
      <c r="J238" s="208">
        <v>234</v>
      </c>
      <c r="K238" s="209">
        <v>3.5500000000000004E-2</v>
      </c>
      <c r="L238" s="210">
        <v>0.36499999999999999</v>
      </c>
      <c r="M238" s="210">
        <v>0.42</v>
      </c>
      <c r="N238" s="211">
        <v>33.25</v>
      </c>
      <c r="O238" s="211">
        <f t="shared" si="39"/>
        <v>25.103750000000002</v>
      </c>
      <c r="P238" s="211">
        <v>75.5</v>
      </c>
      <c r="Q238" s="210">
        <v>0.25</v>
      </c>
      <c r="R238" s="212">
        <v>75</v>
      </c>
      <c r="S238" s="201" t="s">
        <v>584</v>
      </c>
      <c r="T238" s="201" t="s">
        <v>458</v>
      </c>
      <c r="U238" s="201"/>
      <c r="V238" s="343"/>
      <c r="W238" s="215">
        <f t="shared" si="35"/>
        <v>30</v>
      </c>
      <c r="X238" s="208">
        <f t="shared" si="35"/>
        <v>234</v>
      </c>
      <c r="Y238" s="209"/>
      <c r="Z238" s="210"/>
      <c r="AA238" s="210"/>
      <c r="AB238" s="211"/>
      <c r="AC238" s="211"/>
      <c r="AD238" s="211"/>
      <c r="AE238" s="210"/>
      <c r="AF238" s="212"/>
      <c r="AG238" s="201" t="s">
        <v>584</v>
      </c>
      <c r="AH238" s="201" t="s">
        <v>458</v>
      </c>
      <c r="AI238" s="347">
        <v>46280</v>
      </c>
      <c r="AJ238" s="201"/>
      <c r="AK238" s="201"/>
      <c r="AL238" s="201"/>
      <c r="AM238" s="201"/>
      <c r="AN238" s="201"/>
      <c r="AO238" s="201"/>
      <c r="AP238" s="201" t="s">
        <v>458</v>
      </c>
      <c r="AQ238" s="201"/>
      <c r="AR238" s="201"/>
      <c r="AS238" s="201"/>
      <c r="AT238" s="201"/>
      <c r="AU238" s="476" t="str">
        <f t="shared" si="42"/>
        <v>Ok</v>
      </c>
      <c r="AV238" s="201"/>
      <c r="AW238" s="221">
        <f t="shared" si="36"/>
        <v>30</v>
      </c>
      <c r="AX238" s="208">
        <f t="shared" si="37"/>
        <v>234</v>
      </c>
      <c r="AY238" s="222"/>
      <c r="AZ238" s="222"/>
      <c r="BA238" s="222"/>
      <c r="BB238" s="222"/>
      <c r="BC238" s="222"/>
      <c r="BD238" s="201"/>
      <c r="BE238" s="201"/>
      <c r="BF238" s="201"/>
      <c r="BG238" s="201"/>
      <c r="BH238" s="455">
        <v>46287</v>
      </c>
      <c r="BI238" s="215">
        <f t="shared" si="40"/>
        <v>30</v>
      </c>
      <c r="BJ238" s="208">
        <f t="shared" si="40"/>
        <v>234</v>
      </c>
      <c r="BK238" s="223">
        <v>26</v>
      </c>
      <c r="BL238" s="208">
        <v>225</v>
      </c>
      <c r="BM238" s="224"/>
      <c r="BN238" s="201"/>
      <c r="BO238" s="201"/>
      <c r="BP238" s="201"/>
    </row>
    <row r="239" spans="1:68" ht="15.5">
      <c r="A239" s="201">
        <v>9</v>
      </c>
      <c r="B239" s="204">
        <v>58</v>
      </c>
      <c r="C239" s="350">
        <v>46274</v>
      </c>
      <c r="D239" s="491">
        <f t="shared" si="38"/>
        <v>13</v>
      </c>
      <c r="E239" s="204" t="s">
        <v>72</v>
      </c>
      <c r="F239" s="205"/>
      <c r="G239" s="206"/>
      <c r="H239" s="207">
        <v>46275</v>
      </c>
      <c r="I239" s="494">
        <v>30</v>
      </c>
      <c r="J239" s="208">
        <v>235</v>
      </c>
      <c r="K239" s="209">
        <v>8.2750000000000004E-2</v>
      </c>
      <c r="L239" s="210">
        <v>0.4</v>
      </c>
      <c r="M239" s="210">
        <v>0.21</v>
      </c>
      <c r="N239" s="211">
        <v>34.75</v>
      </c>
      <c r="O239" s="211">
        <f t="shared" si="39"/>
        <v>25.801874999999999</v>
      </c>
      <c r="P239" s="211">
        <v>74.25</v>
      </c>
      <c r="Q239" s="210">
        <v>0.25</v>
      </c>
      <c r="R239" s="212">
        <v>75</v>
      </c>
      <c r="S239" s="201" t="s">
        <v>584</v>
      </c>
      <c r="T239" s="201" t="s">
        <v>458</v>
      </c>
      <c r="U239" s="201"/>
      <c r="V239" s="343"/>
      <c r="W239" s="215">
        <f t="shared" si="35"/>
        <v>30</v>
      </c>
      <c r="X239" s="208">
        <f t="shared" si="35"/>
        <v>235</v>
      </c>
      <c r="Y239" s="209"/>
      <c r="Z239" s="210"/>
      <c r="AA239" s="210"/>
      <c r="AB239" s="211"/>
      <c r="AC239" s="211"/>
      <c r="AD239" s="211"/>
      <c r="AE239" s="210"/>
      <c r="AF239" s="212"/>
      <c r="AG239" s="201" t="s">
        <v>584</v>
      </c>
      <c r="AH239" s="201" t="s">
        <v>458</v>
      </c>
      <c r="AI239" s="347">
        <v>46280</v>
      </c>
      <c r="AJ239" s="201"/>
      <c r="AK239" s="201"/>
      <c r="AL239" s="201"/>
      <c r="AM239" s="201"/>
      <c r="AN239" s="201"/>
      <c r="AO239" s="201"/>
      <c r="AP239" s="201" t="s">
        <v>458</v>
      </c>
      <c r="AQ239" s="201"/>
      <c r="AR239" s="201"/>
      <c r="AS239" s="201"/>
      <c r="AT239" s="201"/>
      <c r="AU239" s="476" t="str">
        <f t="shared" si="42"/>
        <v>Ok</v>
      </c>
      <c r="AV239" s="201"/>
      <c r="AW239" s="221">
        <f t="shared" si="36"/>
        <v>30</v>
      </c>
      <c r="AX239" s="208">
        <f t="shared" si="37"/>
        <v>235</v>
      </c>
      <c r="AY239" s="222"/>
      <c r="AZ239" s="222"/>
      <c r="BA239" s="222"/>
      <c r="BB239" s="222"/>
      <c r="BC239" s="222"/>
      <c r="BD239" s="201"/>
      <c r="BE239" s="201"/>
      <c r="BF239" s="201"/>
      <c r="BG239" s="201"/>
      <c r="BH239" s="455">
        <v>46287</v>
      </c>
      <c r="BI239" s="215">
        <f t="shared" si="40"/>
        <v>30</v>
      </c>
      <c r="BJ239" s="208">
        <f t="shared" si="40"/>
        <v>235</v>
      </c>
      <c r="BK239" s="223">
        <v>26</v>
      </c>
      <c r="BL239" s="208">
        <v>226</v>
      </c>
      <c r="BM239" s="224"/>
      <c r="BN239" s="201"/>
      <c r="BO239" s="201"/>
      <c r="BP239" s="201"/>
    </row>
    <row r="240" spans="1:68" ht="15.5">
      <c r="A240" s="201">
        <v>9</v>
      </c>
      <c r="B240" s="204">
        <v>58</v>
      </c>
      <c r="C240" s="350">
        <v>46274</v>
      </c>
      <c r="D240" s="491">
        <f t="shared" si="38"/>
        <v>14</v>
      </c>
      <c r="E240" s="204" t="s">
        <v>72</v>
      </c>
      <c r="F240" s="205"/>
      <c r="G240" s="206"/>
      <c r="H240" s="207">
        <v>46275</v>
      </c>
      <c r="I240" s="494">
        <v>30</v>
      </c>
      <c r="J240" s="208">
        <v>236</v>
      </c>
      <c r="K240" s="209">
        <v>5.6750000000000002E-2</v>
      </c>
      <c r="L240" s="210">
        <v>0.38500000000000001</v>
      </c>
      <c r="M240" s="210">
        <v>0.26</v>
      </c>
      <c r="N240" s="211">
        <v>32.75</v>
      </c>
      <c r="O240" s="211">
        <f t="shared" si="39"/>
        <v>25.299375000000001</v>
      </c>
      <c r="P240" s="211">
        <v>77.25</v>
      </c>
      <c r="Q240" s="210">
        <v>0.25</v>
      </c>
      <c r="R240" s="212">
        <v>75</v>
      </c>
      <c r="S240" s="201" t="s">
        <v>584</v>
      </c>
      <c r="T240" s="201" t="s">
        <v>458</v>
      </c>
      <c r="U240" s="201"/>
      <c r="V240" s="343"/>
      <c r="W240" s="215">
        <f t="shared" si="35"/>
        <v>30</v>
      </c>
      <c r="X240" s="208">
        <f t="shared" si="35"/>
        <v>236</v>
      </c>
      <c r="Y240" s="209"/>
      <c r="Z240" s="210"/>
      <c r="AA240" s="210"/>
      <c r="AB240" s="211"/>
      <c r="AC240" s="211"/>
      <c r="AD240" s="211"/>
      <c r="AE240" s="210"/>
      <c r="AF240" s="212"/>
      <c r="AG240" s="201" t="s">
        <v>584</v>
      </c>
      <c r="AH240" s="201" t="s">
        <v>458</v>
      </c>
      <c r="AI240" s="346"/>
      <c r="AJ240" s="201"/>
      <c r="AK240" s="201"/>
      <c r="AL240" s="201"/>
      <c r="AM240" s="201"/>
      <c r="AN240" s="201"/>
      <c r="AO240" s="201"/>
      <c r="AP240" s="201"/>
      <c r="AQ240" s="201"/>
      <c r="AR240" s="201"/>
      <c r="AS240" s="201"/>
      <c r="AT240" s="201"/>
      <c r="AU240" s="476" t="str">
        <f t="shared" si="42"/>
        <v>Ok</v>
      </c>
      <c r="AV240" s="201"/>
      <c r="AW240" s="221">
        <f t="shared" si="36"/>
        <v>30</v>
      </c>
      <c r="AX240" s="208">
        <f t="shared" si="37"/>
        <v>236</v>
      </c>
      <c r="AY240" s="222"/>
      <c r="AZ240" s="222"/>
      <c r="BA240" s="222"/>
      <c r="BB240" s="222"/>
      <c r="BC240" s="222"/>
      <c r="BD240" s="201"/>
      <c r="BE240" s="201"/>
      <c r="BF240" s="201"/>
      <c r="BG240" s="201"/>
      <c r="BH240" s="455">
        <v>46288</v>
      </c>
      <c r="BI240" s="215">
        <f t="shared" si="40"/>
        <v>30</v>
      </c>
      <c r="BJ240" s="208">
        <f t="shared" si="40"/>
        <v>236</v>
      </c>
      <c r="BK240" s="223">
        <v>27</v>
      </c>
      <c r="BL240" s="208">
        <v>234</v>
      </c>
      <c r="BM240" s="224"/>
      <c r="BN240" s="201"/>
      <c r="BO240" s="201"/>
      <c r="BP240" s="201"/>
    </row>
    <row r="241" spans="1:68" ht="15.5">
      <c r="A241" s="201">
        <v>9</v>
      </c>
      <c r="B241" s="204">
        <v>58</v>
      </c>
      <c r="C241" s="350">
        <v>46274</v>
      </c>
      <c r="D241" s="491">
        <f t="shared" si="38"/>
        <v>14</v>
      </c>
      <c r="E241" s="204" t="s">
        <v>72</v>
      </c>
      <c r="F241" s="205"/>
      <c r="G241" s="206"/>
      <c r="H241" s="207">
        <v>46275</v>
      </c>
      <c r="I241" s="494">
        <v>30</v>
      </c>
      <c r="J241" s="208">
        <v>237</v>
      </c>
      <c r="K241" s="209">
        <v>9.4500000000000001E-2</v>
      </c>
      <c r="L241" s="210">
        <v>0.37250000000000005</v>
      </c>
      <c r="M241" s="210">
        <v>0.32</v>
      </c>
      <c r="N241" s="211">
        <v>39.5</v>
      </c>
      <c r="O241" s="211">
        <f t="shared" si="39"/>
        <v>29.526250000000001</v>
      </c>
      <c r="P241" s="211">
        <v>74.75</v>
      </c>
      <c r="Q241" s="210">
        <v>0.25</v>
      </c>
      <c r="R241" s="212">
        <v>73</v>
      </c>
      <c r="S241" s="201" t="s">
        <v>427</v>
      </c>
      <c r="T241" s="201" t="s">
        <v>458</v>
      </c>
      <c r="U241" s="201" t="s">
        <v>583</v>
      </c>
      <c r="V241" s="343"/>
      <c r="W241" s="215">
        <f t="shared" si="35"/>
        <v>30</v>
      </c>
      <c r="X241" s="208">
        <f t="shared" si="35"/>
        <v>237</v>
      </c>
      <c r="Y241" s="209"/>
      <c r="Z241" s="210"/>
      <c r="AA241" s="210"/>
      <c r="AB241" s="211"/>
      <c r="AC241" s="211"/>
      <c r="AD241" s="211"/>
      <c r="AE241" s="210"/>
      <c r="AF241" s="212"/>
      <c r="AG241" s="201" t="s">
        <v>427</v>
      </c>
      <c r="AH241" s="201" t="s">
        <v>458</v>
      </c>
      <c r="AI241" s="346"/>
      <c r="AJ241" s="201"/>
      <c r="AK241" s="201"/>
      <c r="AL241" s="201"/>
      <c r="AM241" s="201"/>
      <c r="AN241" s="201"/>
      <c r="AO241" s="201"/>
      <c r="AP241" s="201"/>
      <c r="AQ241" s="201"/>
      <c r="AR241" s="201"/>
      <c r="AS241" s="201"/>
      <c r="AT241" s="201"/>
      <c r="AU241" s="476" t="str">
        <f t="shared" si="42"/>
        <v>Ok</v>
      </c>
      <c r="AV241" s="201"/>
      <c r="AW241" s="221">
        <f t="shared" si="36"/>
        <v>30</v>
      </c>
      <c r="AX241" s="208">
        <f t="shared" si="37"/>
        <v>237</v>
      </c>
      <c r="AY241" s="222"/>
      <c r="AZ241" s="222"/>
      <c r="BA241" s="222"/>
      <c r="BB241" s="222"/>
      <c r="BC241" s="222"/>
      <c r="BD241" s="201"/>
      <c r="BE241" s="201"/>
      <c r="BF241" s="201"/>
      <c r="BG241" s="201"/>
      <c r="BH241" s="455">
        <v>46288</v>
      </c>
      <c r="BI241" s="215">
        <f t="shared" si="40"/>
        <v>30</v>
      </c>
      <c r="BJ241" s="208">
        <f t="shared" si="40"/>
        <v>237</v>
      </c>
      <c r="BK241" s="223">
        <v>27</v>
      </c>
      <c r="BL241" s="208">
        <v>235</v>
      </c>
      <c r="BM241" s="224"/>
      <c r="BN241" s="201"/>
      <c r="BO241" s="201"/>
      <c r="BP241" s="201"/>
    </row>
    <row r="242" spans="1:68" ht="15.5">
      <c r="A242" s="201">
        <v>9</v>
      </c>
      <c r="B242" s="204">
        <v>58</v>
      </c>
      <c r="C242" s="350">
        <v>46274</v>
      </c>
      <c r="D242" s="491">
        <f t="shared" si="38"/>
        <v>13</v>
      </c>
      <c r="E242" s="204" t="s">
        <v>72</v>
      </c>
      <c r="F242" s="205"/>
      <c r="G242" s="206"/>
      <c r="H242" s="207">
        <v>46275</v>
      </c>
      <c r="I242" s="494">
        <v>30</v>
      </c>
      <c r="J242" s="208">
        <v>238</v>
      </c>
      <c r="K242" s="209">
        <v>9.9000000000000005E-2</v>
      </c>
      <c r="L242" s="210">
        <v>0.35499999999999998</v>
      </c>
      <c r="M242" s="210">
        <v>0.26</v>
      </c>
      <c r="N242" s="211">
        <v>38.75</v>
      </c>
      <c r="O242" s="211">
        <f t="shared" si="39"/>
        <v>29.0625</v>
      </c>
      <c r="P242" s="211">
        <v>75</v>
      </c>
      <c r="Q242" s="210">
        <v>0.25</v>
      </c>
      <c r="R242" s="212">
        <v>73</v>
      </c>
      <c r="S242" s="201" t="s">
        <v>427</v>
      </c>
      <c r="T242" s="201" t="s">
        <v>458</v>
      </c>
      <c r="U242" s="201" t="s">
        <v>583</v>
      </c>
      <c r="V242" s="343"/>
      <c r="W242" s="215">
        <f t="shared" si="35"/>
        <v>30</v>
      </c>
      <c r="X242" s="208">
        <f t="shared" si="35"/>
        <v>238</v>
      </c>
      <c r="Y242" s="209"/>
      <c r="Z242" s="210"/>
      <c r="AA242" s="210"/>
      <c r="AB242" s="211"/>
      <c r="AC242" s="211"/>
      <c r="AD242" s="211"/>
      <c r="AE242" s="210"/>
      <c r="AF242" s="212"/>
      <c r="AG242" s="201" t="s">
        <v>427</v>
      </c>
      <c r="AH242" s="201" t="s">
        <v>458</v>
      </c>
      <c r="AI242" s="347">
        <v>46280</v>
      </c>
      <c r="AJ242" s="201"/>
      <c r="AK242" s="201"/>
      <c r="AL242" s="201"/>
      <c r="AM242" s="201"/>
      <c r="AN242" s="201"/>
      <c r="AO242" s="201"/>
      <c r="AP242" s="201" t="s">
        <v>458</v>
      </c>
      <c r="AQ242" s="201"/>
      <c r="AR242" s="201"/>
      <c r="AS242" s="201"/>
      <c r="AT242" s="201"/>
      <c r="AU242" s="476" t="str">
        <f t="shared" si="42"/>
        <v>Ok</v>
      </c>
      <c r="AV242" s="201"/>
      <c r="AW242" s="221">
        <f t="shared" si="36"/>
        <v>30</v>
      </c>
      <c r="AX242" s="208">
        <f t="shared" si="37"/>
        <v>238</v>
      </c>
      <c r="AY242" s="222"/>
      <c r="AZ242" s="222"/>
      <c r="BA242" s="222"/>
      <c r="BB242" s="222"/>
      <c r="BC242" s="222"/>
      <c r="BD242" s="201"/>
      <c r="BE242" s="201"/>
      <c r="BF242" s="201"/>
      <c r="BG242" s="201"/>
      <c r="BH242" s="455">
        <v>46287</v>
      </c>
      <c r="BI242" s="215">
        <f t="shared" si="40"/>
        <v>30</v>
      </c>
      <c r="BJ242" s="208">
        <f t="shared" si="40"/>
        <v>238</v>
      </c>
      <c r="BK242" s="223">
        <v>26</v>
      </c>
      <c r="BL242" s="208">
        <v>227</v>
      </c>
      <c r="BM242" s="224"/>
      <c r="BN242" s="201"/>
      <c r="BO242" s="201"/>
      <c r="BP242" s="201"/>
    </row>
    <row r="243" spans="1:68" ht="15.5">
      <c r="A243" s="201">
        <v>9</v>
      </c>
      <c r="B243" s="204">
        <v>58</v>
      </c>
      <c r="C243" s="350">
        <v>46274</v>
      </c>
      <c r="D243" s="491">
        <f t="shared" si="38"/>
        <v>14</v>
      </c>
      <c r="E243" s="204" t="s">
        <v>72</v>
      </c>
      <c r="F243" s="205"/>
      <c r="G243" s="206"/>
      <c r="H243" s="207">
        <v>46275</v>
      </c>
      <c r="I243" s="494">
        <v>30</v>
      </c>
      <c r="J243" s="208">
        <v>239</v>
      </c>
      <c r="K243" s="209">
        <v>5.6499999999999995E-2</v>
      </c>
      <c r="L243" s="210">
        <v>0.35250000000000004</v>
      </c>
      <c r="M243" s="210">
        <v>0.14000000000000001</v>
      </c>
      <c r="N243" s="211">
        <v>40.25</v>
      </c>
      <c r="O243" s="211">
        <f t="shared" si="39"/>
        <v>29.583749999999998</v>
      </c>
      <c r="P243" s="211">
        <v>73.5</v>
      </c>
      <c r="Q243" s="210">
        <v>0.25</v>
      </c>
      <c r="R243" s="212">
        <v>73</v>
      </c>
      <c r="S243" s="201" t="s">
        <v>427</v>
      </c>
      <c r="T243" s="201" t="s">
        <v>458</v>
      </c>
      <c r="U243" s="201" t="s">
        <v>583</v>
      </c>
      <c r="V243" s="343"/>
      <c r="W243" s="215">
        <f t="shared" si="35"/>
        <v>30</v>
      </c>
      <c r="X243" s="208">
        <f t="shared" si="35"/>
        <v>239</v>
      </c>
      <c r="Y243" s="209"/>
      <c r="Z243" s="210"/>
      <c r="AA243" s="210"/>
      <c r="AB243" s="211"/>
      <c r="AC243" s="211"/>
      <c r="AD243" s="211"/>
      <c r="AE243" s="210"/>
      <c r="AF243" s="212"/>
      <c r="AG243" s="201" t="s">
        <v>427</v>
      </c>
      <c r="AH243" s="201" t="s">
        <v>458</v>
      </c>
      <c r="AI243" s="346"/>
      <c r="AJ243" s="201"/>
      <c r="AK243" s="201"/>
      <c r="AL243" s="201"/>
      <c r="AM243" s="201"/>
      <c r="AN243" s="201"/>
      <c r="AO243" s="201"/>
      <c r="AP243" s="201"/>
      <c r="AQ243" s="201"/>
      <c r="AR243" s="201"/>
      <c r="AS243" s="201"/>
      <c r="AT243" s="201"/>
      <c r="AU243" s="476" t="str">
        <f t="shared" si="42"/>
        <v>Ok</v>
      </c>
      <c r="AV243" s="201"/>
      <c r="AW243" s="221">
        <f t="shared" si="36"/>
        <v>30</v>
      </c>
      <c r="AX243" s="208">
        <f t="shared" si="37"/>
        <v>239</v>
      </c>
      <c r="AY243" s="222"/>
      <c r="AZ243" s="222"/>
      <c r="BA243" s="222"/>
      <c r="BB243" s="222"/>
      <c r="BC243" s="222"/>
      <c r="BD243" s="201"/>
      <c r="BE243" s="201"/>
      <c r="BF243" s="201"/>
      <c r="BG243" s="201"/>
      <c r="BH243" s="455">
        <v>46288</v>
      </c>
      <c r="BI243" s="215">
        <f t="shared" si="40"/>
        <v>30</v>
      </c>
      <c r="BJ243" s="208">
        <f t="shared" si="40"/>
        <v>239</v>
      </c>
      <c r="BK243" s="223">
        <v>27</v>
      </c>
      <c r="BL243" s="208">
        <v>236</v>
      </c>
      <c r="BM243" s="224"/>
      <c r="BN243" s="201"/>
      <c r="BO243" s="201"/>
      <c r="BP243" s="201"/>
    </row>
    <row r="244" spans="1:68" ht="15.5">
      <c r="A244" s="141">
        <v>9</v>
      </c>
      <c r="B244" s="38">
        <v>58</v>
      </c>
      <c r="C244" s="351">
        <v>46274</v>
      </c>
      <c r="D244" s="174">
        <f t="shared" si="38"/>
        <v>-46274</v>
      </c>
      <c r="E244" s="38" t="s">
        <v>72</v>
      </c>
      <c r="F244" s="302"/>
      <c r="G244" s="303"/>
      <c r="H244" s="304">
        <v>46275</v>
      </c>
      <c r="I244" s="148">
        <v>30</v>
      </c>
      <c r="J244" s="155">
        <v>240</v>
      </c>
      <c r="K244" s="138">
        <v>9.5750000000000002E-2</v>
      </c>
      <c r="L244" s="8">
        <v>0.37250000000000005</v>
      </c>
      <c r="M244" s="8">
        <v>0.26</v>
      </c>
      <c r="N244" s="139">
        <v>40.25</v>
      </c>
      <c r="O244" s="139">
        <f t="shared" si="39"/>
        <v>30.288125000000001</v>
      </c>
      <c r="P244" s="139">
        <v>75.25</v>
      </c>
      <c r="Q244" s="8">
        <v>0.25</v>
      </c>
      <c r="R244" s="140">
        <v>73</v>
      </c>
      <c r="S244" s="141" t="s">
        <v>427</v>
      </c>
      <c r="T244" s="141" t="s">
        <v>458</v>
      </c>
      <c r="U244" s="141" t="s">
        <v>583</v>
      </c>
      <c r="V244" s="156"/>
      <c r="W244" s="133">
        <f t="shared" ref="W244:X260" si="43">I244</f>
        <v>30</v>
      </c>
      <c r="X244" s="155">
        <f t="shared" si="43"/>
        <v>240</v>
      </c>
      <c r="Y244" s="138"/>
      <c r="Z244" s="8"/>
      <c r="AA244" s="8"/>
      <c r="AB244" s="139"/>
      <c r="AC244" s="139"/>
      <c r="AD244" s="139"/>
      <c r="AE244" s="8"/>
      <c r="AF244" s="140"/>
      <c r="AG244" s="141" t="s">
        <v>427</v>
      </c>
      <c r="AH244" s="141" t="s">
        <v>458</v>
      </c>
      <c r="AI244" s="352"/>
      <c r="AJ244" s="141"/>
      <c r="AK244" s="141"/>
      <c r="AL244" s="141"/>
      <c r="AM244" s="141"/>
      <c r="AN244" s="141"/>
      <c r="AO244" s="141"/>
      <c r="AP244" s="141"/>
      <c r="AQ244" s="141"/>
      <c r="AR244" s="141"/>
      <c r="AS244" s="141"/>
      <c r="AT244" s="141"/>
      <c r="AU244" s="476" t="str">
        <f t="shared" si="42"/>
        <v>Ok</v>
      </c>
      <c r="AV244" s="141"/>
      <c r="AW244" s="310">
        <f t="shared" si="36"/>
        <v>30</v>
      </c>
      <c r="AX244" s="155">
        <f t="shared" si="37"/>
        <v>240</v>
      </c>
      <c r="AY244" s="311"/>
      <c r="AZ244" s="311"/>
      <c r="BA244" s="311"/>
      <c r="BB244" s="311"/>
      <c r="BC244" s="311"/>
      <c r="BD244" s="141"/>
      <c r="BE244" s="141"/>
      <c r="BF244" s="141"/>
      <c r="BG244" s="141"/>
      <c r="BH244" s="23"/>
      <c r="BI244" s="133">
        <f t="shared" ref="BI244:BJ260" si="44">AW244</f>
        <v>30</v>
      </c>
      <c r="BJ244" s="155">
        <f t="shared" si="44"/>
        <v>240</v>
      </c>
      <c r="BK244" s="312"/>
      <c r="BL244" s="155"/>
      <c r="BM244" s="200"/>
      <c r="BN244" s="141"/>
      <c r="BO244" s="141"/>
      <c r="BP244" s="141"/>
    </row>
    <row r="245" spans="1:68" ht="15.5">
      <c r="A245" s="201">
        <v>9</v>
      </c>
      <c r="B245" s="204">
        <v>58</v>
      </c>
      <c r="C245" s="203">
        <v>46274</v>
      </c>
      <c r="D245" s="491">
        <f t="shared" si="38"/>
        <v>14</v>
      </c>
      <c r="E245" s="204" t="s">
        <v>72</v>
      </c>
      <c r="F245" s="205"/>
      <c r="G245" s="206"/>
      <c r="H245" s="207">
        <v>46275</v>
      </c>
      <c r="I245" s="494">
        <v>31</v>
      </c>
      <c r="J245" s="208">
        <v>241</v>
      </c>
      <c r="K245" s="209">
        <v>2.9249999999999998E-2</v>
      </c>
      <c r="L245" s="210">
        <v>0.34250000000000003</v>
      </c>
      <c r="M245" s="210">
        <v>0.18</v>
      </c>
      <c r="N245" s="211">
        <v>40</v>
      </c>
      <c r="O245" s="211">
        <f t="shared" si="39"/>
        <v>29.8</v>
      </c>
      <c r="P245" s="211">
        <v>74.5</v>
      </c>
      <c r="Q245" s="210">
        <v>0.22</v>
      </c>
      <c r="R245" s="212">
        <v>75.5</v>
      </c>
      <c r="S245" s="201" t="s">
        <v>427</v>
      </c>
      <c r="T245" s="201" t="s">
        <v>458</v>
      </c>
      <c r="U245" s="201" t="s">
        <v>583</v>
      </c>
      <c r="V245" s="343"/>
      <c r="W245" s="215">
        <f t="shared" si="43"/>
        <v>31</v>
      </c>
      <c r="X245" s="208">
        <f t="shared" si="43"/>
        <v>241</v>
      </c>
      <c r="Y245" s="209"/>
      <c r="Z245" s="210"/>
      <c r="AA245" s="210"/>
      <c r="AB245" s="211"/>
      <c r="AC245" s="211"/>
      <c r="AD245" s="211"/>
      <c r="AE245" s="210"/>
      <c r="AF245" s="212"/>
      <c r="AG245" s="201" t="s">
        <v>427</v>
      </c>
      <c r="AH245" s="201" t="s">
        <v>458</v>
      </c>
      <c r="AI245" s="346"/>
      <c r="AJ245" s="201"/>
      <c r="AK245" s="201"/>
      <c r="AL245" s="201"/>
      <c r="AM245" s="201"/>
      <c r="AN245" s="201"/>
      <c r="AO245" s="201"/>
      <c r="AP245" s="201"/>
      <c r="AQ245" s="201"/>
      <c r="AR245" s="201"/>
      <c r="AS245" s="201"/>
      <c r="AT245" s="201"/>
      <c r="AU245" s="476" t="str">
        <f t="shared" si="42"/>
        <v>Ok</v>
      </c>
      <c r="AV245" s="201"/>
      <c r="AW245" s="221">
        <f t="shared" si="36"/>
        <v>31</v>
      </c>
      <c r="AX245" s="208">
        <f t="shared" si="37"/>
        <v>241</v>
      </c>
      <c r="AY245" s="222"/>
      <c r="AZ245" s="222"/>
      <c r="BA245" s="222"/>
      <c r="BB245" s="222"/>
      <c r="BC245" s="222"/>
      <c r="BD245" s="201"/>
      <c r="BE245" s="201"/>
      <c r="BF245" s="201"/>
      <c r="BG245" s="201"/>
      <c r="BH245" s="455">
        <v>46288</v>
      </c>
      <c r="BI245" s="215">
        <f t="shared" si="44"/>
        <v>31</v>
      </c>
      <c r="BJ245" s="208">
        <f t="shared" si="44"/>
        <v>241</v>
      </c>
      <c r="BK245" s="223">
        <v>27</v>
      </c>
      <c r="BL245" s="208">
        <v>238</v>
      </c>
      <c r="BM245" s="224"/>
      <c r="BN245" s="201"/>
      <c r="BO245" s="201"/>
      <c r="BP245" s="201"/>
    </row>
    <row r="246" spans="1:68" ht="15.5">
      <c r="A246" s="201">
        <v>9</v>
      </c>
      <c r="B246" s="204" t="s">
        <v>800</v>
      </c>
      <c r="C246" s="203">
        <v>46275</v>
      </c>
      <c r="D246" s="491">
        <f t="shared" si="38"/>
        <v>12</v>
      </c>
      <c r="E246" s="204" t="s">
        <v>72</v>
      </c>
      <c r="F246" s="205"/>
      <c r="G246" s="206"/>
      <c r="H246" s="207">
        <v>46276</v>
      </c>
      <c r="I246" s="494">
        <v>31</v>
      </c>
      <c r="J246" s="208">
        <v>242</v>
      </c>
      <c r="K246" s="209">
        <v>2.9499999999999998E-2</v>
      </c>
      <c r="L246" s="210">
        <v>0.34249999999999997</v>
      </c>
      <c r="M246" s="210">
        <v>0.31</v>
      </c>
      <c r="N246" s="211">
        <v>35</v>
      </c>
      <c r="O246" s="211">
        <f t="shared" si="39"/>
        <v>26.6</v>
      </c>
      <c r="P246" s="211">
        <v>76</v>
      </c>
      <c r="Q246" s="210">
        <v>0.22</v>
      </c>
      <c r="R246" s="212">
        <v>74.5</v>
      </c>
      <c r="S246" s="201" t="s">
        <v>584</v>
      </c>
      <c r="T246" s="201" t="s">
        <v>458</v>
      </c>
      <c r="U246" s="201"/>
      <c r="V246" s="343"/>
      <c r="W246" s="215">
        <f t="shared" si="43"/>
        <v>31</v>
      </c>
      <c r="X246" s="208">
        <f t="shared" si="43"/>
        <v>242</v>
      </c>
      <c r="Y246" s="209"/>
      <c r="Z246" s="210"/>
      <c r="AA246" s="210"/>
      <c r="AB246" s="211"/>
      <c r="AC246" s="211"/>
      <c r="AD246" s="211"/>
      <c r="AE246" s="210"/>
      <c r="AF246" s="212"/>
      <c r="AG246" s="201" t="s">
        <v>584</v>
      </c>
      <c r="AH246" s="201" t="s">
        <v>458</v>
      </c>
      <c r="AI246" s="347">
        <v>46280</v>
      </c>
      <c r="AJ246" s="201"/>
      <c r="AK246" s="201"/>
      <c r="AL246" s="201"/>
      <c r="AM246" s="201"/>
      <c r="AN246" s="201"/>
      <c r="AO246" s="201"/>
      <c r="AP246" s="201" t="s">
        <v>458</v>
      </c>
      <c r="AQ246" s="201"/>
      <c r="AR246" s="201"/>
      <c r="AS246" s="201"/>
      <c r="AT246" s="201"/>
      <c r="AU246" s="476" t="str">
        <f t="shared" si="42"/>
        <v>Ok</v>
      </c>
      <c r="AV246" s="201"/>
      <c r="AW246" s="221">
        <f t="shared" si="36"/>
        <v>31</v>
      </c>
      <c r="AX246" s="208">
        <f t="shared" si="37"/>
        <v>242</v>
      </c>
      <c r="AY246" s="222"/>
      <c r="AZ246" s="222"/>
      <c r="BA246" s="222"/>
      <c r="BB246" s="222"/>
      <c r="BC246" s="222"/>
      <c r="BD246" s="201"/>
      <c r="BE246" s="201"/>
      <c r="BF246" s="201"/>
      <c r="BG246" s="201"/>
      <c r="BH246" s="455">
        <v>46287</v>
      </c>
      <c r="BI246" s="215">
        <f t="shared" si="44"/>
        <v>31</v>
      </c>
      <c r="BJ246" s="208">
        <f t="shared" si="44"/>
        <v>242</v>
      </c>
      <c r="BK246" s="223">
        <v>26</v>
      </c>
      <c r="BL246" s="208">
        <v>228</v>
      </c>
      <c r="BM246" s="224"/>
      <c r="BN246" s="201"/>
      <c r="BO246" s="201"/>
      <c r="BP246" s="201"/>
    </row>
    <row r="247" spans="1:68" ht="15.5">
      <c r="A247" s="201">
        <v>9</v>
      </c>
      <c r="B247" s="204">
        <v>59</v>
      </c>
      <c r="C247" s="203">
        <v>46275</v>
      </c>
      <c r="D247" s="491">
        <f t="shared" si="38"/>
        <v>13</v>
      </c>
      <c r="E247" s="204" t="s">
        <v>72</v>
      </c>
      <c r="F247" s="205"/>
      <c r="G247" s="206"/>
      <c r="H247" s="207">
        <v>46276</v>
      </c>
      <c r="I247" s="494">
        <v>31</v>
      </c>
      <c r="J247" s="208">
        <v>243</v>
      </c>
      <c r="K247" s="209">
        <v>5.9249999999999997E-2</v>
      </c>
      <c r="L247" s="210">
        <v>0.26500000000000001</v>
      </c>
      <c r="M247" s="210">
        <v>0.48</v>
      </c>
      <c r="N247" s="211">
        <v>37.25</v>
      </c>
      <c r="O247" s="211">
        <f t="shared" si="39"/>
        <v>27.9375</v>
      </c>
      <c r="P247" s="211">
        <v>75</v>
      </c>
      <c r="Q247" s="210">
        <v>0.22</v>
      </c>
      <c r="R247" s="212">
        <v>74.5</v>
      </c>
      <c r="S247" s="201" t="s">
        <v>584</v>
      </c>
      <c r="T247" s="201" t="s">
        <v>458</v>
      </c>
      <c r="U247" s="201"/>
      <c r="V247" s="343"/>
      <c r="W247" s="215">
        <f t="shared" si="43"/>
        <v>31</v>
      </c>
      <c r="X247" s="208">
        <f t="shared" si="43"/>
        <v>243</v>
      </c>
      <c r="Y247" s="209"/>
      <c r="Z247" s="210"/>
      <c r="AA247" s="210"/>
      <c r="AB247" s="211"/>
      <c r="AC247" s="211"/>
      <c r="AD247" s="211"/>
      <c r="AE247" s="210"/>
      <c r="AF247" s="212"/>
      <c r="AG247" s="201" t="s">
        <v>584</v>
      </c>
      <c r="AH247" s="201" t="s">
        <v>458</v>
      </c>
      <c r="AI247" s="346"/>
      <c r="AJ247" s="201"/>
      <c r="AK247" s="201"/>
      <c r="AL247" s="201"/>
      <c r="AM247" s="201"/>
      <c r="AN247" s="201"/>
      <c r="AO247" s="201"/>
      <c r="AP247" s="201"/>
      <c r="AQ247" s="201"/>
      <c r="AR247" s="201"/>
      <c r="AS247" s="201"/>
      <c r="AT247" s="201"/>
      <c r="AU247" s="476" t="str">
        <f t="shared" si="42"/>
        <v>Ok</v>
      </c>
      <c r="AV247" s="201"/>
      <c r="AW247" s="221">
        <f t="shared" si="36"/>
        <v>31</v>
      </c>
      <c r="AX247" s="208">
        <f t="shared" si="37"/>
        <v>243</v>
      </c>
      <c r="AY247" s="222"/>
      <c r="AZ247" s="222"/>
      <c r="BA247" s="222"/>
      <c r="BB247" s="222"/>
      <c r="BC247" s="222"/>
      <c r="BD247" s="201"/>
      <c r="BE247" s="201"/>
      <c r="BF247" s="201"/>
      <c r="BG247" s="201"/>
      <c r="BH247" s="455">
        <v>46288</v>
      </c>
      <c r="BI247" s="215">
        <f t="shared" si="44"/>
        <v>31</v>
      </c>
      <c r="BJ247" s="208">
        <f t="shared" si="44"/>
        <v>243</v>
      </c>
      <c r="BK247" s="223">
        <v>27</v>
      </c>
      <c r="BL247" s="208">
        <v>239</v>
      </c>
      <c r="BM247" s="224"/>
      <c r="BN247" s="201"/>
      <c r="BO247" s="201"/>
      <c r="BP247" s="201"/>
    </row>
    <row r="248" spans="1:68" ht="15.5">
      <c r="A248" s="201">
        <v>9</v>
      </c>
      <c r="B248" s="204">
        <v>59</v>
      </c>
      <c r="C248" s="203">
        <v>46275</v>
      </c>
      <c r="D248" s="491">
        <f t="shared" si="38"/>
        <v>12</v>
      </c>
      <c r="E248" s="204" t="s">
        <v>72</v>
      </c>
      <c r="F248" s="205"/>
      <c r="G248" s="206"/>
      <c r="H248" s="207">
        <v>46276</v>
      </c>
      <c r="I248" s="494">
        <v>31</v>
      </c>
      <c r="J248" s="208">
        <v>244</v>
      </c>
      <c r="K248" s="209">
        <v>4.9250000000000002E-2</v>
      </c>
      <c r="L248" s="210">
        <v>0.29249999999999998</v>
      </c>
      <c r="M248" s="210">
        <v>0.55000000000000004</v>
      </c>
      <c r="N248" s="211">
        <v>39</v>
      </c>
      <c r="O248" s="211">
        <f t="shared" si="39"/>
        <v>29.1525</v>
      </c>
      <c r="P248" s="211">
        <v>74.75</v>
      </c>
      <c r="Q248" s="210">
        <v>0.22</v>
      </c>
      <c r="R248" s="212">
        <v>74.5</v>
      </c>
      <c r="S248" s="201" t="s">
        <v>427</v>
      </c>
      <c r="T248" s="201" t="s">
        <v>458</v>
      </c>
      <c r="U248" s="201" t="s">
        <v>583</v>
      </c>
      <c r="V248" s="343"/>
      <c r="W248" s="215">
        <f t="shared" si="43"/>
        <v>31</v>
      </c>
      <c r="X248" s="208">
        <f t="shared" si="43"/>
        <v>244</v>
      </c>
      <c r="Y248" s="209"/>
      <c r="Z248" s="210"/>
      <c r="AA248" s="210"/>
      <c r="AB248" s="211"/>
      <c r="AC248" s="211"/>
      <c r="AD248" s="211"/>
      <c r="AE248" s="210"/>
      <c r="AF248" s="212"/>
      <c r="AG248" s="201" t="s">
        <v>427</v>
      </c>
      <c r="AH248" s="201" t="s">
        <v>458</v>
      </c>
      <c r="AI248" s="347">
        <v>46280</v>
      </c>
      <c r="AJ248" s="201"/>
      <c r="AK248" s="201"/>
      <c r="AL248" s="201"/>
      <c r="AM248" s="201"/>
      <c r="AN248" s="201"/>
      <c r="AO248" s="201"/>
      <c r="AP248" s="201" t="s">
        <v>458</v>
      </c>
      <c r="AQ248" s="201"/>
      <c r="AR248" s="201"/>
      <c r="AS248" s="201"/>
      <c r="AT248" s="201"/>
      <c r="AU248" s="476" t="str">
        <f t="shared" si="42"/>
        <v>Ok</v>
      </c>
      <c r="AV248" s="201"/>
      <c r="AW248" s="221">
        <f t="shared" si="36"/>
        <v>31</v>
      </c>
      <c r="AX248" s="208">
        <f t="shared" si="37"/>
        <v>244</v>
      </c>
      <c r="AY248" s="222"/>
      <c r="AZ248" s="222"/>
      <c r="BA248" s="222"/>
      <c r="BB248" s="222"/>
      <c r="BC248" s="222"/>
      <c r="BD248" s="201"/>
      <c r="BE248" s="201"/>
      <c r="BF248" s="201"/>
      <c r="BG248" s="201"/>
      <c r="BH248" s="455">
        <v>46287</v>
      </c>
      <c r="BI248" s="215">
        <f t="shared" si="44"/>
        <v>31</v>
      </c>
      <c r="BJ248" s="208">
        <f t="shared" si="44"/>
        <v>244</v>
      </c>
      <c r="BK248" s="223">
        <v>26</v>
      </c>
      <c r="BL248" s="208">
        <v>229</v>
      </c>
      <c r="BM248" s="224"/>
      <c r="BN248" s="201"/>
      <c r="BO248" s="201"/>
      <c r="BP248" s="201"/>
    </row>
    <row r="249" spans="1:68" ht="15.5">
      <c r="A249" s="201">
        <v>9</v>
      </c>
      <c r="B249" s="204">
        <v>59</v>
      </c>
      <c r="C249" s="203">
        <v>46275</v>
      </c>
      <c r="D249" s="491">
        <f t="shared" si="38"/>
        <v>12</v>
      </c>
      <c r="E249" s="204" t="s">
        <v>72</v>
      </c>
      <c r="F249" s="205"/>
      <c r="G249" s="206"/>
      <c r="H249" s="207">
        <v>46276</v>
      </c>
      <c r="I249" s="494">
        <v>31</v>
      </c>
      <c r="J249" s="208">
        <v>245</v>
      </c>
      <c r="K249" s="209">
        <v>0.10375</v>
      </c>
      <c r="L249" s="210">
        <v>0.31</v>
      </c>
      <c r="M249" s="210">
        <v>0.31</v>
      </c>
      <c r="N249" s="211">
        <v>40.75</v>
      </c>
      <c r="O249" s="211">
        <f t="shared" si="39"/>
        <v>29.747499999999999</v>
      </c>
      <c r="P249" s="211">
        <v>73</v>
      </c>
      <c r="Q249" s="210">
        <v>0.22</v>
      </c>
      <c r="R249" s="212">
        <v>74.5</v>
      </c>
      <c r="S249" s="201" t="s">
        <v>427</v>
      </c>
      <c r="T249" s="201" t="s">
        <v>458</v>
      </c>
      <c r="U249" s="201" t="s">
        <v>583</v>
      </c>
      <c r="V249" s="343"/>
      <c r="W249" s="215">
        <f t="shared" si="43"/>
        <v>31</v>
      </c>
      <c r="X249" s="208">
        <f t="shared" si="43"/>
        <v>245</v>
      </c>
      <c r="Y249" s="209"/>
      <c r="Z249" s="210"/>
      <c r="AA249" s="210"/>
      <c r="AB249" s="211"/>
      <c r="AC249" s="211"/>
      <c r="AD249" s="211"/>
      <c r="AE249" s="210"/>
      <c r="AF249" s="212"/>
      <c r="AG249" s="201" t="s">
        <v>427</v>
      </c>
      <c r="AH249" s="201" t="s">
        <v>458</v>
      </c>
      <c r="AI249" s="347">
        <v>46280</v>
      </c>
      <c r="AJ249" s="201"/>
      <c r="AK249" s="201"/>
      <c r="AL249" s="201"/>
      <c r="AM249" s="201"/>
      <c r="AN249" s="201"/>
      <c r="AO249" s="201"/>
      <c r="AP249" s="201" t="s">
        <v>458</v>
      </c>
      <c r="AQ249" s="201"/>
      <c r="AR249" s="201"/>
      <c r="AS249" s="201"/>
      <c r="AT249" s="201"/>
      <c r="AU249" s="476" t="str">
        <f t="shared" si="42"/>
        <v>Ok</v>
      </c>
      <c r="AV249" s="201"/>
      <c r="AW249" s="221">
        <f t="shared" si="36"/>
        <v>31</v>
      </c>
      <c r="AX249" s="208">
        <f t="shared" si="37"/>
        <v>245</v>
      </c>
      <c r="AY249" s="222"/>
      <c r="AZ249" s="222"/>
      <c r="BA249" s="222"/>
      <c r="BB249" s="222"/>
      <c r="BC249" s="222"/>
      <c r="BD249" s="201"/>
      <c r="BE249" s="201"/>
      <c r="BF249" s="201"/>
      <c r="BG249" s="201"/>
      <c r="BH249" s="455">
        <v>46287</v>
      </c>
      <c r="BI249" s="215">
        <f t="shared" si="44"/>
        <v>31</v>
      </c>
      <c r="BJ249" s="208">
        <f t="shared" si="44"/>
        <v>245</v>
      </c>
      <c r="BK249" s="223">
        <v>26</v>
      </c>
      <c r="BL249" s="208">
        <v>230</v>
      </c>
      <c r="BM249" s="224"/>
      <c r="BN249" s="201"/>
      <c r="BO249" s="201"/>
      <c r="BP249" s="201"/>
    </row>
    <row r="250" spans="1:68" ht="15.5">
      <c r="A250" s="201">
        <v>9</v>
      </c>
      <c r="B250" s="204">
        <v>59</v>
      </c>
      <c r="C250" s="203">
        <v>46275</v>
      </c>
      <c r="D250" s="491">
        <f t="shared" si="38"/>
        <v>12</v>
      </c>
      <c r="E250" s="204" t="s">
        <v>72</v>
      </c>
      <c r="F250" s="205"/>
      <c r="G250" s="206"/>
      <c r="H250" s="207">
        <v>46276</v>
      </c>
      <c r="I250" s="494">
        <v>31</v>
      </c>
      <c r="J250" s="208">
        <v>246</v>
      </c>
      <c r="K250" s="209">
        <v>0.1135</v>
      </c>
      <c r="L250" s="210">
        <v>0.32</v>
      </c>
      <c r="M250" s="210">
        <v>0.32</v>
      </c>
      <c r="N250" s="211">
        <v>39</v>
      </c>
      <c r="O250" s="211">
        <f t="shared" si="39"/>
        <v>29.1525</v>
      </c>
      <c r="P250" s="211">
        <v>74.75</v>
      </c>
      <c r="Q250" s="210">
        <v>0.22</v>
      </c>
      <c r="R250" s="212">
        <v>74.5</v>
      </c>
      <c r="S250" s="201" t="s">
        <v>427</v>
      </c>
      <c r="T250" s="201" t="s">
        <v>458</v>
      </c>
      <c r="U250" s="201" t="s">
        <v>583</v>
      </c>
      <c r="V250" s="343"/>
      <c r="W250" s="215">
        <f t="shared" si="43"/>
        <v>31</v>
      </c>
      <c r="X250" s="208">
        <f t="shared" si="43"/>
        <v>246</v>
      </c>
      <c r="Y250" s="209"/>
      <c r="Z250" s="210"/>
      <c r="AA250" s="210"/>
      <c r="AB250" s="211"/>
      <c r="AC250" s="211"/>
      <c r="AD250" s="211"/>
      <c r="AE250" s="210"/>
      <c r="AF250" s="212"/>
      <c r="AG250" s="201" t="s">
        <v>427</v>
      </c>
      <c r="AH250" s="201" t="s">
        <v>458</v>
      </c>
      <c r="AI250" s="347">
        <v>46280</v>
      </c>
      <c r="AJ250" s="201"/>
      <c r="AK250" s="201"/>
      <c r="AL250" s="201"/>
      <c r="AM250" s="201"/>
      <c r="AN250" s="201"/>
      <c r="AO250" s="201"/>
      <c r="AP250" s="201" t="s">
        <v>458</v>
      </c>
      <c r="AQ250" s="201"/>
      <c r="AR250" s="201"/>
      <c r="AS250" s="201"/>
      <c r="AT250" s="201"/>
      <c r="AU250" s="476" t="str">
        <f t="shared" si="42"/>
        <v>Ok</v>
      </c>
      <c r="AV250" s="201"/>
      <c r="AW250" s="221">
        <f t="shared" si="36"/>
        <v>31</v>
      </c>
      <c r="AX250" s="208">
        <f t="shared" si="37"/>
        <v>246</v>
      </c>
      <c r="AY250" s="222"/>
      <c r="AZ250" s="222"/>
      <c r="BA250" s="222"/>
      <c r="BB250" s="222"/>
      <c r="BC250" s="222"/>
      <c r="BD250" s="201"/>
      <c r="BE250" s="201"/>
      <c r="BF250" s="201"/>
      <c r="BG250" s="201"/>
      <c r="BH250" s="455">
        <v>46287</v>
      </c>
      <c r="BI250" s="215">
        <f t="shared" si="44"/>
        <v>31</v>
      </c>
      <c r="BJ250" s="208">
        <f t="shared" si="44"/>
        <v>246</v>
      </c>
      <c r="BK250" s="223">
        <v>26</v>
      </c>
      <c r="BL250" s="208">
        <v>231</v>
      </c>
      <c r="BM250" s="224"/>
      <c r="BN250" s="201"/>
      <c r="BO250" s="201"/>
      <c r="BP250" s="201"/>
    </row>
    <row r="251" spans="1:68" ht="15.5">
      <c r="A251" s="201">
        <v>9</v>
      </c>
      <c r="B251" s="204">
        <v>59</v>
      </c>
      <c r="C251" s="203">
        <v>46275</v>
      </c>
      <c r="D251" s="491">
        <f t="shared" si="38"/>
        <v>13</v>
      </c>
      <c r="E251" s="204" t="s">
        <v>72</v>
      </c>
      <c r="F251" s="205"/>
      <c r="G251" s="206"/>
      <c r="H251" s="207">
        <v>46276</v>
      </c>
      <c r="I251" s="494">
        <v>31</v>
      </c>
      <c r="J251" s="208">
        <v>247</v>
      </c>
      <c r="K251" s="209">
        <v>5.3999999999999999E-2</v>
      </c>
      <c r="L251" s="210">
        <v>0.33250000000000002</v>
      </c>
      <c r="M251" s="210">
        <v>0.3</v>
      </c>
      <c r="N251" s="211">
        <v>37.75</v>
      </c>
      <c r="O251" s="211">
        <f t="shared" si="39"/>
        <v>28.3125</v>
      </c>
      <c r="P251" s="211">
        <v>75</v>
      </c>
      <c r="Q251" s="210">
        <v>0.22</v>
      </c>
      <c r="R251" s="212">
        <v>74.5</v>
      </c>
      <c r="S251" s="201" t="s">
        <v>584</v>
      </c>
      <c r="T251" s="201" t="s">
        <v>458</v>
      </c>
      <c r="U251" s="201"/>
      <c r="V251" s="343"/>
      <c r="W251" s="215">
        <f t="shared" si="43"/>
        <v>31</v>
      </c>
      <c r="X251" s="208">
        <f t="shared" si="43"/>
        <v>247</v>
      </c>
      <c r="Y251" s="209"/>
      <c r="Z251" s="210"/>
      <c r="AA251" s="210"/>
      <c r="AB251" s="211"/>
      <c r="AC251" s="211"/>
      <c r="AD251" s="211"/>
      <c r="AE251" s="210"/>
      <c r="AF251" s="212"/>
      <c r="AG251" s="201" t="s">
        <v>584</v>
      </c>
      <c r="AH251" s="201" t="s">
        <v>458</v>
      </c>
      <c r="AI251" s="347">
        <v>46280</v>
      </c>
      <c r="AJ251" s="201"/>
      <c r="AK251" s="201"/>
      <c r="AL251" s="201"/>
      <c r="AM251" s="201"/>
      <c r="AN251" s="201"/>
      <c r="AO251" s="201"/>
      <c r="AP251" s="201" t="s">
        <v>458</v>
      </c>
      <c r="AQ251" s="201"/>
      <c r="AR251" s="201"/>
      <c r="AS251" s="201"/>
      <c r="AT251" s="201"/>
      <c r="AU251" s="476" t="str">
        <f t="shared" si="42"/>
        <v>Ok</v>
      </c>
      <c r="AV251" s="201"/>
      <c r="AW251" s="221">
        <f t="shared" si="36"/>
        <v>31</v>
      </c>
      <c r="AX251" s="208">
        <f t="shared" si="37"/>
        <v>247</v>
      </c>
      <c r="AY251" s="222"/>
      <c r="AZ251" s="222"/>
      <c r="BA251" s="222"/>
      <c r="BB251" s="222"/>
      <c r="BC251" s="222"/>
      <c r="BD251" s="201"/>
      <c r="BE251" s="201"/>
      <c r="BF251" s="201"/>
      <c r="BG251" s="201"/>
      <c r="BH251" s="455">
        <v>46288</v>
      </c>
      <c r="BI251" s="215">
        <f t="shared" si="44"/>
        <v>31</v>
      </c>
      <c r="BJ251" s="208">
        <f t="shared" si="44"/>
        <v>247</v>
      </c>
      <c r="BK251" s="223">
        <v>27</v>
      </c>
      <c r="BL251" s="208">
        <v>240</v>
      </c>
      <c r="BM251" s="224"/>
      <c r="BN251" s="201"/>
      <c r="BO251" s="201"/>
      <c r="BP251" s="201"/>
    </row>
    <row r="252" spans="1:68" ht="15.5">
      <c r="A252" s="201">
        <v>9</v>
      </c>
      <c r="B252" s="204">
        <v>59</v>
      </c>
      <c r="C252" s="203">
        <v>46275</v>
      </c>
      <c r="D252" s="491">
        <f t="shared" si="38"/>
        <v>13</v>
      </c>
      <c r="E252" s="204" t="s">
        <v>72</v>
      </c>
      <c r="F252" s="205"/>
      <c r="G252" s="206"/>
      <c r="H252" s="207">
        <v>46276</v>
      </c>
      <c r="I252" s="494">
        <v>31</v>
      </c>
      <c r="J252" s="208">
        <v>248</v>
      </c>
      <c r="K252" s="209">
        <v>7.825E-2</v>
      </c>
      <c r="L252" s="210">
        <v>0.34</v>
      </c>
      <c r="M252" s="210">
        <v>0.35</v>
      </c>
      <c r="N252" s="211">
        <v>38</v>
      </c>
      <c r="O252" s="211">
        <f t="shared" si="39"/>
        <v>29.355</v>
      </c>
      <c r="P252" s="211">
        <v>77.25</v>
      </c>
      <c r="Q252" s="210">
        <v>0.22</v>
      </c>
      <c r="R252" s="212">
        <v>74.5</v>
      </c>
      <c r="S252" s="201" t="s">
        <v>584</v>
      </c>
      <c r="T252" s="201" t="s">
        <v>458</v>
      </c>
      <c r="U252" s="201"/>
      <c r="V252" s="343"/>
      <c r="W252" s="215">
        <f t="shared" si="43"/>
        <v>31</v>
      </c>
      <c r="X252" s="208">
        <f t="shared" si="43"/>
        <v>248</v>
      </c>
      <c r="Y252" s="209"/>
      <c r="Z252" s="210"/>
      <c r="AA252" s="210"/>
      <c r="AB252" s="211"/>
      <c r="AC252" s="211"/>
      <c r="AD252" s="211"/>
      <c r="AE252" s="210"/>
      <c r="AF252" s="212"/>
      <c r="AG252" s="201" t="s">
        <v>584</v>
      </c>
      <c r="AH252" s="201" t="s">
        <v>458</v>
      </c>
      <c r="AI252" s="347">
        <v>46280</v>
      </c>
      <c r="AJ252" s="201"/>
      <c r="AK252" s="201"/>
      <c r="AL252" s="201"/>
      <c r="AM252" s="201"/>
      <c r="AN252" s="201"/>
      <c r="AO252" s="201"/>
      <c r="AP252" s="201" t="s">
        <v>458</v>
      </c>
      <c r="AQ252" s="201"/>
      <c r="AR252" s="201"/>
      <c r="AS252" s="201"/>
      <c r="AT252" s="201"/>
      <c r="AU252" s="476" t="str">
        <f t="shared" si="42"/>
        <v>Ok</v>
      </c>
      <c r="AV252" s="201"/>
      <c r="AW252" s="221">
        <f t="shared" si="36"/>
        <v>31</v>
      </c>
      <c r="AX252" s="208">
        <f t="shared" si="37"/>
        <v>248</v>
      </c>
      <c r="AY252" s="222"/>
      <c r="AZ252" s="222"/>
      <c r="BA252" s="222"/>
      <c r="BB252" s="222"/>
      <c r="BC252" s="222"/>
      <c r="BD252" s="201"/>
      <c r="BE252" s="201"/>
      <c r="BF252" s="201"/>
      <c r="BG252" s="201"/>
      <c r="BH252" s="455">
        <v>46288</v>
      </c>
      <c r="BI252" s="215">
        <f t="shared" si="44"/>
        <v>31</v>
      </c>
      <c r="BJ252" s="208">
        <f t="shared" si="44"/>
        <v>248</v>
      </c>
      <c r="BK252" s="223">
        <v>27</v>
      </c>
      <c r="BL252" s="208">
        <v>241</v>
      </c>
      <c r="BM252" s="224"/>
      <c r="BN252" s="201"/>
      <c r="BO252" s="201"/>
      <c r="BP252" s="201"/>
    </row>
    <row r="253" spans="1:68" ht="15.5">
      <c r="A253" s="201">
        <v>9</v>
      </c>
      <c r="B253" s="204">
        <v>60</v>
      </c>
      <c r="C253" s="203">
        <v>46276</v>
      </c>
      <c r="D253" s="491">
        <f t="shared" si="38"/>
        <v>12</v>
      </c>
      <c r="E253" s="204" t="s">
        <v>72</v>
      </c>
      <c r="F253" s="205"/>
      <c r="G253" s="206"/>
      <c r="H253" s="207">
        <v>46277</v>
      </c>
      <c r="I253" s="494">
        <v>32</v>
      </c>
      <c r="J253" s="208">
        <v>249</v>
      </c>
      <c r="K253" s="209">
        <v>8.6749999999999994E-2</v>
      </c>
      <c r="L253" s="210">
        <v>0.29499999999999998</v>
      </c>
      <c r="M253" s="210">
        <v>0.43</v>
      </c>
      <c r="N253" s="211">
        <v>41.25</v>
      </c>
      <c r="O253" s="211">
        <f t="shared" si="39"/>
        <v>31.762499999999999</v>
      </c>
      <c r="P253" s="211">
        <v>77</v>
      </c>
      <c r="Q253" s="210">
        <v>0.22</v>
      </c>
      <c r="R253" s="212">
        <v>71.5</v>
      </c>
      <c r="S253" s="201" t="s">
        <v>427</v>
      </c>
      <c r="T253" s="201" t="s">
        <v>458</v>
      </c>
      <c r="U253" s="201" t="s">
        <v>583</v>
      </c>
      <c r="V253" s="343"/>
      <c r="W253" s="215">
        <f t="shared" si="43"/>
        <v>32</v>
      </c>
      <c r="X253" s="208">
        <f t="shared" si="43"/>
        <v>249</v>
      </c>
      <c r="Y253" s="209"/>
      <c r="Z253" s="210"/>
      <c r="AA253" s="210"/>
      <c r="AB253" s="211"/>
      <c r="AC253" s="211"/>
      <c r="AD253" s="211"/>
      <c r="AE253" s="210"/>
      <c r="AF253" s="212"/>
      <c r="AG253" s="201" t="s">
        <v>427</v>
      </c>
      <c r="AH253" s="201" t="s">
        <v>458</v>
      </c>
      <c r="AI253" s="347">
        <v>46280</v>
      </c>
      <c r="AJ253" s="201"/>
      <c r="AK253" s="201"/>
      <c r="AL253" s="201"/>
      <c r="AM253" s="201"/>
      <c r="AN253" s="201"/>
      <c r="AO253" s="201"/>
      <c r="AP253" s="201" t="s">
        <v>458</v>
      </c>
      <c r="AQ253" s="201"/>
      <c r="AR253" s="201"/>
      <c r="AS253" s="201"/>
      <c r="AT253" s="201"/>
      <c r="AU253" s="476" t="str">
        <f t="shared" si="42"/>
        <v>Ok</v>
      </c>
      <c r="AV253" s="201"/>
      <c r="AW253" s="221">
        <f t="shared" si="36"/>
        <v>32</v>
      </c>
      <c r="AX253" s="208">
        <f t="shared" si="37"/>
        <v>249</v>
      </c>
      <c r="AY253" s="222"/>
      <c r="AZ253" s="222"/>
      <c r="BA253" s="222"/>
      <c r="BB253" s="222"/>
      <c r="BC253" s="222"/>
      <c r="BD253" s="201"/>
      <c r="BE253" s="201"/>
      <c r="BF253" s="201"/>
      <c r="BG253" s="201"/>
      <c r="BH253" s="455">
        <v>46288</v>
      </c>
      <c r="BI253" s="215">
        <f t="shared" si="44"/>
        <v>32</v>
      </c>
      <c r="BJ253" s="208">
        <f t="shared" si="44"/>
        <v>249</v>
      </c>
      <c r="BK253" s="223">
        <v>28</v>
      </c>
      <c r="BL253" s="208">
        <v>242</v>
      </c>
      <c r="BM253" s="224"/>
      <c r="BN253" s="201"/>
      <c r="BO253" s="201"/>
      <c r="BP253" s="201"/>
    </row>
    <row r="254" spans="1:68" ht="15.5">
      <c r="A254" s="201">
        <v>9</v>
      </c>
      <c r="B254" s="204">
        <v>60</v>
      </c>
      <c r="C254" s="203">
        <v>46276</v>
      </c>
      <c r="D254" s="491">
        <f t="shared" si="38"/>
        <v>12</v>
      </c>
      <c r="E254" s="204" t="s">
        <v>72</v>
      </c>
      <c r="F254" s="205"/>
      <c r="G254" s="206"/>
      <c r="H254" s="207">
        <v>46277</v>
      </c>
      <c r="I254" s="494">
        <v>32</v>
      </c>
      <c r="J254" s="208">
        <v>250</v>
      </c>
      <c r="K254" s="209">
        <v>7.3249999999999996E-2</v>
      </c>
      <c r="L254" s="210">
        <v>0.3125</v>
      </c>
      <c r="M254" s="210">
        <v>0.36</v>
      </c>
      <c r="N254" s="211">
        <v>38</v>
      </c>
      <c r="O254" s="211">
        <f t="shared" si="39"/>
        <v>28.215</v>
      </c>
      <c r="P254" s="211">
        <v>74.25</v>
      </c>
      <c r="Q254" s="210">
        <v>0.22</v>
      </c>
      <c r="R254" s="212">
        <v>71.5</v>
      </c>
      <c r="S254" s="201" t="s">
        <v>584</v>
      </c>
      <c r="T254" s="201" t="s">
        <v>458</v>
      </c>
      <c r="U254" s="201"/>
      <c r="V254" s="343"/>
      <c r="W254" s="215">
        <f t="shared" si="43"/>
        <v>32</v>
      </c>
      <c r="X254" s="208">
        <f t="shared" si="43"/>
        <v>250</v>
      </c>
      <c r="Y254" s="209"/>
      <c r="Z254" s="210"/>
      <c r="AA254" s="210"/>
      <c r="AB254" s="211"/>
      <c r="AC254" s="211"/>
      <c r="AD254" s="211"/>
      <c r="AE254" s="210"/>
      <c r="AF254" s="212"/>
      <c r="AG254" s="201" t="s">
        <v>584</v>
      </c>
      <c r="AH254" s="201" t="s">
        <v>458</v>
      </c>
      <c r="AI254" s="347">
        <v>46280</v>
      </c>
      <c r="AJ254" s="201"/>
      <c r="AK254" s="201"/>
      <c r="AL254" s="201"/>
      <c r="AM254" s="201"/>
      <c r="AN254" s="201"/>
      <c r="AO254" s="201"/>
      <c r="AP254" s="201" t="s">
        <v>458</v>
      </c>
      <c r="AQ254" s="201"/>
      <c r="AR254" s="201"/>
      <c r="AS254" s="201"/>
      <c r="AT254" s="201"/>
      <c r="AU254" s="476" t="str">
        <f t="shared" si="42"/>
        <v>Ok</v>
      </c>
      <c r="AV254" s="201"/>
      <c r="AW254" s="221">
        <f t="shared" si="36"/>
        <v>32</v>
      </c>
      <c r="AX254" s="208">
        <f t="shared" si="37"/>
        <v>250</v>
      </c>
      <c r="AY254" s="222"/>
      <c r="AZ254" s="222"/>
      <c r="BA254" s="222"/>
      <c r="BB254" s="222"/>
      <c r="BC254" s="222"/>
      <c r="BD254" s="201"/>
      <c r="BE254" s="201"/>
      <c r="BF254" s="201"/>
      <c r="BG254" s="201"/>
      <c r="BH254" s="455">
        <v>46288</v>
      </c>
      <c r="BI254" s="215">
        <f t="shared" si="44"/>
        <v>32</v>
      </c>
      <c r="BJ254" s="208">
        <f t="shared" si="44"/>
        <v>250</v>
      </c>
      <c r="BK254" s="223">
        <v>28</v>
      </c>
      <c r="BL254" s="208">
        <v>243</v>
      </c>
      <c r="BM254" s="224"/>
      <c r="BN254" s="201"/>
      <c r="BO254" s="201"/>
      <c r="BP254" s="201"/>
    </row>
    <row r="255" spans="1:68" ht="15.5">
      <c r="A255" s="201">
        <v>9</v>
      </c>
      <c r="B255" s="204">
        <v>60</v>
      </c>
      <c r="C255" s="203">
        <v>46276</v>
      </c>
      <c r="D255" s="491">
        <f t="shared" si="38"/>
        <v>12</v>
      </c>
      <c r="E255" s="204" t="s">
        <v>72</v>
      </c>
      <c r="F255" s="205"/>
      <c r="G255" s="206"/>
      <c r="H255" s="207">
        <v>46277</v>
      </c>
      <c r="I255" s="494">
        <v>32</v>
      </c>
      <c r="J255" s="208">
        <v>251</v>
      </c>
      <c r="K255" s="209">
        <v>8.4999999999999992E-2</v>
      </c>
      <c r="L255" s="210">
        <v>0.3075</v>
      </c>
      <c r="M255" s="210">
        <v>0.43</v>
      </c>
      <c r="N255" s="211">
        <v>40</v>
      </c>
      <c r="O255" s="211">
        <f t="shared" si="39"/>
        <v>30.1</v>
      </c>
      <c r="P255" s="211">
        <v>75.25</v>
      </c>
      <c r="Q255" s="210">
        <v>0.22</v>
      </c>
      <c r="R255" s="212">
        <v>71.5</v>
      </c>
      <c r="S255" s="201" t="s">
        <v>427</v>
      </c>
      <c r="T255" s="201" t="s">
        <v>458</v>
      </c>
      <c r="U255" s="201" t="s">
        <v>583</v>
      </c>
      <c r="V255" s="343"/>
      <c r="W255" s="215">
        <f t="shared" si="43"/>
        <v>32</v>
      </c>
      <c r="X255" s="208">
        <f t="shared" si="43"/>
        <v>251</v>
      </c>
      <c r="Y255" s="209"/>
      <c r="Z255" s="210"/>
      <c r="AA255" s="210"/>
      <c r="AB255" s="211"/>
      <c r="AC255" s="211"/>
      <c r="AD255" s="211"/>
      <c r="AE255" s="210"/>
      <c r="AF255" s="212"/>
      <c r="AG255" s="201" t="s">
        <v>427</v>
      </c>
      <c r="AH255" s="201" t="s">
        <v>458</v>
      </c>
      <c r="AI255" s="346"/>
      <c r="AJ255" s="201"/>
      <c r="AK255" s="201"/>
      <c r="AL255" s="201"/>
      <c r="AM255" s="201"/>
      <c r="AN255" s="201"/>
      <c r="AO255" s="201"/>
      <c r="AP255" s="201"/>
      <c r="AQ255" s="201"/>
      <c r="AR255" s="201"/>
      <c r="AS255" s="201"/>
      <c r="AT255" s="201"/>
      <c r="AU255" s="476" t="str">
        <f t="shared" si="42"/>
        <v>Ok</v>
      </c>
      <c r="AV255" s="201"/>
      <c r="AW255" s="221">
        <f t="shared" si="36"/>
        <v>32</v>
      </c>
      <c r="AX255" s="208">
        <f t="shared" si="37"/>
        <v>251</v>
      </c>
      <c r="AY255" s="222"/>
      <c r="AZ255" s="222"/>
      <c r="BA255" s="222"/>
      <c r="BB255" s="222"/>
      <c r="BC255" s="222"/>
      <c r="BD255" s="201"/>
      <c r="BE255" s="201"/>
      <c r="BF255" s="201"/>
      <c r="BG255" s="201"/>
      <c r="BH255" s="455">
        <v>46288</v>
      </c>
      <c r="BI255" s="215">
        <f t="shared" si="44"/>
        <v>32</v>
      </c>
      <c r="BJ255" s="208">
        <f t="shared" si="44"/>
        <v>251</v>
      </c>
      <c r="BK255" s="223">
        <v>28</v>
      </c>
      <c r="BL255" s="208">
        <v>244</v>
      </c>
      <c r="BM255" s="224"/>
      <c r="BN255" s="201"/>
      <c r="BO255" s="201"/>
      <c r="BP255" s="201"/>
    </row>
    <row r="256" spans="1:68" ht="15.5">
      <c r="A256" s="201">
        <v>9</v>
      </c>
      <c r="B256" s="204">
        <v>60</v>
      </c>
      <c r="C256" s="203">
        <v>46276</v>
      </c>
      <c r="D256" s="491">
        <f t="shared" si="38"/>
        <v>12</v>
      </c>
      <c r="E256" s="204" t="s">
        <v>72</v>
      </c>
      <c r="F256" s="205"/>
      <c r="G256" s="206"/>
      <c r="H256" s="207">
        <v>46277</v>
      </c>
      <c r="I256" s="494">
        <v>32</v>
      </c>
      <c r="J256" s="208">
        <v>252</v>
      </c>
      <c r="K256" s="209">
        <v>5.3499999999999999E-2</v>
      </c>
      <c r="L256" s="210">
        <v>0.30249999999999999</v>
      </c>
      <c r="M256" s="210">
        <v>0.4</v>
      </c>
      <c r="N256" s="211">
        <v>41</v>
      </c>
      <c r="O256" s="211">
        <f t="shared" si="39"/>
        <v>30.852499999999999</v>
      </c>
      <c r="P256" s="211">
        <v>75.25</v>
      </c>
      <c r="Q256" s="210">
        <v>0.22</v>
      </c>
      <c r="R256" s="212">
        <v>71.5</v>
      </c>
      <c r="S256" s="201" t="s">
        <v>427</v>
      </c>
      <c r="T256" s="201" t="s">
        <v>458</v>
      </c>
      <c r="U256" s="201" t="s">
        <v>583</v>
      </c>
      <c r="V256" s="343"/>
      <c r="W256" s="215">
        <f t="shared" si="43"/>
        <v>32</v>
      </c>
      <c r="X256" s="208">
        <f t="shared" si="43"/>
        <v>252</v>
      </c>
      <c r="Y256" s="209"/>
      <c r="Z256" s="210"/>
      <c r="AA256" s="210"/>
      <c r="AB256" s="211"/>
      <c r="AC256" s="211"/>
      <c r="AD256" s="211"/>
      <c r="AE256" s="210"/>
      <c r="AF256" s="212"/>
      <c r="AG256" s="201" t="s">
        <v>427</v>
      </c>
      <c r="AH256" s="201" t="s">
        <v>458</v>
      </c>
      <c r="AI256" s="346"/>
      <c r="AJ256" s="201"/>
      <c r="AK256" s="201"/>
      <c r="AL256" s="201"/>
      <c r="AM256" s="201"/>
      <c r="AN256" s="201"/>
      <c r="AO256" s="201"/>
      <c r="AP256" s="201"/>
      <c r="AQ256" s="201"/>
      <c r="AR256" s="201"/>
      <c r="AS256" s="201"/>
      <c r="AT256" s="201"/>
      <c r="AU256" s="476" t="str">
        <f t="shared" si="42"/>
        <v>Ok</v>
      </c>
      <c r="AV256" s="201"/>
      <c r="AW256" s="221">
        <f t="shared" si="36"/>
        <v>32</v>
      </c>
      <c r="AX256" s="208">
        <f t="shared" si="37"/>
        <v>252</v>
      </c>
      <c r="AY256" s="222"/>
      <c r="AZ256" s="222"/>
      <c r="BA256" s="222"/>
      <c r="BB256" s="222"/>
      <c r="BC256" s="222"/>
      <c r="BD256" s="201"/>
      <c r="BE256" s="201"/>
      <c r="BF256" s="201"/>
      <c r="BG256" s="201"/>
      <c r="BH256" s="455">
        <v>46288</v>
      </c>
      <c r="BI256" s="215">
        <f t="shared" si="44"/>
        <v>32</v>
      </c>
      <c r="BJ256" s="208">
        <f t="shared" si="44"/>
        <v>252</v>
      </c>
      <c r="BK256" s="223">
        <v>28</v>
      </c>
      <c r="BL256" s="208">
        <v>245</v>
      </c>
      <c r="BM256" s="224"/>
      <c r="BN256" s="201"/>
      <c r="BO256" s="201"/>
      <c r="BP256" s="201"/>
    </row>
    <row r="257" spans="1:68" ht="15.5">
      <c r="A257" s="201">
        <v>9</v>
      </c>
      <c r="B257" s="204">
        <v>60</v>
      </c>
      <c r="C257" s="203">
        <v>46276</v>
      </c>
      <c r="D257" s="491">
        <f t="shared" si="38"/>
        <v>12</v>
      </c>
      <c r="E257" s="204" t="s">
        <v>72</v>
      </c>
      <c r="F257" s="205"/>
      <c r="G257" s="206"/>
      <c r="H257" s="207">
        <v>46277</v>
      </c>
      <c r="I257" s="494">
        <v>32</v>
      </c>
      <c r="J257" s="208">
        <v>253</v>
      </c>
      <c r="K257" s="209">
        <v>5.3999999999999999E-2</v>
      </c>
      <c r="L257" s="210">
        <v>0.33</v>
      </c>
      <c r="M257" s="210">
        <v>0.23</v>
      </c>
      <c r="N257" s="211">
        <v>38.75</v>
      </c>
      <c r="O257" s="211">
        <f t="shared" si="39"/>
        <v>29.256250000000001</v>
      </c>
      <c r="P257" s="211">
        <v>75.5</v>
      </c>
      <c r="Q257" s="210">
        <v>0.22</v>
      </c>
      <c r="R257" s="212">
        <v>73</v>
      </c>
      <c r="S257" s="201" t="s">
        <v>427</v>
      </c>
      <c r="T257" s="201" t="s">
        <v>458</v>
      </c>
      <c r="U257" s="201" t="s">
        <v>583</v>
      </c>
      <c r="V257" s="343"/>
      <c r="W257" s="215">
        <f t="shared" si="43"/>
        <v>32</v>
      </c>
      <c r="X257" s="208">
        <f t="shared" si="43"/>
        <v>253</v>
      </c>
      <c r="Y257" s="209"/>
      <c r="Z257" s="210"/>
      <c r="AA257" s="210"/>
      <c r="AB257" s="211"/>
      <c r="AC257" s="211"/>
      <c r="AD257" s="211"/>
      <c r="AE257" s="210"/>
      <c r="AF257" s="212"/>
      <c r="AG257" s="201" t="s">
        <v>427</v>
      </c>
      <c r="AH257" s="201" t="s">
        <v>458</v>
      </c>
      <c r="AI257" s="346"/>
      <c r="AJ257" s="201"/>
      <c r="AK257" s="201"/>
      <c r="AL257" s="201"/>
      <c r="AM257" s="201"/>
      <c r="AN257" s="201"/>
      <c r="AO257" s="201"/>
      <c r="AP257" s="201"/>
      <c r="AQ257" s="201"/>
      <c r="AR257" s="201"/>
      <c r="AS257" s="201"/>
      <c r="AT257" s="201"/>
      <c r="AU257" s="476" t="str">
        <f t="shared" si="42"/>
        <v>Ok</v>
      </c>
      <c r="AV257" s="201"/>
      <c r="AW257" s="221">
        <f t="shared" si="36"/>
        <v>32</v>
      </c>
      <c r="AX257" s="208">
        <f t="shared" si="37"/>
        <v>253</v>
      </c>
      <c r="AY257" s="222"/>
      <c r="AZ257" s="222"/>
      <c r="BA257" s="222"/>
      <c r="BB257" s="222"/>
      <c r="BC257" s="222"/>
      <c r="BD257" s="201"/>
      <c r="BE257" s="201"/>
      <c r="BF257" s="201"/>
      <c r="BG257" s="201"/>
      <c r="BH257" s="455">
        <v>46288</v>
      </c>
      <c r="BI257" s="215">
        <f t="shared" si="44"/>
        <v>32</v>
      </c>
      <c r="BJ257" s="208">
        <f t="shared" si="44"/>
        <v>253</v>
      </c>
      <c r="BK257" s="223">
        <v>28</v>
      </c>
      <c r="BL257" s="208">
        <v>246</v>
      </c>
      <c r="BM257" s="224"/>
      <c r="BN257" s="201"/>
      <c r="BO257" s="201"/>
      <c r="BP257" s="201"/>
    </row>
    <row r="258" spans="1:68" ht="15.5">
      <c r="A258" s="201">
        <v>9</v>
      </c>
      <c r="B258" s="204">
        <v>60</v>
      </c>
      <c r="C258" s="203">
        <v>46276</v>
      </c>
      <c r="D258" s="491">
        <f t="shared" si="38"/>
        <v>12</v>
      </c>
      <c r="E258" s="204" t="s">
        <v>72</v>
      </c>
      <c r="F258" s="205"/>
      <c r="G258" s="206"/>
      <c r="H258" s="207">
        <v>46277</v>
      </c>
      <c r="I258" s="494">
        <v>32</v>
      </c>
      <c r="J258" s="208">
        <v>254</v>
      </c>
      <c r="K258" s="209">
        <v>8.5500000000000007E-2</v>
      </c>
      <c r="L258" s="210">
        <v>0.315</v>
      </c>
      <c r="M258" s="210">
        <v>0.33</v>
      </c>
      <c r="N258" s="211">
        <v>39.25</v>
      </c>
      <c r="O258" s="211">
        <f t="shared" si="39"/>
        <v>29.731874999999999</v>
      </c>
      <c r="P258" s="211">
        <v>75.75</v>
      </c>
      <c r="Q258" s="210">
        <v>0.22</v>
      </c>
      <c r="R258" s="212">
        <v>73</v>
      </c>
      <c r="S258" s="201" t="s">
        <v>427</v>
      </c>
      <c r="T258" s="201" t="s">
        <v>458</v>
      </c>
      <c r="U258" s="201" t="s">
        <v>583</v>
      </c>
      <c r="V258" s="343"/>
      <c r="W258" s="215">
        <f t="shared" si="43"/>
        <v>32</v>
      </c>
      <c r="X258" s="208">
        <f t="shared" si="43"/>
        <v>254</v>
      </c>
      <c r="Y258" s="209"/>
      <c r="Z258" s="210"/>
      <c r="AA258" s="210"/>
      <c r="AB258" s="211"/>
      <c r="AC258" s="211"/>
      <c r="AD258" s="211"/>
      <c r="AE258" s="210"/>
      <c r="AF258" s="212"/>
      <c r="AG258" s="201" t="s">
        <v>427</v>
      </c>
      <c r="AH258" s="201" t="s">
        <v>458</v>
      </c>
      <c r="AI258" s="347">
        <v>46280</v>
      </c>
      <c r="AJ258" s="201"/>
      <c r="AK258" s="201"/>
      <c r="AL258" s="201"/>
      <c r="AM258" s="201"/>
      <c r="AN258" s="201"/>
      <c r="AO258" s="201"/>
      <c r="AP258" s="201" t="s">
        <v>458</v>
      </c>
      <c r="AQ258" s="201"/>
      <c r="AR258" s="201"/>
      <c r="AS258" s="201"/>
      <c r="AT258" s="201"/>
      <c r="AU258" s="476" t="str">
        <f t="shared" si="42"/>
        <v>Ok</v>
      </c>
      <c r="AV258" s="201"/>
      <c r="AW258" s="221">
        <f t="shared" si="36"/>
        <v>32</v>
      </c>
      <c r="AX258" s="208">
        <f t="shared" si="37"/>
        <v>254</v>
      </c>
      <c r="AY258" s="222"/>
      <c r="AZ258" s="222"/>
      <c r="BA258" s="222"/>
      <c r="BB258" s="222"/>
      <c r="BC258" s="222"/>
      <c r="BD258" s="201"/>
      <c r="BE258" s="201"/>
      <c r="BF258" s="201"/>
      <c r="BG258" s="201"/>
      <c r="BH258" s="455">
        <v>46288</v>
      </c>
      <c r="BI258" s="215">
        <f t="shared" si="44"/>
        <v>32</v>
      </c>
      <c r="BJ258" s="208">
        <f t="shared" si="44"/>
        <v>254</v>
      </c>
      <c r="BK258" s="223">
        <v>28</v>
      </c>
      <c r="BL258" s="208">
        <v>247</v>
      </c>
      <c r="BM258" s="224"/>
      <c r="BN258" s="201"/>
      <c r="BO258" s="201"/>
      <c r="BP258" s="201"/>
    </row>
    <row r="259" spans="1:68" ht="15.5">
      <c r="A259" s="201">
        <v>9</v>
      </c>
      <c r="B259" s="204">
        <v>60</v>
      </c>
      <c r="C259" s="203">
        <v>46276</v>
      </c>
      <c r="D259" s="491">
        <f t="shared" si="38"/>
        <v>12</v>
      </c>
      <c r="E259" s="204" t="s">
        <v>72</v>
      </c>
      <c r="F259" s="205"/>
      <c r="G259" s="206"/>
      <c r="H259" s="207">
        <v>46277</v>
      </c>
      <c r="I259" s="494">
        <v>32</v>
      </c>
      <c r="J259" s="208">
        <v>255</v>
      </c>
      <c r="K259" s="209">
        <v>5.3499999999999999E-2</v>
      </c>
      <c r="L259" s="210">
        <v>0.28250000000000003</v>
      </c>
      <c r="M259" s="210">
        <v>0.23</v>
      </c>
      <c r="N259" s="211">
        <v>38.25</v>
      </c>
      <c r="O259" s="211">
        <f t="shared" si="39"/>
        <v>29.452500000000001</v>
      </c>
      <c r="P259" s="211">
        <v>77</v>
      </c>
      <c r="Q259" s="210">
        <v>0.22</v>
      </c>
      <c r="R259" s="212">
        <v>73</v>
      </c>
      <c r="S259" s="201" t="s">
        <v>427</v>
      </c>
      <c r="T259" s="201" t="s">
        <v>458</v>
      </c>
      <c r="U259" s="201" t="s">
        <v>583</v>
      </c>
      <c r="V259" s="343"/>
      <c r="W259" s="215">
        <f t="shared" si="43"/>
        <v>32</v>
      </c>
      <c r="X259" s="208">
        <f t="shared" si="43"/>
        <v>255</v>
      </c>
      <c r="Y259" s="209"/>
      <c r="Z259" s="210"/>
      <c r="AA259" s="210"/>
      <c r="AB259" s="211"/>
      <c r="AC259" s="211"/>
      <c r="AD259" s="211"/>
      <c r="AE259" s="210"/>
      <c r="AF259" s="212"/>
      <c r="AG259" s="201" t="s">
        <v>427</v>
      </c>
      <c r="AH259" s="201" t="s">
        <v>458</v>
      </c>
      <c r="AI259" s="347">
        <v>46279</v>
      </c>
      <c r="AJ259" s="201"/>
      <c r="AK259" s="201"/>
      <c r="AL259" s="201"/>
      <c r="AM259" s="201"/>
      <c r="AN259" s="201"/>
      <c r="AO259" s="201"/>
      <c r="AP259" s="201" t="s">
        <v>458</v>
      </c>
      <c r="AQ259" s="201"/>
      <c r="AR259" s="201"/>
      <c r="AS259" s="201"/>
      <c r="AT259" s="201"/>
      <c r="AU259" s="476" t="str">
        <f t="shared" si="42"/>
        <v>Ok</v>
      </c>
      <c r="AV259" s="201"/>
      <c r="AW259" s="221">
        <f t="shared" si="36"/>
        <v>32</v>
      </c>
      <c r="AX259" s="208">
        <f t="shared" si="37"/>
        <v>255</v>
      </c>
      <c r="AY259" s="222"/>
      <c r="AZ259" s="222"/>
      <c r="BA259" s="222"/>
      <c r="BB259" s="222"/>
      <c r="BC259" s="222"/>
      <c r="BD259" s="201"/>
      <c r="BE259" s="201"/>
      <c r="BF259" s="201"/>
      <c r="BG259" s="201"/>
      <c r="BH259" s="455">
        <v>46288</v>
      </c>
      <c r="BI259" s="215">
        <f t="shared" si="44"/>
        <v>32</v>
      </c>
      <c r="BJ259" s="208">
        <f t="shared" si="44"/>
        <v>255</v>
      </c>
      <c r="BK259" s="223">
        <v>28</v>
      </c>
      <c r="BL259" s="208">
        <v>248</v>
      </c>
      <c r="BM259" s="224"/>
      <c r="BN259" s="201"/>
      <c r="BO259" s="201"/>
      <c r="BP259" s="201"/>
    </row>
    <row r="260" spans="1:68" ht="15.5">
      <c r="A260" s="201">
        <v>9</v>
      </c>
      <c r="B260" s="204">
        <v>60</v>
      </c>
      <c r="C260" s="203">
        <v>46276</v>
      </c>
      <c r="D260" s="491">
        <f t="shared" si="38"/>
        <v>12</v>
      </c>
      <c r="E260" s="204" t="s">
        <v>72</v>
      </c>
      <c r="F260" s="205"/>
      <c r="G260" s="206"/>
      <c r="H260" s="207">
        <v>46277</v>
      </c>
      <c r="I260" s="494">
        <v>32</v>
      </c>
      <c r="J260" s="208">
        <v>256</v>
      </c>
      <c r="K260" s="209">
        <v>5.0750000000000003E-2</v>
      </c>
      <c r="L260" s="210">
        <v>0.28000000000000003</v>
      </c>
      <c r="M260" s="210">
        <v>0.59</v>
      </c>
      <c r="N260" s="211">
        <v>38.75</v>
      </c>
      <c r="O260" s="211">
        <f t="shared" si="39"/>
        <v>29.256250000000001</v>
      </c>
      <c r="P260" s="211">
        <v>75.5</v>
      </c>
      <c r="Q260" s="210">
        <v>0.22</v>
      </c>
      <c r="R260" s="212">
        <v>73</v>
      </c>
      <c r="S260" s="201" t="s">
        <v>427</v>
      </c>
      <c r="T260" s="201" t="s">
        <v>586</v>
      </c>
      <c r="U260" s="201" t="s">
        <v>588</v>
      </c>
      <c r="V260" s="343"/>
      <c r="W260" s="215">
        <f t="shared" si="43"/>
        <v>32</v>
      </c>
      <c r="X260" s="208">
        <f t="shared" si="43"/>
        <v>256</v>
      </c>
      <c r="Y260" s="209"/>
      <c r="Z260" s="210"/>
      <c r="AA260" s="210"/>
      <c r="AB260" s="211"/>
      <c r="AC260" s="211"/>
      <c r="AD260" s="211"/>
      <c r="AE260" s="210"/>
      <c r="AF260" s="212"/>
      <c r="AG260" s="201" t="s">
        <v>427</v>
      </c>
      <c r="AH260" s="201" t="s">
        <v>586</v>
      </c>
      <c r="AI260" s="347">
        <v>46296</v>
      </c>
      <c r="AJ260" s="201"/>
      <c r="AK260" s="201"/>
      <c r="AL260" s="201"/>
      <c r="AM260" s="201"/>
      <c r="AN260" s="201"/>
      <c r="AO260" s="201"/>
      <c r="AP260" s="201" t="s">
        <v>458</v>
      </c>
      <c r="AQ260" s="201"/>
      <c r="AR260" s="201"/>
      <c r="AS260" s="201"/>
      <c r="AT260" s="201"/>
      <c r="AU260" s="476" t="str">
        <f t="shared" si="42"/>
        <v>Ok</v>
      </c>
      <c r="AV260" s="201"/>
      <c r="AW260" s="221">
        <f t="shared" si="36"/>
        <v>32</v>
      </c>
      <c r="AX260" s="208">
        <f t="shared" si="37"/>
        <v>256</v>
      </c>
      <c r="AY260" s="222"/>
      <c r="AZ260" s="222"/>
      <c r="BA260" s="222"/>
      <c r="BB260" s="222"/>
      <c r="BC260" s="222"/>
      <c r="BD260" s="201"/>
      <c r="BE260" s="201"/>
      <c r="BF260" s="201"/>
      <c r="BG260" s="201"/>
      <c r="BH260" s="455">
        <v>46288</v>
      </c>
      <c r="BI260" s="215">
        <f t="shared" si="44"/>
        <v>32</v>
      </c>
      <c r="BJ260" s="208">
        <f t="shared" si="44"/>
        <v>256</v>
      </c>
      <c r="BK260" s="223">
        <v>28</v>
      </c>
      <c r="BL260" s="208">
        <v>249</v>
      </c>
      <c r="BM260" s="224"/>
      <c r="BN260" s="201"/>
      <c r="BO260" s="201"/>
      <c r="BP260" s="201"/>
    </row>
    <row r="261" spans="1:68" ht="15.5">
      <c r="A261" s="201">
        <v>9</v>
      </c>
      <c r="B261" s="204">
        <v>60</v>
      </c>
      <c r="C261" s="353">
        <v>46276</v>
      </c>
      <c r="D261" s="491">
        <f t="shared" si="38"/>
        <v>13</v>
      </c>
      <c r="E261" s="204" t="s">
        <v>72</v>
      </c>
      <c r="F261" s="205"/>
      <c r="G261" s="206"/>
      <c r="H261" s="207">
        <v>46277</v>
      </c>
      <c r="I261" s="494">
        <v>33</v>
      </c>
      <c r="J261" s="208">
        <v>257</v>
      </c>
      <c r="K261" s="209">
        <v>5.6000000000000001E-2</v>
      </c>
      <c r="L261" s="210">
        <v>0.315</v>
      </c>
      <c r="M261" s="354">
        <v>0.24</v>
      </c>
      <c r="N261" s="355">
        <v>38.5</v>
      </c>
      <c r="O261" s="211">
        <f t="shared" si="39"/>
        <v>29.741250000000001</v>
      </c>
      <c r="P261" s="355">
        <v>77.25</v>
      </c>
      <c r="Q261" s="356">
        <v>0.25</v>
      </c>
      <c r="R261" s="212">
        <v>74.5</v>
      </c>
      <c r="S261" s="201" t="s">
        <v>427</v>
      </c>
      <c r="T261" s="201" t="s">
        <v>458</v>
      </c>
      <c r="U261" s="201"/>
      <c r="V261" s="343"/>
      <c r="W261" s="215">
        <f t="shared" ref="W261:X276" si="45">I261</f>
        <v>33</v>
      </c>
      <c r="X261" s="208">
        <f t="shared" si="45"/>
        <v>257</v>
      </c>
      <c r="Y261" s="209"/>
      <c r="Z261" s="210"/>
      <c r="AA261" s="210"/>
      <c r="AB261" s="211"/>
      <c r="AC261" s="211"/>
      <c r="AD261" s="211"/>
      <c r="AE261" s="210"/>
      <c r="AF261" s="212"/>
      <c r="AG261" s="201"/>
      <c r="AH261" s="201"/>
      <c r="AI261" s="346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476" t="str">
        <f t="shared" si="42"/>
        <v>Ok</v>
      </c>
      <c r="AV261" s="201"/>
      <c r="AW261" s="221">
        <f t="shared" ref="AW261:AW324" si="46">I261</f>
        <v>33</v>
      </c>
      <c r="AX261" s="208">
        <f t="shared" ref="AX261:AX324" si="47">J261</f>
        <v>257</v>
      </c>
      <c r="AY261" s="222"/>
      <c r="AZ261" s="222"/>
      <c r="BA261" s="222"/>
      <c r="BB261" s="222"/>
      <c r="BC261" s="222"/>
      <c r="BD261" s="201"/>
      <c r="BE261" s="201"/>
      <c r="BF261" s="201"/>
      <c r="BG261" s="201"/>
      <c r="BH261" s="455">
        <v>46289</v>
      </c>
      <c r="BI261" s="215">
        <f t="shared" ref="BI261:BJ276" si="48">AW261</f>
        <v>33</v>
      </c>
      <c r="BJ261" s="208">
        <f t="shared" si="48"/>
        <v>257</v>
      </c>
      <c r="BK261" s="223">
        <v>29</v>
      </c>
      <c r="BL261" s="208">
        <v>253</v>
      </c>
      <c r="BM261" s="224"/>
      <c r="BN261" s="201"/>
      <c r="BO261" s="201"/>
      <c r="BP261" s="201"/>
    </row>
    <row r="262" spans="1:68" ht="15.5">
      <c r="A262" s="201">
        <v>9</v>
      </c>
      <c r="B262" s="204" t="s">
        <v>801</v>
      </c>
      <c r="C262" s="353">
        <v>46279</v>
      </c>
      <c r="D262" s="491">
        <f t="shared" ref="D262:D325" si="49">BH262-C262</f>
        <v>10</v>
      </c>
      <c r="E262" s="204" t="s">
        <v>72</v>
      </c>
      <c r="F262" s="205"/>
      <c r="G262" s="206"/>
      <c r="H262" s="207">
        <v>46280</v>
      </c>
      <c r="I262" s="494">
        <v>33</v>
      </c>
      <c r="J262" s="208">
        <v>258</v>
      </c>
      <c r="K262" s="209">
        <v>7.6499999999999999E-2</v>
      </c>
      <c r="L262" s="210">
        <v>0.31</v>
      </c>
      <c r="M262" s="354">
        <v>0.17</v>
      </c>
      <c r="N262" s="355">
        <v>39.5</v>
      </c>
      <c r="O262" s="211">
        <f t="shared" ref="O262:O292" si="50">N262*P262/100</f>
        <v>30.02</v>
      </c>
      <c r="P262" s="355">
        <v>76</v>
      </c>
      <c r="Q262" s="356">
        <v>0.25</v>
      </c>
      <c r="R262" s="212">
        <v>74.5</v>
      </c>
      <c r="S262" s="201" t="s">
        <v>427</v>
      </c>
      <c r="T262" s="201" t="s">
        <v>458</v>
      </c>
      <c r="U262" s="201"/>
      <c r="V262" s="343"/>
      <c r="W262" s="215">
        <f t="shared" si="45"/>
        <v>33</v>
      </c>
      <c r="X262" s="208">
        <f t="shared" si="45"/>
        <v>258</v>
      </c>
      <c r="Y262" s="209"/>
      <c r="Z262" s="210"/>
      <c r="AA262" s="210"/>
      <c r="AB262" s="211"/>
      <c r="AC262" s="211"/>
      <c r="AD262" s="211"/>
      <c r="AE262" s="210"/>
      <c r="AF262" s="212"/>
      <c r="AG262" s="201"/>
      <c r="AH262" s="201"/>
      <c r="AI262" s="346">
        <v>46288</v>
      </c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476" t="str">
        <f t="shared" si="42"/>
        <v>Ok</v>
      </c>
      <c r="AV262" s="201"/>
      <c r="AW262" s="221">
        <f t="shared" si="46"/>
        <v>33</v>
      </c>
      <c r="AX262" s="208">
        <f t="shared" si="47"/>
        <v>258</v>
      </c>
      <c r="AY262" s="222"/>
      <c r="AZ262" s="222"/>
      <c r="BA262" s="222"/>
      <c r="BB262" s="222"/>
      <c r="BC262" s="222"/>
      <c r="BD262" s="201"/>
      <c r="BE262" s="201"/>
      <c r="BF262" s="201"/>
      <c r="BG262" s="201"/>
      <c r="BH262" s="455">
        <v>46289</v>
      </c>
      <c r="BI262" s="215">
        <f t="shared" si="48"/>
        <v>33</v>
      </c>
      <c r="BJ262" s="208">
        <f t="shared" si="48"/>
        <v>258</v>
      </c>
      <c r="BK262" s="223">
        <v>29</v>
      </c>
      <c r="BL262" s="208">
        <v>254</v>
      </c>
      <c r="BM262" s="224"/>
      <c r="BN262" s="201"/>
      <c r="BO262" s="201"/>
      <c r="BP262" s="201"/>
    </row>
    <row r="263" spans="1:68" ht="15.5">
      <c r="A263" s="201">
        <v>9</v>
      </c>
      <c r="B263" s="204">
        <v>62</v>
      </c>
      <c r="C263" s="353">
        <v>46279</v>
      </c>
      <c r="D263" s="491">
        <f t="shared" si="49"/>
        <v>9</v>
      </c>
      <c r="E263" s="204" t="s">
        <v>72</v>
      </c>
      <c r="F263" s="205"/>
      <c r="G263" s="206"/>
      <c r="H263" s="207">
        <v>46280</v>
      </c>
      <c r="I263" s="494">
        <v>33</v>
      </c>
      <c r="J263" s="208">
        <v>259</v>
      </c>
      <c r="K263" s="209">
        <v>7.8E-2</v>
      </c>
      <c r="L263" s="210">
        <v>0.32575000000000004</v>
      </c>
      <c r="M263" s="354">
        <v>0.5</v>
      </c>
      <c r="N263" s="355">
        <v>37.75</v>
      </c>
      <c r="O263" s="211">
        <f t="shared" si="50"/>
        <v>29.445</v>
      </c>
      <c r="P263" s="355">
        <v>78</v>
      </c>
      <c r="Q263" s="356">
        <v>0.25</v>
      </c>
      <c r="R263" s="212">
        <v>74.5</v>
      </c>
      <c r="S263" s="201" t="s">
        <v>427</v>
      </c>
      <c r="T263" s="201" t="s">
        <v>458</v>
      </c>
      <c r="U263" s="201"/>
      <c r="V263" s="343"/>
      <c r="W263" s="215">
        <f t="shared" si="45"/>
        <v>33</v>
      </c>
      <c r="X263" s="208">
        <f t="shared" si="45"/>
        <v>259</v>
      </c>
      <c r="Y263" s="209"/>
      <c r="Z263" s="210"/>
      <c r="AA263" s="210"/>
      <c r="AB263" s="211"/>
      <c r="AC263" s="211"/>
      <c r="AD263" s="211"/>
      <c r="AE263" s="210"/>
      <c r="AF263" s="212"/>
      <c r="AG263" s="201"/>
      <c r="AH263" s="201"/>
      <c r="AI263" s="346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476" t="str">
        <f t="shared" si="42"/>
        <v>Ok</v>
      </c>
      <c r="AV263" s="201"/>
      <c r="AW263" s="221">
        <f t="shared" si="46"/>
        <v>33</v>
      </c>
      <c r="AX263" s="208">
        <f t="shared" si="47"/>
        <v>259</v>
      </c>
      <c r="AY263" s="222"/>
      <c r="AZ263" s="222"/>
      <c r="BA263" s="222"/>
      <c r="BB263" s="222"/>
      <c r="BC263" s="222"/>
      <c r="BD263" s="201"/>
      <c r="BE263" s="201"/>
      <c r="BF263" s="201"/>
      <c r="BG263" s="201"/>
      <c r="BH263" s="455">
        <v>46288</v>
      </c>
      <c r="BI263" s="215">
        <f t="shared" si="48"/>
        <v>33</v>
      </c>
      <c r="BJ263" s="208">
        <f t="shared" si="48"/>
        <v>259</v>
      </c>
      <c r="BK263" s="223">
        <v>28</v>
      </c>
      <c r="BL263" s="208">
        <v>250</v>
      </c>
      <c r="BM263" s="224"/>
      <c r="BN263" s="201"/>
      <c r="BO263" s="201"/>
      <c r="BP263" s="201"/>
    </row>
    <row r="264" spans="1:68" ht="15.5">
      <c r="A264" s="201">
        <v>11</v>
      </c>
      <c r="B264" s="204">
        <v>63</v>
      </c>
      <c r="C264" s="353">
        <v>46279</v>
      </c>
      <c r="D264" s="491">
        <f t="shared" si="49"/>
        <v>9</v>
      </c>
      <c r="E264" s="204" t="s">
        <v>72</v>
      </c>
      <c r="F264" s="205"/>
      <c r="G264" s="206"/>
      <c r="H264" s="207">
        <v>46280</v>
      </c>
      <c r="I264" s="494">
        <v>33</v>
      </c>
      <c r="J264" s="208">
        <v>260</v>
      </c>
      <c r="K264" s="209">
        <v>9.6000000000000002E-2</v>
      </c>
      <c r="L264" s="210">
        <v>0.30499999999999999</v>
      </c>
      <c r="M264" s="354">
        <v>0.28999999999999998</v>
      </c>
      <c r="N264" s="355">
        <v>39</v>
      </c>
      <c r="O264" s="211">
        <f t="shared" si="50"/>
        <v>30.127500000000001</v>
      </c>
      <c r="P264" s="355">
        <v>77.25</v>
      </c>
      <c r="Q264" s="356">
        <v>0.25</v>
      </c>
      <c r="R264" s="212">
        <v>74.5</v>
      </c>
      <c r="S264" s="201" t="s">
        <v>427</v>
      </c>
      <c r="T264" s="201" t="s">
        <v>458</v>
      </c>
      <c r="U264" s="201"/>
      <c r="V264" s="343"/>
      <c r="W264" s="215">
        <f t="shared" si="45"/>
        <v>33</v>
      </c>
      <c r="X264" s="208">
        <f t="shared" si="45"/>
        <v>260</v>
      </c>
      <c r="Y264" s="209"/>
      <c r="Z264" s="210"/>
      <c r="AA264" s="210"/>
      <c r="AB264" s="211"/>
      <c r="AC264" s="211"/>
      <c r="AD264" s="211"/>
      <c r="AE264" s="210"/>
      <c r="AF264" s="212"/>
      <c r="AG264" s="201"/>
      <c r="AH264" s="201"/>
      <c r="AI264" s="346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476" t="str">
        <f t="shared" si="42"/>
        <v>Ok</v>
      </c>
      <c r="AV264" s="201"/>
      <c r="AW264" s="221">
        <f t="shared" si="46"/>
        <v>33</v>
      </c>
      <c r="AX264" s="208">
        <f t="shared" si="47"/>
        <v>260</v>
      </c>
      <c r="AY264" s="222"/>
      <c r="AZ264" s="222"/>
      <c r="BA264" s="222"/>
      <c r="BB264" s="222"/>
      <c r="BC264" s="222"/>
      <c r="BD264" s="201"/>
      <c r="BE264" s="201"/>
      <c r="BF264" s="201"/>
      <c r="BG264" s="201"/>
      <c r="BH264" s="455">
        <v>46288</v>
      </c>
      <c r="BI264" s="215">
        <f t="shared" si="48"/>
        <v>33</v>
      </c>
      <c r="BJ264" s="208">
        <f t="shared" si="48"/>
        <v>260</v>
      </c>
      <c r="BK264" s="223">
        <v>28</v>
      </c>
      <c r="BL264" s="208">
        <v>251</v>
      </c>
      <c r="BM264" s="224"/>
      <c r="BN264" s="201"/>
      <c r="BO264" s="201"/>
      <c r="BP264" s="201"/>
    </row>
    <row r="265" spans="1:68" ht="15.5">
      <c r="A265" s="201">
        <v>11</v>
      </c>
      <c r="B265" s="204">
        <v>63</v>
      </c>
      <c r="C265" s="353">
        <v>46279</v>
      </c>
      <c r="D265" s="491">
        <f t="shared" si="49"/>
        <v>10</v>
      </c>
      <c r="E265" s="204" t="s">
        <v>72</v>
      </c>
      <c r="F265" s="205"/>
      <c r="G265" s="206"/>
      <c r="H265" s="207">
        <v>46280</v>
      </c>
      <c r="I265" s="494">
        <v>33</v>
      </c>
      <c r="J265" s="208">
        <v>261</v>
      </c>
      <c r="K265" s="209">
        <v>3.7000000000000005E-2</v>
      </c>
      <c r="L265" s="210">
        <v>0.32250000000000001</v>
      </c>
      <c r="M265" s="354">
        <v>0.35</v>
      </c>
      <c r="N265" s="355">
        <v>40</v>
      </c>
      <c r="O265" s="211">
        <f t="shared" si="50"/>
        <v>30.1</v>
      </c>
      <c r="P265" s="355">
        <v>75.25</v>
      </c>
      <c r="Q265" s="356">
        <v>0.25</v>
      </c>
      <c r="R265" s="212">
        <v>74.5</v>
      </c>
      <c r="S265" s="201" t="s">
        <v>427</v>
      </c>
      <c r="T265" s="201" t="s">
        <v>458</v>
      </c>
      <c r="U265" s="201"/>
      <c r="V265" s="343"/>
      <c r="W265" s="215">
        <f t="shared" si="45"/>
        <v>33</v>
      </c>
      <c r="X265" s="208">
        <f t="shared" si="45"/>
        <v>261</v>
      </c>
      <c r="Y265" s="209"/>
      <c r="Z265" s="210"/>
      <c r="AA265" s="210"/>
      <c r="AB265" s="211"/>
      <c r="AC265" s="211"/>
      <c r="AD265" s="211"/>
      <c r="AE265" s="210"/>
      <c r="AF265" s="212"/>
      <c r="AG265" s="201"/>
      <c r="AH265" s="201"/>
      <c r="AI265" s="346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476" t="str">
        <f t="shared" si="42"/>
        <v>Ok</v>
      </c>
      <c r="AV265" s="201"/>
      <c r="AW265" s="221">
        <f t="shared" si="46"/>
        <v>33</v>
      </c>
      <c r="AX265" s="208">
        <f t="shared" si="47"/>
        <v>261</v>
      </c>
      <c r="AY265" s="222"/>
      <c r="AZ265" s="222"/>
      <c r="BA265" s="222"/>
      <c r="BB265" s="222"/>
      <c r="BC265" s="222"/>
      <c r="BD265" s="201"/>
      <c r="BE265" s="201"/>
      <c r="BF265" s="201"/>
      <c r="BG265" s="201"/>
      <c r="BH265" s="455">
        <v>46289</v>
      </c>
      <c r="BI265" s="215">
        <f t="shared" si="48"/>
        <v>33</v>
      </c>
      <c r="BJ265" s="208">
        <f t="shared" si="48"/>
        <v>261</v>
      </c>
      <c r="BK265" s="223">
        <v>29</v>
      </c>
      <c r="BL265" s="208">
        <v>255</v>
      </c>
      <c r="BM265" s="224"/>
      <c r="BN265" s="201"/>
      <c r="BO265" s="201"/>
      <c r="BP265" s="201"/>
    </row>
    <row r="266" spans="1:68" ht="15.5">
      <c r="A266" s="201">
        <v>11</v>
      </c>
      <c r="B266" s="204">
        <v>63</v>
      </c>
      <c r="C266" s="353">
        <v>46279</v>
      </c>
      <c r="D266" s="491">
        <f t="shared" si="49"/>
        <v>10</v>
      </c>
      <c r="E266" s="204" t="s">
        <v>72</v>
      </c>
      <c r="F266" s="205"/>
      <c r="G266" s="206"/>
      <c r="H266" s="207">
        <v>46280</v>
      </c>
      <c r="I266" s="494">
        <v>33</v>
      </c>
      <c r="J266" s="208">
        <v>262</v>
      </c>
      <c r="K266" s="209">
        <v>3.2000000000000001E-2</v>
      </c>
      <c r="L266" s="210">
        <v>0.34</v>
      </c>
      <c r="M266" s="354">
        <v>0.39</v>
      </c>
      <c r="N266" s="355">
        <v>39</v>
      </c>
      <c r="O266" s="211">
        <f t="shared" si="50"/>
        <v>28.664999999999999</v>
      </c>
      <c r="P266" s="355">
        <v>73.5</v>
      </c>
      <c r="Q266" s="356">
        <v>0.25</v>
      </c>
      <c r="R266" s="212">
        <v>74.5</v>
      </c>
      <c r="S266" s="201" t="s">
        <v>427</v>
      </c>
      <c r="T266" s="201" t="s">
        <v>458</v>
      </c>
      <c r="U266" s="201"/>
      <c r="V266" s="343"/>
      <c r="W266" s="215">
        <f t="shared" si="45"/>
        <v>33</v>
      </c>
      <c r="X266" s="208">
        <f t="shared" si="45"/>
        <v>262</v>
      </c>
      <c r="Y266" s="209"/>
      <c r="Z266" s="210"/>
      <c r="AA266" s="210"/>
      <c r="AB266" s="211"/>
      <c r="AC266" s="211"/>
      <c r="AD266" s="211"/>
      <c r="AE266" s="210"/>
      <c r="AF266" s="212"/>
      <c r="AG266" s="201"/>
      <c r="AH266" s="201"/>
      <c r="AI266" s="346"/>
      <c r="AJ266" s="201"/>
      <c r="AK266" s="201"/>
      <c r="AL266" s="201"/>
      <c r="AM266" s="201"/>
      <c r="AN266" s="201"/>
      <c r="AO266" s="201"/>
      <c r="AP266" s="201"/>
      <c r="AQ266" s="201"/>
      <c r="AR266" s="201"/>
      <c r="AS266" s="201"/>
      <c r="AT266" s="201"/>
      <c r="AU266" s="476" t="str">
        <f t="shared" si="42"/>
        <v>Ok</v>
      </c>
      <c r="AV266" s="201"/>
      <c r="AW266" s="221">
        <f t="shared" si="46"/>
        <v>33</v>
      </c>
      <c r="AX266" s="208">
        <f t="shared" si="47"/>
        <v>262</v>
      </c>
      <c r="AY266" s="222"/>
      <c r="AZ266" s="222"/>
      <c r="BA266" s="222"/>
      <c r="BB266" s="222"/>
      <c r="BC266" s="222"/>
      <c r="BD266" s="201"/>
      <c r="BE266" s="201"/>
      <c r="BF266" s="201"/>
      <c r="BG266" s="201"/>
      <c r="BH266" s="455">
        <v>46289</v>
      </c>
      <c r="BI266" s="215">
        <f t="shared" si="48"/>
        <v>33</v>
      </c>
      <c r="BJ266" s="208">
        <f t="shared" si="48"/>
        <v>262</v>
      </c>
      <c r="BK266" s="223">
        <v>29</v>
      </c>
      <c r="BL266" s="208">
        <v>256</v>
      </c>
      <c r="BM266" s="224"/>
      <c r="BN266" s="201"/>
      <c r="BO266" s="201"/>
      <c r="BP266" s="201"/>
    </row>
    <row r="267" spans="1:68" ht="15.5">
      <c r="A267" s="201">
        <v>11</v>
      </c>
      <c r="B267" s="204">
        <v>63</v>
      </c>
      <c r="C267" s="353">
        <v>46279</v>
      </c>
      <c r="D267" s="491">
        <f t="shared" si="49"/>
        <v>10</v>
      </c>
      <c r="E267" s="204" t="s">
        <v>72</v>
      </c>
      <c r="F267" s="205"/>
      <c r="G267" s="206"/>
      <c r="H267" s="207">
        <v>46280</v>
      </c>
      <c r="I267" s="494">
        <v>33</v>
      </c>
      <c r="J267" s="208">
        <v>263</v>
      </c>
      <c r="K267" s="209">
        <v>5.1750000000000004E-2</v>
      </c>
      <c r="L267" s="210">
        <v>0.33500000000000002</v>
      </c>
      <c r="M267" s="354">
        <v>0.41</v>
      </c>
      <c r="N267" s="355">
        <v>41.25</v>
      </c>
      <c r="O267" s="211">
        <f t="shared" si="50"/>
        <v>30.524999999999999</v>
      </c>
      <c r="P267" s="355">
        <v>74</v>
      </c>
      <c r="Q267" s="356">
        <v>0.25</v>
      </c>
      <c r="R267" s="212">
        <v>74.5</v>
      </c>
      <c r="S267" s="201" t="s">
        <v>427</v>
      </c>
      <c r="T267" s="201" t="s">
        <v>458</v>
      </c>
      <c r="U267" s="201"/>
      <c r="V267" s="343"/>
      <c r="W267" s="215">
        <f t="shared" si="45"/>
        <v>33</v>
      </c>
      <c r="X267" s="208">
        <f t="shared" si="45"/>
        <v>263</v>
      </c>
      <c r="Y267" s="209"/>
      <c r="Z267" s="210"/>
      <c r="AA267" s="210"/>
      <c r="AB267" s="211"/>
      <c r="AC267" s="211"/>
      <c r="AD267" s="211"/>
      <c r="AE267" s="210"/>
      <c r="AF267" s="212"/>
      <c r="AG267" s="201"/>
      <c r="AH267" s="201"/>
      <c r="AI267" s="346"/>
      <c r="AJ267" s="201"/>
      <c r="AK267" s="201"/>
      <c r="AL267" s="201"/>
      <c r="AM267" s="201"/>
      <c r="AN267" s="201"/>
      <c r="AO267" s="201"/>
      <c r="AP267" s="201"/>
      <c r="AQ267" s="201"/>
      <c r="AR267" s="201"/>
      <c r="AS267" s="201"/>
      <c r="AT267" s="201"/>
      <c r="AU267" s="476" t="str">
        <f t="shared" si="42"/>
        <v>Ok</v>
      </c>
      <c r="AV267" s="201"/>
      <c r="AW267" s="221">
        <f t="shared" si="46"/>
        <v>33</v>
      </c>
      <c r="AX267" s="208">
        <f t="shared" si="47"/>
        <v>263</v>
      </c>
      <c r="AY267" s="222"/>
      <c r="AZ267" s="222"/>
      <c r="BA267" s="222"/>
      <c r="BB267" s="222"/>
      <c r="BC267" s="222"/>
      <c r="BD267" s="201"/>
      <c r="BE267" s="201"/>
      <c r="BF267" s="201"/>
      <c r="BG267" s="201"/>
      <c r="BH267" s="455">
        <v>46289</v>
      </c>
      <c r="BI267" s="215">
        <f t="shared" si="48"/>
        <v>33</v>
      </c>
      <c r="BJ267" s="208">
        <f t="shared" si="48"/>
        <v>263</v>
      </c>
      <c r="BK267" s="223">
        <v>29</v>
      </c>
      <c r="BL267" s="208">
        <v>257</v>
      </c>
      <c r="BM267" s="224"/>
      <c r="BN267" s="201"/>
      <c r="BO267" s="201"/>
      <c r="BP267" s="201"/>
    </row>
    <row r="268" spans="1:68" ht="15.5">
      <c r="A268" s="201">
        <v>11</v>
      </c>
      <c r="B268" s="219">
        <v>64</v>
      </c>
      <c r="C268" s="353">
        <v>46280</v>
      </c>
      <c r="D268" s="491">
        <f t="shared" si="49"/>
        <v>9</v>
      </c>
      <c r="E268" s="204" t="s">
        <v>72</v>
      </c>
      <c r="F268" s="357"/>
      <c r="G268" s="358"/>
      <c r="H268" s="207">
        <v>46281</v>
      </c>
      <c r="I268" s="494">
        <v>33</v>
      </c>
      <c r="J268" s="208">
        <v>264</v>
      </c>
      <c r="K268" s="209">
        <v>6.1249999999999999E-2</v>
      </c>
      <c r="L268" s="210">
        <v>0.34250000000000003</v>
      </c>
      <c r="M268" s="354">
        <v>0.54</v>
      </c>
      <c r="N268" s="355">
        <v>39.5</v>
      </c>
      <c r="O268" s="211">
        <f t="shared" si="50"/>
        <v>29.921250000000001</v>
      </c>
      <c r="P268" s="355">
        <v>75.75</v>
      </c>
      <c r="Q268" s="356">
        <v>0.25</v>
      </c>
      <c r="R268" s="212">
        <v>74.5</v>
      </c>
      <c r="S268" s="201" t="s">
        <v>427</v>
      </c>
      <c r="T268" s="201" t="s">
        <v>458</v>
      </c>
      <c r="U268" s="201"/>
      <c r="V268" s="343"/>
      <c r="W268" s="215">
        <f t="shared" si="45"/>
        <v>33</v>
      </c>
      <c r="X268" s="208">
        <f t="shared" si="45"/>
        <v>264</v>
      </c>
      <c r="Y268" s="201"/>
      <c r="Z268" s="201"/>
      <c r="AA268" s="201"/>
      <c r="AB268" s="201"/>
      <c r="AC268" s="211"/>
      <c r="AD268" s="201"/>
      <c r="AE268" s="201"/>
      <c r="AF268" s="219"/>
      <c r="AG268" s="201"/>
      <c r="AH268" s="201"/>
      <c r="AI268" s="346"/>
      <c r="AJ268" s="201"/>
      <c r="AK268" s="201"/>
      <c r="AL268" s="201"/>
      <c r="AM268" s="201"/>
      <c r="AN268" s="201"/>
      <c r="AO268" s="201"/>
      <c r="AP268" s="201"/>
      <c r="AQ268" s="201"/>
      <c r="AR268" s="201"/>
      <c r="AS268" s="201"/>
      <c r="AT268" s="201"/>
      <c r="AU268" s="476" t="str">
        <f t="shared" si="42"/>
        <v>Ok</v>
      </c>
      <c r="AV268" s="201"/>
      <c r="AW268" s="221">
        <f t="shared" si="46"/>
        <v>33</v>
      </c>
      <c r="AX268" s="208">
        <f t="shared" si="47"/>
        <v>264</v>
      </c>
      <c r="AY268" s="222"/>
      <c r="AZ268" s="222"/>
      <c r="BA268" s="222"/>
      <c r="BB268" s="222"/>
      <c r="BC268" s="222"/>
      <c r="BD268" s="201"/>
      <c r="BE268" s="201"/>
      <c r="BF268" s="201"/>
      <c r="BG268" s="201"/>
      <c r="BH268" s="455">
        <v>46289</v>
      </c>
      <c r="BI268" s="215">
        <f t="shared" si="48"/>
        <v>33</v>
      </c>
      <c r="BJ268" s="208">
        <f t="shared" si="48"/>
        <v>264</v>
      </c>
      <c r="BK268" s="223">
        <v>29</v>
      </c>
      <c r="BL268" s="208">
        <v>258</v>
      </c>
      <c r="BM268" s="224"/>
      <c r="BN268" s="201"/>
      <c r="BO268" s="201"/>
      <c r="BP268" s="201"/>
    </row>
    <row r="269" spans="1:68" ht="15.5">
      <c r="A269" s="201">
        <v>11</v>
      </c>
      <c r="B269" s="219">
        <v>64</v>
      </c>
      <c r="C269" s="353">
        <v>46280</v>
      </c>
      <c r="D269" s="491">
        <f t="shared" si="49"/>
        <v>9</v>
      </c>
      <c r="E269" s="204" t="s">
        <v>72</v>
      </c>
      <c r="F269" s="357"/>
      <c r="G269" s="358"/>
      <c r="H269" s="207">
        <v>46281</v>
      </c>
      <c r="I269" s="215">
        <v>34</v>
      </c>
      <c r="J269" s="359">
        <v>265</v>
      </c>
      <c r="K269" s="209">
        <v>6.5750000000000003E-2</v>
      </c>
      <c r="L269" s="210">
        <v>0.32250000000000001</v>
      </c>
      <c r="M269" s="210">
        <v>0.49</v>
      </c>
      <c r="N269" s="211">
        <v>38.5</v>
      </c>
      <c r="O269" s="211">
        <f t="shared" si="50"/>
        <v>28.682500000000001</v>
      </c>
      <c r="P269" s="201">
        <v>74.5</v>
      </c>
      <c r="Q269" s="354">
        <v>0.24</v>
      </c>
      <c r="R269" s="219">
        <v>71.5</v>
      </c>
      <c r="S269" s="201" t="s">
        <v>427</v>
      </c>
      <c r="T269" s="201" t="s">
        <v>458</v>
      </c>
      <c r="U269" s="201"/>
      <c r="V269" s="343"/>
      <c r="W269" s="215">
        <f t="shared" si="45"/>
        <v>34</v>
      </c>
      <c r="X269" s="208">
        <f t="shared" si="45"/>
        <v>265</v>
      </c>
      <c r="Y269" s="209"/>
      <c r="Z269" s="210"/>
      <c r="AA269" s="210"/>
      <c r="AB269" s="211"/>
      <c r="AC269" s="211"/>
      <c r="AD269" s="211"/>
      <c r="AE269" s="210"/>
      <c r="AF269" s="212"/>
      <c r="AG269" s="201"/>
      <c r="AH269" s="201"/>
      <c r="AI269" s="346"/>
      <c r="AJ269" s="201"/>
      <c r="AK269" s="201"/>
      <c r="AL269" s="201"/>
      <c r="AM269" s="201"/>
      <c r="AN269" s="201"/>
      <c r="AO269" s="201"/>
      <c r="AP269" s="201"/>
      <c r="AQ269" s="201"/>
      <c r="AR269" s="201"/>
      <c r="AS269" s="201"/>
      <c r="AT269" s="201"/>
      <c r="AU269" s="476" t="str">
        <f t="shared" si="42"/>
        <v>Ok</v>
      </c>
      <c r="AV269" s="201"/>
      <c r="AW269" s="221">
        <f t="shared" si="46"/>
        <v>34</v>
      </c>
      <c r="AX269" s="208">
        <f t="shared" si="47"/>
        <v>265</v>
      </c>
      <c r="AY269" s="222"/>
      <c r="AZ269" s="222"/>
      <c r="BA269" s="222"/>
      <c r="BB269" s="222"/>
      <c r="BC269" s="222"/>
      <c r="BD269" s="201"/>
      <c r="BE269" s="201"/>
      <c r="BF269" s="201"/>
      <c r="BG269" s="201"/>
      <c r="BH269" s="455">
        <v>46289</v>
      </c>
      <c r="BI269" s="215">
        <f t="shared" si="48"/>
        <v>34</v>
      </c>
      <c r="BJ269" s="208">
        <f t="shared" si="48"/>
        <v>265</v>
      </c>
      <c r="BK269" s="223">
        <v>29</v>
      </c>
      <c r="BL269" s="208">
        <v>259</v>
      </c>
      <c r="BM269" s="224"/>
      <c r="BN269" s="201"/>
      <c r="BO269" s="201"/>
      <c r="BP269" s="201"/>
    </row>
    <row r="270" spans="1:68" ht="15.5">
      <c r="A270" s="201">
        <v>11</v>
      </c>
      <c r="B270" s="219">
        <v>64</v>
      </c>
      <c r="C270" s="353">
        <v>46280</v>
      </c>
      <c r="D270" s="491">
        <f t="shared" si="49"/>
        <v>9</v>
      </c>
      <c r="E270" s="204" t="s">
        <v>72</v>
      </c>
      <c r="F270" s="357"/>
      <c r="G270" s="358"/>
      <c r="H270" s="207">
        <v>46281</v>
      </c>
      <c r="I270" s="215">
        <v>34</v>
      </c>
      <c r="J270" s="359">
        <v>266</v>
      </c>
      <c r="K270" s="209">
        <v>7.0250000000000007E-2</v>
      </c>
      <c r="L270" s="210">
        <v>0.36250000000000004</v>
      </c>
      <c r="M270" s="210">
        <v>0.44</v>
      </c>
      <c r="N270" s="211">
        <v>35.75</v>
      </c>
      <c r="O270" s="211">
        <f t="shared" si="50"/>
        <v>27.974374999999998</v>
      </c>
      <c r="P270" s="201">
        <v>78.25</v>
      </c>
      <c r="Q270" s="354">
        <v>0.24</v>
      </c>
      <c r="R270" s="219">
        <v>71.5</v>
      </c>
      <c r="S270" s="201" t="s">
        <v>427</v>
      </c>
      <c r="T270" s="201" t="s">
        <v>458</v>
      </c>
      <c r="U270" s="201"/>
      <c r="V270" s="343"/>
      <c r="W270" s="215">
        <f t="shared" si="45"/>
        <v>34</v>
      </c>
      <c r="X270" s="208">
        <f t="shared" si="45"/>
        <v>266</v>
      </c>
      <c r="Y270" s="209"/>
      <c r="Z270" s="210"/>
      <c r="AA270" s="210"/>
      <c r="AB270" s="211"/>
      <c r="AC270" s="211"/>
      <c r="AD270" s="211"/>
      <c r="AE270" s="210"/>
      <c r="AF270" s="212"/>
      <c r="AG270" s="201"/>
      <c r="AH270" s="201"/>
      <c r="AI270" s="346"/>
      <c r="AJ270" s="201"/>
      <c r="AK270" s="201"/>
      <c r="AL270" s="201"/>
      <c r="AM270" s="201"/>
      <c r="AN270" s="201"/>
      <c r="AO270" s="201"/>
      <c r="AP270" s="201"/>
      <c r="AQ270" s="201"/>
      <c r="AR270" s="201"/>
      <c r="AS270" s="201"/>
      <c r="AT270" s="201"/>
      <c r="AU270" s="476" t="str">
        <f t="shared" si="42"/>
        <v>Ok</v>
      </c>
      <c r="AV270" s="201"/>
      <c r="AW270" s="221">
        <f t="shared" si="46"/>
        <v>34</v>
      </c>
      <c r="AX270" s="208">
        <f t="shared" si="47"/>
        <v>266</v>
      </c>
      <c r="AY270" s="222"/>
      <c r="AZ270" s="222"/>
      <c r="BA270" s="222"/>
      <c r="BB270" s="222"/>
      <c r="BC270" s="222"/>
      <c r="BD270" s="201"/>
      <c r="BE270" s="201"/>
      <c r="BF270" s="201"/>
      <c r="BG270" s="201"/>
      <c r="BH270" s="455">
        <v>46289</v>
      </c>
      <c r="BI270" s="215">
        <f t="shared" si="48"/>
        <v>34</v>
      </c>
      <c r="BJ270" s="208">
        <f t="shared" si="48"/>
        <v>266</v>
      </c>
      <c r="BK270" s="223">
        <v>30</v>
      </c>
      <c r="BL270" s="208">
        <v>260</v>
      </c>
      <c r="BM270" s="224"/>
      <c r="BN270" s="201"/>
      <c r="BO270" s="201"/>
      <c r="BP270" s="201"/>
    </row>
    <row r="271" spans="1:68" ht="15.5">
      <c r="A271" s="201">
        <v>11</v>
      </c>
      <c r="B271" s="219">
        <v>64</v>
      </c>
      <c r="C271" s="353">
        <v>46280</v>
      </c>
      <c r="D271" s="491">
        <f t="shared" si="49"/>
        <v>9</v>
      </c>
      <c r="E271" s="204" t="s">
        <v>72</v>
      </c>
      <c r="F271" s="357"/>
      <c r="G271" s="358"/>
      <c r="H271" s="207">
        <v>46281</v>
      </c>
      <c r="I271" s="215">
        <v>34</v>
      </c>
      <c r="J271" s="359">
        <v>267</v>
      </c>
      <c r="K271" s="209">
        <v>4.7500000000000001E-2</v>
      </c>
      <c r="L271" s="210">
        <v>0.36249999999999993</v>
      </c>
      <c r="M271" s="210">
        <v>0.43</v>
      </c>
      <c r="N271" s="211">
        <v>35.75</v>
      </c>
      <c r="O271" s="211">
        <f t="shared" si="50"/>
        <v>28.510625000000001</v>
      </c>
      <c r="P271" s="201">
        <v>79.75</v>
      </c>
      <c r="Q271" s="354">
        <v>0.24</v>
      </c>
      <c r="R271" s="219">
        <v>71.5</v>
      </c>
      <c r="S271" s="201" t="s">
        <v>427</v>
      </c>
      <c r="T271" s="201" t="s">
        <v>458</v>
      </c>
      <c r="U271" s="201"/>
      <c r="V271" s="343"/>
      <c r="W271" s="215">
        <f t="shared" si="45"/>
        <v>34</v>
      </c>
      <c r="X271" s="208">
        <f t="shared" si="45"/>
        <v>267</v>
      </c>
      <c r="Y271" s="209"/>
      <c r="Z271" s="210"/>
      <c r="AA271" s="210"/>
      <c r="AB271" s="211"/>
      <c r="AC271" s="211"/>
      <c r="AD271" s="211"/>
      <c r="AE271" s="210"/>
      <c r="AF271" s="212"/>
      <c r="AG271" s="201"/>
      <c r="AH271" s="201"/>
      <c r="AI271" s="346">
        <v>46288</v>
      </c>
      <c r="AJ271" s="201"/>
      <c r="AK271" s="201"/>
      <c r="AL271" s="201"/>
      <c r="AM271" s="201"/>
      <c r="AN271" s="201"/>
      <c r="AO271" s="201"/>
      <c r="AP271" s="201"/>
      <c r="AQ271" s="201"/>
      <c r="AR271" s="201"/>
      <c r="AS271" s="201"/>
      <c r="AT271" s="201"/>
      <c r="AU271" s="476" t="str">
        <f t="shared" si="42"/>
        <v>Ok</v>
      </c>
      <c r="AV271" s="201"/>
      <c r="AW271" s="221">
        <f t="shared" si="46"/>
        <v>34</v>
      </c>
      <c r="AX271" s="208">
        <f t="shared" si="47"/>
        <v>267</v>
      </c>
      <c r="AY271" s="222"/>
      <c r="AZ271" s="222"/>
      <c r="BA271" s="222"/>
      <c r="BB271" s="222"/>
      <c r="BC271" s="222"/>
      <c r="BD271" s="201"/>
      <c r="BE271" s="201"/>
      <c r="BF271" s="201"/>
      <c r="BG271" s="201"/>
      <c r="BH271" s="455">
        <v>46289</v>
      </c>
      <c r="BI271" s="215">
        <f t="shared" si="48"/>
        <v>34</v>
      </c>
      <c r="BJ271" s="208">
        <f t="shared" si="48"/>
        <v>267</v>
      </c>
      <c r="BK271" s="223">
        <v>30</v>
      </c>
      <c r="BL271" s="208">
        <v>261</v>
      </c>
      <c r="BM271" s="224"/>
      <c r="BN271" s="201"/>
      <c r="BO271" s="201"/>
      <c r="BP271" s="201"/>
    </row>
    <row r="272" spans="1:68" ht="15.5">
      <c r="A272" s="201">
        <v>11</v>
      </c>
      <c r="B272" s="219">
        <v>64</v>
      </c>
      <c r="C272" s="353">
        <v>46280</v>
      </c>
      <c r="D272" s="491">
        <f t="shared" si="49"/>
        <v>9</v>
      </c>
      <c r="E272" s="204" t="s">
        <v>72</v>
      </c>
      <c r="F272" s="357"/>
      <c r="G272" s="358"/>
      <c r="H272" s="207">
        <v>46281</v>
      </c>
      <c r="I272" s="215">
        <v>34</v>
      </c>
      <c r="J272" s="359">
        <v>268</v>
      </c>
      <c r="K272" s="209">
        <v>4.4499999999999998E-2</v>
      </c>
      <c r="L272" s="210">
        <v>0.33250000000000002</v>
      </c>
      <c r="M272" s="210">
        <v>0.33</v>
      </c>
      <c r="N272" s="211">
        <v>36.5</v>
      </c>
      <c r="O272" s="211">
        <f t="shared" si="50"/>
        <v>28.37875</v>
      </c>
      <c r="P272" s="201">
        <v>77.75</v>
      </c>
      <c r="Q272" s="354">
        <v>0.24</v>
      </c>
      <c r="R272" s="219">
        <v>71.5</v>
      </c>
      <c r="S272" s="201" t="s">
        <v>427</v>
      </c>
      <c r="T272" s="201" t="s">
        <v>458</v>
      </c>
      <c r="U272" s="201"/>
      <c r="V272" s="343"/>
      <c r="W272" s="215">
        <f t="shared" si="45"/>
        <v>34</v>
      </c>
      <c r="X272" s="208">
        <f t="shared" si="45"/>
        <v>268</v>
      </c>
      <c r="Y272" s="209"/>
      <c r="Z272" s="210"/>
      <c r="AA272" s="210"/>
      <c r="AB272" s="211"/>
      <c r="AC272" s="211"/>
      <c r="AD272" s="211"/>
      <c r="AE272" s="210"/>
      <c r="AF272" s="212"/>
      <c r="AG272" s="201"/>
      <c r="AH272" s="201"/>
      <c r="AI272" s="346">
        <v>46288</v>
      </c>
      <c r="AJ272" s="201"/>
      <c r="AK272" s="201"/>
      <c r="AL272" s="201"/>
      <c r="AM272" s="201"/>
      <c r="AN272" s="201"/>
      <c r="AO272" s="201"/>
      <c r="AP272" s="201"/>
      <c r="AQ272" s="201"/>
      <c r="AR272" s="201"/>
      <c r="AS272" s="201"/>
      <c r="AT272" s="201"/>
      <c r="AU272" s="476" t="str">
        <f t="shared" si="42"/>
        <v>Ok</v>
      </c>
      <c r="AV272" s="201"/>
      <c r="AW272" s="221">
        <f t="shared" si="46"/>
        <v>34</v>
      </c>
      <c r="AX272" s="208">
        <f t="shared" si="47"/>
        <v>268</v>
      </c>
      <c r="AY272" s="222"/>
      <c r="AZ272" s="222"/>
      <c r="BA272" s="222"/>
      <c r="BB272" s="222"/>
      <c r="BC272" s="222"/>
      <c r="BD272" s="201"/>
      <c r="BE272" s="201"/>
      <c r="BF272" s="201"/>
      <c r="BG272" s="201"/>
      <c r="BH272" s="455">
        <v>46289</v>
      </c>
      <c r="BI272" s="215">
        <f t="shared" si="48"/>
        <v>34</v>
      </c>
      <c r="BJ272" s="208">
        <f t="shared" si="48"/>
        <v>268</v>
      </c>
      <c r="BK272" s="223">
        <v>30</v>
      </c>
      <c r="BL272" s="208">
        <v>262</v>
      </c>
      <c r="BM272" s="224"/>
      <c r="BN272" s="201"/>
      <c r="BO272" s="201"/>
      <c r="BP272" s="201"/>
    </row>
    <row r="273" spans="1:68" ht="15.5">
      <c r="A273" s="201">
        <v>11</v>
      </c>
      <c r="B273" s="219">
        <v>64</v>
      </c>
      <c r="C273" s="353">
        <v>46280</v>
      </c>
      <c r="D273" s="491">
        <f t="shared" si="49"/>
        <v>9</v>
      </c>
      <c r="E273" s="204" t="s">
        <v>72</v>
      </c>
      <c r="F273" s="357"/>
      <c r="G273" s="358"/>
      <c r="H273" s="207">
        <v>46281</v>
      </c>
      <c r="I273" s="215">
        <v>34</v>
      </c>
      <c r="J273" s="359">
        <v>269</v>
      </c>
      <c r="K273" s="209">
        <v>5.2999999999999999E-2</v>
      </c>
      <c r="L273" s="210">
        <v>0.33500000000000002</v>
      </c>
      <c r="M273" s="210">
        <v>0.25</v>
      </c>
      <c r="N273" s="211">
        <v>37.75</v>
      </c>
      <c r="O273" s="211">
        <f t="shared" si="50"/>
        <v>29.728124999999999</v>
      </c>
      <c r="P273" s="201">
        <v>78.75</v>
      </c>
      <c r="Q273" s="354">
        <v>0.24</v>
      </c>
      <c r="R273" s="219">
        <v>72</v>
      </c>
      <c r="S273" s="201" t="s">
        <v>427</v>
      </c>
      <c r="T273" s="201" t="s">
        <v>458</v>
      </c>
      <c r="U273" s="201"/>
      <c r="V273" s="343"/>
      <c r="W273" s="215">
        <f t="shared" si="45"/>
        <v>34</v>
      </c>
      <c r="X273" s="208">
        <f t="shared" si="45"/>
        <v>269</v>
      </c>
      <c r="Y273" s="209"/>
      <c r="Z273" s="210"/>
      <c r="AA273" s="210"/>
      <c r="AB273" s="211"/>
      <c r="AC273" s="211"/>
      <c r="AD273" s="211"/>
      <c r="AE273" s="210"/>
      <c r="AF273" s="212"/>
      <c r="AG273" s="201"/>
      <c r="AH273" s="201"/>
      <c r="AI273" s="346"/>
      <c r="AJ273" s="201"/>
      <c r="AK273" s="201"/>
      <c r="AL273" s="201"/>
      <c r="AM273" s="201"/>
      <c r="AN273" s="201"/>
      <c r="AO273" s="201"/>
      <c r="AP273" s="201"/>
      <c r="AQ273" s="201"/>
      <c r="AR273" s="201"/>
      <c r="AS273" s="201"/>
      <c r="AT273" s="201"/>
      <c r="AU273" s="476" t="str">
        <f t="shared" si="42"/>
        <v>Ok</v>
      </c>
      <c r="AV273" s="201"/>
      <c r="AW273" s="221">
        <f t="shared" si="46"/>
        <v>34</v>
      </c>
      <c r="AX273" s="208">
        <f t="shared" si="47"/>
        <v>269</v>
      </c>
      <c r="AY273" s="222"/>
      <c r="AZ273" s="222"/>
      <c r="BA273" s="222"/>
      <c r="BB273" s="222"/>
      <c r="BC273" s="222"/>
      <c r="BD273" s="201"/>
      <c r="BE273" s="201"/>
      <c r="BF273" s="201"/>
      <c r="BG273" s="201"/>
      <c r="BH273" s="455">
        <v>46289</v>
      </c>
      <c r="BI273" s="215">
        <f t="shared" si="48"/>
        <v>34</v>
      </c>
      <c r="BJ273" s="208">
        <f t="shared" si="48"/>
        <v>269</v>
      </c>
      <c r="BK273" s="223">
        <v>30</v>
      </c>
      <c r="BL273" s="208">
        <v>263</v>
      </c>
      <c r="BM273" s="224"/>
      <c r="BN273" s="201"/>
      <c r="BO273" s="201"/>
      <c r="BP273" s="201"/>
    </row>
    <row r="274" spans="1:68" ht="15.5">
      <c r="A274" s="201">
        <v>11</v>
      </c>
      <c r="B274" s="219">
        <v>64</v>
      </c>
      <c r="C274" s="353">
        <v>46280</v>
      </c>
      <c r="D274" s="491">
        <f t="shared" si="49"/>
        <v>9</v>
      </c>
      <c r="E274" s="204" t="s">
        <v>72</v>
      </c>
      <c r="F274" s="357"/>
      <c r="G274" s="358"/>
      <c r="H274" s="207">
        <v>46281</v>
      </c>
      <c r="I274" s="215">
        <v>34</v>
      </c>
      <c r="J274" s="359">
        <v>270</v>
      </c>
      <c r="K274" s="209">
        <v>4.675E-2</v>
      </c>
      <c r="L274" s="210">
        <v>0.34250000000000003</v>
      </c>
      <c r="M274" s="210">
        <v>0.3</v>
      </c>
      <c r="N274" s="211">
        <v>34.75</v>
      </c>
      <c r="O274" s="211">
        <f t="shared" si="50"/>
        <v>27.018125000000001</v>
      </c>
      <c r="P274" s="201">
        <v>77.75</v>
      </c>
      <c r="Q274" s="354">
        <v>0.24</v>
      </c>
      <c r="R274" s="219">
        <v>72</v>
      </c>
      <c r="S274" s="201" t="s">
        <v>427</v>
      </c>
      <c r="T274" s="201" t="s">
        <v>458</v>
      </c>
      <c r="U274" s="201"/>
      <c r="V274" s="343"/>
      <c r="W274" s="215">
        <f t="shared" si="45"/>
        <v>34</v>
      </c>
      <c r="X274" s="208">
        <f t="shared" si="45"/>
        <v>270</v>
      </c>
      <c r="Y274" s="209"/>
      <c r="Z274" s="210"/>
      <c r="AA274" s="210"/>
      <c r="AB274" s="211"/>
      <c r="AC274" s="211"/>
      <c r="AD274" s="211"/>
      <c r="AE274" s="210"/>
      <c r="AF274" s="212"/>
      <c r="AG274" s="201"/>
      <c r="AH274" s="201"/>
      <c r="AI274" s="346"/>
      <c r="AJ274" s="201"/>
      <c r="AK274" s="201"/>
      <c r="AL274" s="201"/>
      <c r="AM274" s="201"/>
      <c r="AN274" s="201"/>
      <c r="AO274" s="201"/>
      <c r="AP274" s="201"/>
      <c r="AQ274" s="201"/>
      <c r="AR274" s="201"/>
      <c r="AS274" s="201"/>
      <c r="AT274" s="201"/>
      <c r="AU274" s="476" t="str">
        <f t="shared" ref="AU274:AU337" si="51">IF(OR(T274="Reject",AH274="Reject",AP274="Reject"),"Reject",IF(OR(T274="Hold",AH274="Hold",AP271="Hold"),"Hold","Ok"))</f>
        <v>Ok</v>
      </c>
      <c r="AV274" s="201"/>
      <c r="AW274" s="221">
        <f t="shared" si="46"/>
        <v>34</v>
      </c>
      <c r="AX274" s="208">
        <f t="shared" si="47"/>
        <v>270</v>
      </c>
      <c r="AY274" s="222"/>
      <c r="AZ274" s="222"/>
      <c r="BA274" s="222"/>
      <c r="BB274" s="222"/>
      <c r="BC274" s="222"/>
      <c r="BD274" s="201"/>
      <c r="BE274" s="201"/>
      <c r="BF274" s="201"/>
      <c r="BG274" s="201"/>
      <c r="BH274" s="455">
        <v>46289</v>
      </c>
      <c r="BI274" s="215">
        <f t="shared" si="48"/>
        <v>34</v>
      </c>
      <c r="BJ274" s="208">
        <f t="shared" si="48"/>
        <v>270</v>
      </c>
      <c r="BK274" s="223">
        <v>30</v>
      </c>
      <c r="BL274" s="208">
        <v>264</v>
      </c>
      <c r="BM274" s="224"/>
      <c r="BN274" s="201"/>
      <c r="BO274" s="201"/>
      <c r="BP274" s="201"/>
    </row>
    <row r="275" spans="1:68" ht="15.5">
      <c r="A275" s="201">
        <v>11</v>
      </c>
      <c r="B275" s="219">
        <v>64</v>
      </c>
      <c r="C275" s="353">
        <v>46280</v>
      </c>
      <c r="D275" s="491">
        <f t="shared" si="49"/>
        <v>9</v>
      </c>
      <c r="E275" s="204" t="s">
        <v>72</v>
      </c>
      <c r="F275" s="357"/>
      <c r="G275" s="358"/>
      <c r="H275" s="207">
        <v>46281</v>
      </c>
      <c r="I275" s="215">
        <v>34</v>
      </c>
      <c r="J275" s="359">
        <v>271</v>
      </c>
      <c r="K275" s="209">
        <v>2.9499999999999998E-2</v>
      </c>
      <c r="L275" s="210">
        <v>0.375</v>
      </c>
      <c r="M275" s="210">
        <v>0.26</v>
      </c>
      <c r="N275" s="211">
        <v>33.75</v>
      </c>
      <c r="O275" s="211">
        <f t="shared" si="50"/>
        <v>26.493749999999999</v>
      </c>
      <c r="P275" s="201">
        <v>78.5</v>
      </c>
      <c r="Q275" s="354">
        <v>0.24</v>
      </c>
      <c r="R275" s="219">
        <v>72</v>
      </c>
      <c r="S275" s="201" t="s">
        <v>427</v>
      </c>
      <c r="T275" s="201" t="s">
        <v>458</v>
      </c>
      <c r="U275" s="201"/>
      <c r="V275" s="343"/>
      <c r="W275" s="215">
        <f t="shared" si="45"/>
        <v>34</v>
      </c>
      <c r="X275" s="208">
        <f t="shared" si="45"/>
        <v>271</v>
      </c>
      <c r="Y275" s="209"/>
      <c r="Z275" s="210"/>
      <c r="AA275" s="210"/>
      <c r="AB275" s="211"/>
      <c r="AC275" s="211"/>
      <c r="AD275" s="211"/>
      <c r="AE275" s="210"/>
      <c r="AF275" s="212"/>
      <c r="AG275" s="201"/>
      <c r="AH275" s="201"/>
      <c r="AI275" s="346"/>
      <c r="AJ275" s="201"/>
      <c r="AK275" s="201"/>
      <c r="AL275" s="201"/>
      <c r="AM275" s="201"/>
      <c r="AN275" s="201"/>
      <c r="AO275" s="201"/>
      <c r="AP275" s="201"/>
      <c r="AQ275" s="201"/>
      <c r="AR275" s="201"/>
      <c r="AS275" s="201"/>
      <c r="AT275" s="201"/>
      <c r="AU275" s="476" t="str">
        <f t="shared" si="51"/>
        <v>Ok</v>
      </c>
      <c r="AV275" s="201"/>
      <c r="AW275" s="221">
        <f t="shared" si="46"/>
        <v>34</v>
      </c>
      <c r="AX275" s="208">
        <f t="shared" si="47"/>
        <v>271</v>
      </c>
      <c r="AY275" s="222"/>
      <c r="AZ275" s="222"/>
      <c r="BA275" s="222"/>
      <c r="BB275" s="222"/>
      <c r="BC275" s="222"/>
      <c r="BD275" s="201"/>
      <c r="BE275" s="201"/>
      <c r="BF275" s="201"/>
      <c r="BG275" s="201"/>
      <c r="BH275" s="455">
        <v>46289</v>
      </c>
      <c r="BI275" s="215">
        <f t="shared" si="48"/>
        <v>34</v>
      </c>
      <c r="BJ275" s="208">
        <f t="shared" si="48"/>
        <v>271</v>
      </c>
      <c r="BK275" s="223">
        <v>30</v>
      </c>
      <c r="BL275" s="208">
        <v>265</v>
      </c>
      <c r="BM275" s="224"/>
      <c r="BN275" s="201"/>
      <c r="BO275" s="201"/>
      <c r="BP275" s="201"/>
    </row>
    <row r="276" spans="1:68" ht="15.5">
      <c r="A276" s="201">
        <v>11</v>
      </c>
      <c r="B276" s="219">
        <v>64</v>
      </c>
      <c r="C276" s="353">
        <v>46280</v>
      </c>
      <c r="D276" s="491">
        <f t="shared" si="49"/>
        <v>9</v>
      </c>
      <c r="E276" s="204" t="s">
        <v>72</v>
      </c>
      <c r="F276" s="357"/>
      <c r="G276" s="358"/>
      <c r="H276" s="207">
        <v>46281</v>
      </c>
      <c r="I276" s="215">
        <v>34</v>
      </c>
      <c r="J276" s="359">
        <v>272</v>
      </c>
      <c r="K276" s="209">
        <v>5.2249999999999998E-2</v>
      </c>
      <c r="L276" s="210">
        <v>0.35750000000000004</v>
      </c>
      <c r="M276" s="210">
        <v>0.31</v>
      </c>
      <c r="N276" s="211">
        <v>36.25</v>
      </c>
      <c r="O276" s="211">
        <f t="shared" si="50"/>
        <v>28.003125000000001</v>
      </c>
      <c r="P276" s="201">
        <v>77.25</v>
      </c>
      <c r="Q276" s="354">
        <v>0.24</v>
      </c>
      <c r="R276" s="219">
        <v>72</v>
      </c>
      <c r="S276" s="201" t="s">
        <v>427</v>
      </c>
      <c r="T276" s="201" t="s">
        <v>458</v>
      </c>
      <c r="U276" s="201"/>
      <c r="V276" s="343"/>
      <c r="W276" s="215">
        <f t="shared" si="45"/>
        <v>34</v>
      </c>
      <c r="X276" s="208">
        <f t="shared" si="45"/>
        <v>272</v>
      </c>
      <c r="Y276" s="209"/>
      <c r="Z276" s="210"/>
      <c r="AA276" s="210"/>
      <c r="AB276" s="211"/>
      <c r="AC276" s="211"/>
      <c r="AD276" s="211"/>
      <c r="AE276" s="210"/>
      <c r="AF276" s="212"/>
      <c r="AG276" s="201"/>
      <c r="AH276" s="201"/>
      <c r="AI276" s="346"/>
      <c r="AJ276" s="201"/>
      <c r="AK276" s="201"/>
      <c r="AL276" s="201"/>
      <c r="AM276" s="201"/>
      <c r="AN276" s="201"/>
      <c r="AO276" s="201"/>
      <c r="AP276" s="201"/>
      <c r="AQ276" s="201"/>
      <c r="AR276" s="201"/>
      <c r="AS276" s="201"/>
      <c r="AT276" s="201"/>
      <c r="AU276" s="476" t="str">
        <f t="shared" si="51"/>
        <v>Ok</v>
      </c>
      <c r="AV276" s="201"/>
      <c r="AW276" s="221">
        <f t="shared" si="46"/>
        <v>34</v>
      </c>
      <c r="AX276" s="208">
        <f t="shared" si="47"/>
        <v>272</v>
      </c>
      <c r="AY276" s="222"/>
      <c r="AZ276" s="222"/>
      <c r="BA276" s="222"/>
      <c r="BB276" s="222"/>
      <c r="BC276" s="222"/>
      <c r="BD276" s="201"/>
      <c r="BE276" s="201"/>
      <c r="BF276" s="201"/>
      <c r="BG276" s="201"/>
      <c r="BH276" s="455">
        <v>46289</v>
      </c>
      <c r="BI276" s="215">
        <f t="shared" si="48"/>
        <v>34</v>
      </c>
      <c r="BJ276" s="208">
        <f t="shared" si="48"/>
        <v>272</v>
      </c>
      <c r="BK276" s="223">
        <v>30</v>
      </c>
      <c r="BL276" s="208">
        <v>266</v>
      </c>
      <c r="BM276" s="224"/>
      <c r="BN276" s="201"/>
      <c r="BO276" s="201"/>
      <c r="BP276" s="201"/>
    </row>
    <row r="277" spans="1:68" ht="15.5">
      <c r="A277" s="201">
        <v>11</v>
      </c>
      <c r="B277" s="219" t="s">
        <v>802</v>
      </c>
      <c r="C277" s="348">
        <v>46281</v>
      </c>
      <c r="D277" s="491">
        <f t="shared" si="49"/>
        <v>9</v>
      </c>
      <c r="E277" s="204" t="s">
        <v>72</v>
      </c>
      <c r="F277" s="357"/>
      <c r="G277" s="358"/>
      <c r="H277" s="207">
        <v>46282</v>
      </c>
      <c r="I277" s="215">
        <v>35</v>
      </c>
      <c r="J277" s="359">
        <v>273</v>
      </c>
      <c r="K277" s="209">
        <v>3.1E-2</v>
      </c>
      <c r="L277" s="210">
        <v>0.32</v>
      </c>
      <c r="M277" s="210">
        <v>0.22</v>
      </c>
      <c r="N277" s="211">
        <v>35.75</v>
      </c>
      <c r="O277" s="211">
        <f t="shared" si="50"/>
        <v>28.510625000000001</v>
      </c>
      <c r="P277" s="201">
        <v>79.75</v>
      </c>
      <c r="Q277" s="210">
        <v>0.22</v>
      </c>
      <c r="R277" s="219">
        <v>74.5</v>
      </c>
      <c r="S277" s="201" t="s">
        <v>427</v>
      </c>
      <c r="T277" s="201" t="s">
        <v>458</v>
      </c>
      <c r="U277" s="201"/>
      <c r="V277" s="343"/>
      <c r="W277" s="215">
        <f t="shared" ref="W277:X340" si="52">I277</f>
        <v>35</v>
      </c>
      <c r="X277" s="208">
        <f t="shared" si="52"/>
        <v>273</v>
      </c>
      <c r="Y277" s="209"/>
      <c r="Z277" s="210"/>
      <c r="AA277" s="210"/>
      <c r="AB277" s="211"/>
      <c r="AC277" s="211"/>
      <c r="AD277" s="211"/>
      <c r="AE277" s="210"/>
      <c r="AF277" s="212"/>
      <c r="AG277" s="201"/>
      <c r="AH277" s="201"/>
      <c r="AI277" s="346"/>
      <c r="AJ277" s="201"/>
      <c r="AK277" s="201"/>
      <c r="AL277" s="201"/>
      <c r="AM277" s="201"/>
      <c r="AN277" s="201"/>
      <c r="AO277" s="201"/>
      <c r="AP277" s="201"/>
      <c r="AQ277" s="201"/>
      <c r="AR277" s="201"/>
      <c r="AS277" s="201"/>
      <c r="AT277" s="201"/>
      <c r="AU277" s="476" t="str">
        <f t="shared" si="51"/>
        <v>Ok</v>
      </c>
      <c r="AV277" s="201"/>
      <c r="AW277" s="221">
        <f t="shared" si="46"/>
        <v>35</v>
      </c>
      <c r="AX277" s="208">
        <f t="shared" si="47"/>
        <v>273</v>
      </c>
      <c r="AY277" s="222"/>
      <c r="AZ277" s="222"/>
      <c r="BA277" s="222"/>
      <c r="BB277" s="222"/>
      <c r="BC277" s="222"/>
      <c r="BD277" s="201"/>
      <c r="BE277" s="201"/>
      <c r="BF277" s="201"/>
      <c r="BG277" s="201"/>
      <c r="BH277" s="455">
        <v>46290</v>
      </c>
      <c r="BI277" s="215">
        <f t="shared" ref="BI277:BJ340" si="53">AW277</f>
        <v>35</v>
      </c>
      <c r="BJ277" s="208">
        <f t="shared" si="53"/>
        <v>273</v>
      </c>
      <c r="BK277" s="223">
        <v>31</v>
      </c>
      <c r="BL277" s="208">
        <v>268</v>
      </c>
      <c r="BM277" s="224"/>
      <c r="BN277" s="201"/>
      <c r="BO277" s="201"/>
      <c r="BP277" s="201"/>
    </row>
    <row r="278" spans="1:68" ht="15.5">
      <c r="A278" s="201">
        <v>11</v>
      </c>
      <c r="B278" s="219">
        <v>65</v>
      </c>
      <c r="C278" s="348">
        <v>46281</v>
      </c>
      <c r="D278" s="491">
        <f t="shared" si="49"/>
        <v>9</v>
      </c>
      <c r="E278" s="204" t="s">
        <v>72</v>
      </c>
      <c r="F278" s="357"/>
      <c r="G278" s="358"/>
      <c r="H278" s="207">
        <v>46282</v>
      </c>
      <c r="I278" s="215">
        <v>35</v>
      </c>
      <c r="J278" s="359">
        <v>274</v>
      </c>
      <c r="K278" s="209">
        <v>8.1500000000000003E-2</v>
      </c>
      <c r="L278" s="210">
        <v>0.33750000000000002</v>
      </c>
      <c r="M278" s="210">
        <v>0.43</v>
      </c>
      <c r="N278" s="211">
        <v>32.5</v>
      </c>
      <c r="O278" s="211">
        <f t="shared" si="50"/>
        <v>26.324999999999999</v>
      </c>
      <c r="P278" s="201">
        <v>81</v>
      </c>
      <c r="Q278" s="210">
        <v>0.22</v>
      </c>
      <c r="R278" s="219">
        <v>74.5</v>
      </c>
      <c r="S278" s="201" t="s">
        <v>427</v>
      </c>
      <c r="T278" s="201" t="s">
        <v>458</v>
      </c>
      <c r="U278" s="201"/>
      <c r="V278" s="343"/>
      <c r="W278" s="215">
        <f t="shared" si="52"/>
        <v>35</v>
      </c>
      <c r="X278" s="208">
        <f t="shared" si="52"/>
        <v>274</v>
      </c>
      <c r="Y278" s="209"/>
      <c r="Z278" s="210"/>
      <c r="AA278" s="210"/>
      <c r="AB278" s="211"/>
      <c r="AC278" s="211"/>
      <c r="AD278" s="211"/>
      <c r="AE278" s="210"/>
      <c r="AF278" s="212"/>
      <c r="AG278" s="201"/>
      <c r="AH278" s="201"/>
      <c r="AI278" s="346"/>
      <c r="AJ278" s="201"/>
      <c r="AK278" s="201"/>
      <c r="AL278" s="201"/>
      <c r="AM278" s="201"/>
      <c r="AN278" s="201"/>
      <c r="AO278" s="201"/>
      <c r="AP278" s="201"/>
      <c r="AQ278" s="201"/>
      <c r="AR278" s="201"/>
      <c r="AS278" s="201"/>
      <c r="AT278" s="201"/>
      <c r="AU278" s="476" t="str">
        <f t="shared" si="51"/>
        <v>Ok</v>
      </c>
      <c r="AV278" s="201"/>
      <c r="AW278" s="221">
        <f t="shared" si="46"/>
        <v>35</v>
      </c>
      <c r="AX278" s="208">
        <f t="shared" si="47"/>
        <v>274</v>
      </c>
      <c r="AY278" s="222"/>
      <c r="AZ278" s="222"/>
      <c r="BA278" s="222"/>
      <c r="BB278" s="222"/>
      <c r="BC278" s="222"/>
      <c r="BD278" s="201"/>
      <c r="BE278" s="201"/>
      <c r="BF278" s="201"/>
      <c r="BG278" s="201"/>
      <c r="BH278" s="455">
        <v>46290</v>
      </c>
      <c r="BI278" s="215">
        <f t="shared" si="53"/>
        <v>35</v>
      </c>
      <c r="BJ278" s="208">
        <f t="shared" si="53"/>
        <v>274</v>
      </c>
      <c r="BK278" s="223">
        <v>31</v>
      </c>
      <c r="BL278" s="208">
        <v>269</v>
      </c>
      <c r="BM278" s="224"/>
      <c r="BN278" s="201"/>
      <c r="BO278" s="201"/>
      <c r="BP278" s="201"/>
    </row>
    <row r="279" spans="1:68" ht="15.5">
      <c r="A279" s="201">
        <v>11</v>
      </c>
      <c r="B279" s="219">
        <v>65</v>
      </c>
      <c r="C279" s="348">
        <v>46281</v>
      </c>
      <c r="D279" s="491">
        <f t="shared" si="49"/>
        <v>9</v>
      </c>
      <c r="E279" s="204" t="s">
        <v>72</v>
      </c>
      <c r="F279" s="357"/>
      <c r="G279" s="358"/>
      <c r="H279" s="207">
        <v>46282</v>
      </c>
      <c r="I279" s="215">
        <v>35</v>
      </c>
      <c r="J279" s="359">
        <v>275</v>
      </c>
      <c r="K279" s="209">
        <v>4.5999999999999999E-2</v>
      </c>
      <c r="L279" s="210">
        <v>0.34750000000000003</v>
      </c>
      <c r="M279" s="210">
        <v>0.46</v>
      </c>
      <c r="N279" s="211">
        <v>40.75</v>
      </c>
      <c r="O279" s="211">
        <f t="shared" si="50"/>
        <v>32.396250000000002</v>
      </c>
      <c r="P279" s="201">
        <v>79.5</v>
      </c>
      <c r="Q279" s="210">
        <v>0.22</v>
      </c>
      <c r="R279" s="219">
        <v>74.5</v>
      </c>
      <c r="S279" s="201" t="s">
        <v>427</v>
      </c>
      <c r="T279" s="201" t="s">
        <v>458</v>
      </c>
      <c r="U279" s="201"/>
      <c r="V279" s="343"/>
      <c r="W279" s="215">
        <f t="shared" si="52"/>
        <v>35</v>
      </c>
      <c r="X279" s="208">
        <f t="shared" si="52"/>
        <v>275</v>
      </c>
      <c r="Y279" s="209"/>
      <c r="Z279" s="210"/>
      <c r="AA279" s="210"/>
      <c r="AB279" s="211"/>
      <c r="AC279" s="211"/>
      <c r="AD279" s="211"/>
      <c r="AE279" s="210"/>
      <c r="AF279" s="212"/>
      <c r="AG279" s="201"/>
      <c r="AH279" s="201"/>
      <c r="AI279" s="346"/>
      <c r="AJ279" s="201"/>
      <c r="AK279" s="201"/>
      <c r="AL279" s="201"/>
      <c r="AM279" s="201"/>
      <c r="AN279" s="201"/>
      <c r="AO279" s="201"/>
      <c r="AP279" s="201"/>
      <c r="AQ279" s="201"/>
      <c r="AR279" s="201"/>
      <c r="AS279" s="201"/>
      <c r="AT279" s="201"/>
      <c r="AU279" s="476" t="str">
        <f t="shared" si="51"/>
        <v>Ok</v>
      </c>
      <c r="AV279" s="201"/>
      <c r="AW279" s="221">
        <f t="shared" si="46"/>
        <v>35</v>
      </c>
      <c r="AX279" s="208">
        <f t="shared" si="47"/>
        <v>275</v>
      </c>
      <c r="AY279" s="222"/>
      <c r="AZ279" s="222"/>
      <c r="BA279" s="222"/>
      <c r="BB279" s="222"/>
      <c r="BC279" s="222"/>
      <c r="BD279" s="201"/>
      <c r="BE279" s="201"/>
      <c r="BF279" s="201"/>
      <c r="BG279" s="201"/>
      <c r="BH279" s="455">
        <v>46290</v>
      </c>
      <c r="BI279" s="215">
        <f t="shared" si="53"/>
        <v>35</v>
      </c>
      <c r="BJ279" s="208">
        <f t="shared" si="53"/>
        <v>275</v>
      </c>
      <c r="BK279" s="223">
        <v>31</v>
      </c>
      <c r="BL279" s="208">
        <v>270</v>
      </c>
      <c r="BM279" s="224"/>
      <c r="BN279" s="201"/>
      <c r="BO279" s="201"/>
      <c r="BP279" s="201"/>
    </row>
    <row r="280" spans="1:68" ht="15.5">
      <c r="A280" s="201">
        <v>11</v>
      </c>
      <c r="B280" s="219">
        <v>65</v>
      </c>
      <c r="C280" s="348">
        <v>46281</v>
      </c>
      <c r="D280" s="491">
        <f t="shared" si="49"/>
        <v>9</v>
      </c>
      <c r="E280" s="204" t="s">
        <v>72</v>
      </c>
      <c r="F280" s="357"/>
      <c r="G280" s="358"/>
      <c r="H280" s="207">
        <v>46282</v>
      </c>
      <c r="I280" s="215">
        <v>35</v>
      </c>
      <c r="J280" s="359">
        <v>276</v>
      </c>
      <c r="K280" s="209">
        <v>4.3749999999999997E-2</v>
      </c>
      <c r="L280" s="210">
        <v>0.37750000000000006</v>
      </c>
      <c r="M280" s="210">
        <v>0.39</v>
      </c>
      <c r="N280" s="211">
        <v>38.25</v>
      </c>
      <c r="O280" s="211">
        <f t="shared" si="50"/>
        <v>32.321249999999999</v>
      </c>
      <c r="P280" s="201">
        <v>84.5</v>
      </c>
      <c r="Q280" s="210">
        <v>0.22</v>
      </c>
      <c r="R280" s="219">
        <v>74.5</v>
      </c>
      <c r="S280" s="201" t="s">
        <v>427</v>
      </c>
      <c r="T280" s="201" t="s">
        <v>458</v>
      </c>
      <c r="U280" s="201"/>
      <c r="V280" s="343"/>
      <c r="W280" s="215">
        <f t="shared" si="52"/>
        <v>35</v>
      </c>
      <c r="X280" s="208">
        <f t="shared" si="52"/>
        <v>276</v>
      </c>
      <c r="Y280" s="209"/>
      <c r="Z280" s="210"/>
      <c r="AA280" s="210"/>
      <c r="AB280" s="211"/>
      <c r="AC280" s="211"/>
      <c r="AD280" s="211"/>
      <c r="AE280" s="210"/>
      <c r="AF280" s="212"/>
      <c r="AG280" s="201"/>
      <c r="AH280" s="201"/>
      <c r="AI280" s="346">
        <v>46288</v>
      </c>
      <c r="AJ280" s="201"/>
      <c r="AK280" s="201"/>
      <c r="AL280" s="201"/>
      <c r="AM280" s="201"/>
      <c r="AN280" s="201"/>
      <c r="AO280" s="201"/>
      <c r="AP280" s="201"/>
      <c r="AQ280" s="201"/>
      <c r="AR280" s="201"/>
      <c r="AS280" s="201"/>
      <c r="AT280" s="201"/>
      <c r="AU280" s="476" t="str">
        <f t="shared" si="51"/>
        <v>Ok</v>
      </c>
      <c r="AV280" s="201"/>
      <c r="AW280" s="221">
        <f t="shared" si="46"/>
        <v>35</v>
      </c>
      <c r="AX280" s="208">
        <f t="shared" si="47"/>
        <v>276</v>
      </c>
      <c r="AY280" s="222"/>
      <c r="AZ280" s="222"/>
      <c r="BA280" s="222"/>
      <c r="BB280" s="222"/>
      <c r="BC280" s="222"/>
      <c r="BD280" s="201"/>
      <c r="BE280" s="201"/>
      <c r="BF280" s="201"/>
      <c r="BG280" s="201"/>
      <c r="BH280" s="455">
        <v>46290</v>
      </c>
      <c r="BI280" s="215">
        <f t="shared" si="53"/>
        <v>35</v>
      </c>
      <c r="BJ280" s="208">
        <f t="shared" si="53"/>
        <v>276</v>
      </c>
      <c r="BK280" s="223">
        <v>31</v>
      </c>
      <c r="BL280" s="208">
        <v>271</v>
      </c>
      <c r="BM280" s="224"/>
      <c r="BN280" s="201"/>
      <c r="BO280" s="201"/>
      <c r="BP280" s="201"/>
    </row>
    <row r="281" spans="1:68" ht="15.5">
      <c r="A281" s="201">
        <v>11</v>
      </c>
      <c r="B281" s="219">
        <v>65</v>
      </c>
      <c r="C281" s="348">
        <v>46281</v>
      </c>
      <c r="D281" s="491">
        <f t="shared" si="49"/>
        <v>9</v>
      </c>
      <c r="E281" s="204" t="s">
        <v>72</v>
      </c>
      <c r="F281" s="357"/>
      <c r="G281" s="358"/>
      <c r="H281" s="207">
        <v>46282</v>
      </c>
      <c r="I281" s="215">
        <v>35</v>
      </c>
      <c r="J281" s="359">
        <v>277</v>
      </c>
      <c r="K281" s="209">
        <v>4.8750000000000002E-2</v>
      </c>
      <c r="L281" s="210">
        <v>0.38</v>
      </c>
      <c r="M281" s="210">
        <v>0.36</v>
      </c>
      <c r="N281" s="211">
        <v>39.25</v>
      </c>
      <c r="O281" s="211">
        <f t="shared" si="50"/>
        <v>32.577500000000001</v>
      </c>
      <c r="P281" s="201">
        <v>83</v>
      </c>
      <c r="Q281" s="210">
        <v>0.22</v>
      </c>
      <c r="R281" s="219">
        <v>74.5</v>
      </c>
      <c r="S281" s="201" t="s">
        <v>427</v>
      </c>
      <c r="T281" s="201" t="s">
        <v>458</v>
      </c>
      <c r="U281" s="201"/>
      <c r="V281" s="343"/>
      <c r="W281" s="215">
        <f t="shared" si="52"/>
        <v>35</v>
      </c>
      <c r="X281" s="208">
        <f t="shared" si="52"/>
        <v>277</v>
      </c>
      <c r="Y281" s="209"/>
      <c r="Z281" s="210"/>
      <c r="AA281" s="210"/>
      <c r="AB281" s="211"/>
      <c r="AC281" s="211"/>
      <c r="AD281" s="211"/>
      <c r="AE281" s="210"/>
      <c r="AF281" s="212"/>
      <c r="AG281" s="201"/>
      <c r="AH281" s="201"/>
      <c r="AI281" s="346"/>
      <c r="AJ281" s="201"/>
      <c r="AK281" s="201"/>
      <c r="AL281" s="201"/>
      <c r="AM281" s="201"/>
      <c r="AN281" s="201"/>
      <c r="AO281" s="201"/>
      <c r="AP281" s="201"/>
      <c r="AQ281" s="201"/>
      <c r="AR281" s="201"/>
      <c r="AS281" s="201"/>
      <c r="AT281" s="201"/>
      <c r="AU281" s="476" t="str">
        <f t="shared" si="51"/>
        <v>Ok</v>
      </c>
      <c r="AV281" s="201"/>
      <c r="AW281" s="221">
        <f t="shared" si="46"/>
        <v>35</v>
      </c>
      <c r="AX281" s="208">
        <f t="shared" si="47"/>
        <v>277</v>
      </c>
      <c r="AY281" s="222"/>
      <c r="AZ281" s="222"/>
      <c r="BA281" s="222"/>
      <c r="BB281" s="222"/>
      <c r="BC281" s="222"/>
      <c r="BD281" s="201"/>
      <c r="BE281" s="201"/>
      <c r="BF281" s="201"/>
      <c r="BG281" s="201"/>
      <c r="BH281" s="455">
        <v>46290</v>
      </c>
      <c r="BI281" s="215">
        <f t="shared" si="53"/>
        <v>35</v>
      </c>
      <c r="BJ281" s="208">
        <f t="shared" si="53"/>
        <v>277</v>
      </c>
      <c r="BK281" s="223">
        <v>31</v>
      </c>
      <c r="BL281" s="208">
        <v>272</v>
      </c>
      <c r="BM281" s="224"/>
      <c r="BN281" s="201"/>
      <c r="BO281" s="201"/>
      <c r="BP281" s="201"/>
    </row>
    <row r="282" spans="1:68" ht="15.5">
      <c r="A282" s="201">
        <v>11</v>
      </c>
      <c r="B282" s="219">
        <v>65</v>
      </c>
      <c r="C282" s="348">
        <v>46281</v>
      </c>
      <c r="D282" s="491">
        <f t="shared" si="49"/>
        <v>9</v>
      </c>
      <c r="E282" s="204" t="s">
        <v>72</v>
      </c>
      <c r="F282" s="357"/>
      <c r="G282" s="358"/>
      <c r="H282" s="207">
        <v>46282</v>
      </c>
      <c r="I282" s="215">
        <v>35</v>
      </c>
      <c r="J282" s="359">
        <v>278</v>
      </c>
      <c r="K282" s="209">
        <v>5.8249999999999996E-2</v>
      </c>
      <c r="L282" s="210">
        <v>0.34500000000000003</v>
      </c>
      <c r="M282" s="210">
        <v>0.26</v>
      </c>
      <c r="N282" s="211">
        <v>40</v>
      </c>
      <c r="O282" s="211">
        <f t="shared" si="50"/>
        <v>32</v>
      </c>
      <c r="P282" s="201">
        <v>80</v>
      </c>
      <c r="Q282" s="210">
        <v>0.22</v>
      </c>
      <c r="R282" s="219">
        <v>74.5</v>
      </c>
      <c r="S282" s="201" t="s">
        <v>427</v>
      </c>
      <c r="T282" s="201" t="s">
        <v>458</v>
      </c>
      <c r="U282" s="201"/>
      <c r="V282" s="343"/>
      <c r="W282" s="215">
        <f t="shared" si="52"/>
        <v>35</v>
      </c>
      <c r="X282" s="208">
        <f t="shared" si="52"/>
        <v>278</v>
      </c>
      <c r="Y282" s="209"/>
      <c r="Z282" s="210"/>
      <c r="AA282" s="210"/>
      <c r="AB282" s="211"/>
      <c r="AC282" s="211"/>
      <c r="AD282" s="211"/>
      <c r="AE282" s="210"/>
      <c r="AF282" s="212"/>
      <c r="AG282" s="201"/>
      <c r="AH282" s="201"/>
      <c r="AI282" s="346"/>
      <c r="AJ282" s="201"/>
      <c r="AK282" s="201"/>
      <c r="AL282" s="201"/>
      <c r="AM282" s="201"/>
      <c r="AN282" s="201"/>
      <c r="AO282" s="201"/>
      <c r="AP282" s="201"/>
      <c r="AQ282" s="201"/>
      <c r="AR282" s="201"/>
      <c r="AS282" s="201"/>
      <c r="AT282" s="201"/>
      <c r="AU282" s="476" t="str">
        <f t="shared" si="51"/>
        <v>Ok</v>
      </c>
      <c r="AV282" s="201"/>
      <c r="AW282" s="221">
        <f t="shared" si="46"/>
        <v>35</v>
      </c>
      <c r="AX282" s="208">
        <f t="shared" si="47"/>
        <v>278</v>
      </c>
      <c r="AY282" s="222"/>
      <c r="AZ282" s="222"/>
      <c r="BA282" s="222"/>
      <c r="BB282" s="222"/>
      <c r="BC282" s="222"/>
      <c r="BD282" s="201"/>
      <c r="BE282" s="201"/>
      <c r="BF282" s="201"/>
      <c r="BG282" s="201"/>
      <c r="BH282" s="455">
        <v>46290</v>
      </c>
      <c r="BI282" s="215">
        <f t="shared" si="53"/>
        <v>35</v>
      </c>
      <c r="BJ282" s="208">
        <f t="shared" si="53"/>
        <v>278</v>
      </c>
      <c r="BK282" s="223">
        <v>31</v>
      </c>
      <c r="BL282" s="208">
        <v>273</v>
      </c>
      <c r="BM282" s="224"/>
      <c r="BN282" s="201"/>
      <c r="BO282" s="201"/>
      <c r="BP282" s="201"/>
    </row>
    <row r="283" spans="1:68" ht="15.5">
      <c r="A283" s="201">
        <v>11</v>
      </c>
      <c r="B283" s="219">
        <v>65</v>
      </c>
      <c r="C283" s="348">
        <v>46281</v>
      </c>
      <c r="D283" s="491">
        <f t="shared" si="49"/>
        <v>8</v>
      </c>
      <c r="E283" s="204" t="s">
        <v>72</v>
      </c>
      <c r="F283" s="357"/>
      <c r="G283" s="358"/>
      <c r="H283" s="207">
        <v>46282</v>
      </c>
      <c r="I283" s="215">
        <v>35</v>
      </c>
      <c r="J283" s="359">
        <v>279</v>
      </c>
      <c r="K283" s="209">
        <v>8.0750000000000002E-2</v>
      </c>
      <c r="L283" s="210">
        <v>0.32250000000000001</v>
      </c>
      <c r="M283" s="210">
        <v>0.27</v>
      </c>
      <c r="N283" s="211">
        <v>38.25</v>
      </c>
      <c r="O283" s="211">
        <f t="shared" si="50"/>
        <v>30.313124999999999</v>
      </c>
      <c r="P283" s="201">
        <v>79.25</v>
      </c>
      <c r="Q283" s="210">
        <v>0.22</v>
      </c>
      <c r="R283" s="219">
        <v>74.5</v>
      </c>
      <c r="S283" s="201" t="s">
        <v>427</v>
      </c>
      <c r="T283" s="201" t="s">
        <v>458</v>
      </c>
      <c r="U283" s="201"/>
      <c r="V283" s="343"/>
      <c r="W283" s="215">
        <f t="shared" si="52"/>
        <v>35</v>
      </c>
      <c r="X283" s="208">
        <f t="shared" si="52"/>
        <v>279</v>
      </c>
      <c r="Y283" s="209"/>
      <c r="Z283" s="210"/>
      <c r="AA283" s="210"/>
      <c r="AB283" s="211"/>
      <c r="AC283" s="211"/>
      <c r="AD283" s="211"/>
      <c r="AE283" s="210"/>
      <c r="AF283" s="212"/>
      <c r="AG283" s="201"/>
      <c r="AH283" s="201"/>
      <c r="AI283" s="346"/>
      <c r="AJ283" s="201"/>
      <c r="AK283" s="201"/>
      <c r="AL283" s="201"/>
      <c r="AM283" s="201"/>
      <c r="AN283" s="201"/>
      <c r="AO283" s="201"/>
      <c r="AP283" s="201"/>
      <c r="AQ283" s="201"/>
      <c r="AR283" s="201"/>
      <c r="AS283" s="201"/>
      <c r="AT283" s="201"/>
      <c r="AU283" s="476" t="str">
        <f t="shared" si="51"/>
        <v>Ok</v>
      </c>
      <c r="AV283" s="201"/>
      <c r="AW283" s="221">
        <f t="shared" si="46"/>
        <v>35</v>
      </c>
      <c r="AX283" s="208">
        <f t="shared" si="47"/>
        <v>279</v>
      </c>
      <c r="AY283" s="222"/>
      <c r="AZ283" s="222"/>
      <c r="BA283" s="222"/>
      <c r="BB283" s="222"/>
      <c r="BC283" s="222"/>
      <c r="BD283" s="201"/>
      <c r="BE283" s="201"/>
      <c r="BF283" s="201"/>
      <c r="BG283" s="201"/>
      <c r="BH283" s="455">
        <v>46289</v>
      </c>
      <c r="BI283" s="215">
        <f t="shared" si="53"/>
        <v>35</v>
      </c>
      <c r="BJ283" s="208">
        <f t="shared" si="53"/>
        <v>279</v>
      </c>
      <c r="BK283" s="223">
        <v>30</v>
      </c>
      <c r="BL283" s="208">
        <v>267</v>
      </c>
      <c r="BM283" s="224"/>
      <c r="BN283" s="201"/>
      <c r="BO283" s="201"/>
      <c r="BP283" s="201"/>
    </row>
    <row r="284" spans="1:68" ht="15.5">
      <c r="A284" s="201">
        <v>11</v>
      </c>
      <c r="B284" s="219">
        <v>65</v>
      </c>
      <c r="C284" s="348">
        <v>46281</v>
      </c>
      <c r="D284" s="491">
        <f t="shared" si="49"/>
        <v>9</v>
      </c>
      <c r="E284" s="204" t="s">
        <v>72</v>
      </c>
      <c r="F284" s="357"/>
      <c r="G284" s="358"/>
      <c r="H284" s="207">
        <v>46282</v>
      </c>
      <c r="I284" s="215">
        <v>35</v>
      </c>
      <c r="J284" s="359">
        <v>280</v>
      </c>
      <c r="K284" s="209">
        <v>9.6750000000000003E-2</v>
      </c>
      <c r="L284" s="210">
        <v>0.315</v>
      </c>
      <c r="M284" s="210">
        <v>0.33</v>
      </c>
      <c r="N284" s="211">
        <v>36</v>
      </c>
      <c r="O284" s="211">
        <f t="shared" si="50"/>
        <v>28.89</v>
      </c>
      <c r="P284" s="201">
        <v>80.25</v>
      </c>
      <c r="Q284" s="210">
        <v>0.22</v>
      </c>
      <c r="R284" s="219">
        <v>74.5</v>
      </c>
      <c r="S284" s="201" t="s">
        <v>427</v>
      </c>
      <c r="T284" s="201" t="s">
        <v>458</v>
      </c>
      <c r="U284" s="201"/>
      <c r="V284" s="343"/>
      <c r="W284" s="215">
        <f t="shared" si="52"/>
        <v>35</v>
      </c>
      <c r="X284" s="208">
        <f t="shared" si="52"/>
        <v>280</v>
      </c>
      <c r="Y284" s="209"/>
      <c r="Z284" s="210"/>
      <c r="AA284" s="210"/>
      <c r="AB284" s="211"/>
      <c r="AC284" s="211"/>
      <c r="AD284" s="211"/>
      <c r="AE284" s="210"/>
      <c r="AF284" s="212"/>
      <c r="AG284" s="201"/>
      <c r="AH284" s="201"/>
      <c r="AI284" s="346">
        <v>46288</v>
      </c>
      <c r="AJ284" s="201"/>
      <c r="AK284" s="201"/>
      <c r="AL284" s="201"/>
      <c r="AM284" s="201"/>
      <c r="AN284" s="201"/>
      <c r="AO284" s="201"/>
      <c r="AP284" s="201"/>
      <c r="AQ284" s="201"/>
      <c r="AR284" s="201"/>
      <c r="AS284" s="201"/>
      <c r="AT284" s="201"/>
      <c r="AU284" s="476" t="str">
        <f t="shared" si="51"/>
        <v>Ok</v>
      </c>
      <c r="AV284" s="201"/>
      <c r="AW284" s="221">
        <f t="shared" si="46"/>
        <v>35</v>
      </c>
      <c r="AX284" s="208">
        <f t="shared" si="47"/>
        <v>280</v>
      </c>
      <c r="AY284" s="222"/>
      <c r="AZ284" s="222"/>
      <c r="BA284" s="222"/>
      <c r="BB284" s="222"/>
      <c r="BC284" s="222"/>
      <c r="BD284" s="201"/>
      <c r="BE284" s="201"/>
      <c r="BF284" s="201"/>
      <c r="BG284" s="201"/>
      <c r="BH284" s="455">
        <v>46290</v>
      </c>
      <c r="BI284" s="215">
        <f t="shared" si="53"/>
        <v>35</v>
      </c>
      <c r="BJ284" s="208">
        <f t="shared" si="53"/>
        <v>280</v>
      </c>
      <c r="BK284" s="223">
        <v>31</v>
      </c>
      <c r="BL284" s="208">
        <v>274</v>
      </c>
      <c r="BM284" s="224"/>
      <c r="BN284" s="201"/>
      <c r="BO284" s="201"/>
      <c r="BP284" s="201"/>
    </row>
    <row r="285" spans="1:68" ht="15.5">
      <c r="A285" s="201">
        <v>11</v>
      </c>
      <c r="B285" s="219">
        <v>65</v>
      </c>
      <c r="C285" s="348">
        <v>46281</v>
      </c>
      <c r="D285" s="491">
        <f>BH285-C285</f>
        <v>9</v>
      </c>
      <c r="E285" s="204" t="s">
        <v>72</v>
      </c>
      <c r="F285" s="357"/>
      <c r="G285" s="358"/>
      <c r="H285" s="207">
        <v>46282</v>
      </c>
      <c r="I285" s="215">
        <v>36</v>
      </c>
      <c r="J285" s="359">
        <v>281</v>
      </c>
      <c r="K285" s="209">
        <v>8.5250000000000006E-2</v>
      </c>
      <c r="L285" s="210">
        <v>0.28500000000000003</v>
      </c>
      <c r="M285" s="210">
        <v>0.28999999999999998</v>
      </c>
      <c r="N285" s="211">
        <v>35</v>
      </c>
      <c r="O285" s="211">
        <f t="shared" si="50"/>
        <v>26.95</v>
      </c>
      <c r="P285" s="201">
        <v>77</v>
      </c>
      <c r="Q285" s="210">
        <v>0.23</v>
      </c>
      <c r="R285" s="219">
        <v>70</v>
      </c>
      <c r="S285" s="201" t="s">
        <v>427</v>
      </c>
      <c r="T285" s="201" t="s">
        <v>458</v>
      </c>
      <c r="U285" s="201"/>
      <c r="V285" s="343"/>
      <c r="W285" s="215">
        <f t="shared" si="52"/>
        <v>36</v>
      </c>
      <c r="X285" s="208">
        <f t="shared" si="52"/>
        <v>281</v>
      </c>
      <c r="Y285" s="209"/>
      <c r="Z285" s="210"/>
      <c r="AA285" s="210"/>
      <c r="AB285" s="211"/>
      <c r="AC285" s="211"/>
      <c r="AD285" s="211"/>
      <c r="AE285" s="210"/>
      <c r="AF285" s="212"/>
      <c r="AG285" s="201"/>
      <c r="AH285" s="201"/>
      <c r="AI285" s="346">
        <v>46288</v>
      </c>
      <c r="AJ285" s="201"/>
      <c r="AK285" s="201"/>
      <c r="AL285" s="201"/>
      <c r="AM285" s="201"/>
      <c r="AN285" s="201"/>
      <c r="AO285" s="201"/>
      <c r="AP285" s="201"/>
      <c r="AQ285" s="201"/>
      <c r="AR285" s="201"/>
      <c r="AS285" s="201"/>
      <c r="AT285" s="201"/>
      <c r="AU285" s="476" t="str">
        <f t="shared" si="51"/>
        <v>Ok</v>
      </c>
      <c r="AV285" s="201"/>
      <c r="AW285" s="221">
        <f t="shared" si="46"/>
        <v>36</v>
      </c>
      <c r="AX285" s="208">
        <f t="shared" si="47"/>
        <v>281</v>
      </c>
      <c r="AY285" s="222"/>
      <c r="AZ285" s="222"/>
      <c r="BA285" s="222"/>
      <c r="BB285" s="222"/>
      <c r="BC285" s="222"/>
      <c r="BD285" s="201"/>
      <c r="BE285" s="201"/>
      <c r="BF285" s="201"/>
      <c r="BG285" s="201"/>
      <c r="BH285" s="455">
        <v>46290</v>
      </c>
      <c r="BI285" s="215">
        <f t="shared" si="53"/>
        <v>36</v>
      </c>
      <c r="BJ285" s="208">
        <f t="shared" si="53"/>
        <v>281</v>
      </c>
      <c r="BK285" s="223">
        <v>31</v>
      </c>
      <c r="BL285" s="208">
        <v>275</v>
      </c>
      <c r="BM285" s="224"/>
      <c r="BN285" s="201"/>
      <c r="BO285" s="201"/>
      <c r="BP285" s="201"/>
    </row>
    <row r="286" spans="1:68" ht="15.5">
      <c r="A286" s="201">
        <v>11</v>
      </c>
      <c r="B286" s="219">
        <v>65</v>
      </c>
      <c r="C286" s="348">
        <v>46281</v>
      </c>
      <c r="D286" s="491">
        <f t="shared" si="49"/>
        <v>30</v>
      </c>
      <c r="E286" s="204" t="s">
        <v>72</v>
      </c>
      <c r="F286" s="357"/>
      <c r="G286" s="358"/>
      <c r="H286" s="207">
        <v>46282</v>
      </c>
      <c r="I286" s="215">
        <v>36</v>
      </c>
      <c r="J286" s="359">
        <v>282</v>
      </c>
      <c r="K286" s="209">
        <v>8.7000000000000008E-2</v>
      </c>
      <c r="L286" s="210">
        <v>0.28500000000000003</v>
      </c>
      <c r="M286" s="210">
        <v>0.27</v>
      </c>
      <c r="N286" s="211">
        <v>35</v>
      </c>
      <c r="O286" s="211">
        <f t="shared" si="50"/>
        <v>27.737500000000001</v>
      </c>
      <c r="P286" s="201">
        <v>79.25</v>
      </c>
      <c r="Q286" s="210">
        <v>0.23</v>
      </c>
      <c r="R286" s="219">
        <v>70</v>
      </c>
      <c r="S286" s="201" t="s">
        <v>427</v>
      </c>
      <c r="T286" s="201" t="s">
        <v>458</v>
      </c>
      <c r="U286" s="201"/>
      <c r="V286" s="343"/>
      <c r="W286" s="215">
        <f t="shared" si="52"/>
        <v>36</v>
      </c>
      <c r="X286" s="208">
        <f t="shared" si="52"/>
        <v>282</v>
      </c>
      <c r="Y286" s="209"/>
      <c r="Z286" s="210"/>
      <c r="AA286" s="210"/>
      <c r="AB286" s="211"/>
      <c r="AC286" s="211"/>
      <c r="AD286" s="211"/>
      <c r="AE286" s="210"/>
      <c r="AF286" s="212"/>
      <c r="AG286" s="201"/>
      <c r="AH286" s="201" t="s">
        <v>458</v>
      </c>
      <c r="AI286" s="346">
        <v>46293</v>
      </c>
      <c r="AJ286" s="201"/>
      <c r="AK286" s="201"/>
      <c r="AL286" s="201"/>
      <c r="AM286" s="201"/>
      <c r="AN286" s="201"/>
      <c r="AO286" s="201"/>
      <c r="AP286" s="201" t="s">
        <v>458</v>
      </c>
      <c r="AQ286" s="201"/>
      <c r="AR286" s="201"/>
      <c r="AS286" s="201"/>
      <c r="AT286" s="201"/>
      <c r="AU286" s="492" t="str">
        <f t="shared" si="51"/>
        <v>Ok</v>
      </c>
      <c r="AV286" s="201"/>
      <c r="AW286" s="221">
        <f t="shared" si="46"/>
        <v>36</v>
      </c>
      <c r="AX286" s="208">
        <f t="shared" si="47"/>
        <v>282</v>
      </c>
      <c r="AY286" s="222"/>
      <c r="AZ286" s="222"/>
      <c r="BA286" s="222"/>
      <c r="BB286" s="222"/>
      <c r="BC286" s="222"/>
      <c r="BD286" s="201"/>
      <c r="BE286" s="201"/>
      <c r="BF286" s="201"/>
      <c r="BG286" s="201"/>
      <c r="BH286" s="455">
        <v>46311</v>
      </c>
      <c r="BI286" s="215">
        <f t="shared" si="53"/>
        <v>36</v>
      </c>
      <c r="BJ286" s="208">
        <f t="shared" si="53"/>
        <v>282</v>
      </c>
      <c r="BK286" s="223"/>
      <c r="BL286" s="208"/>
      <c r="BM286" s="224"/>
      <c r="BN286" s="201"/>
      <c r="BO286" s="201"/>
      <c r="BP286" s="201"/>
    </row>
    <row r="287" spans="1:68" ht="15.5">
      <c r="A287" s="201">
        <v>11</v>
      </c>
      <c r="B287" s="219">
        <v>65</v>
      </c>
      <c r="C287" s="348">
        <v>46281</v>
      </c>
      <c r="D287" s="491">
        <f t="shared" si="49"/>
        <v>9</v>
      </c>
      <c r="E287" s="204" t="s">
        <v>72</v>
      </c>
      <c r="F287" s="357"/>
      <c r="G287" s="358"/>
      <c r="H287" s="207">
        <v>46282</v>
      </c>
      <c r="I287" s="215">
        <v>36</v>
      </c>
      <c r="J287" s="359">
        <v>283</v>
      </c>
      <c r="K287" s="209">
        <v>9.6250000000000002E-2</v>
      </c>
      <c r="L287" s="210">
        <v>0.32250000000000001</v>
      </c>
      <c r="M287" s="210">
        <v>0.28000000000000003</v>
      </c>
      <c r="N287" s="211">
        <v>35.25</v>
      </c>
      <c r="O287" s="211">
        <f t="shared" si="50"/>
        <v>27.495000000000001</v>
      </c>
      <c r="P287" s="201">
        <v>78</v>
      </c>
      <c r="Q287" s="210">
        <v>0.23</v>
      </c>
      <c r="R287" s="219">
        <v>70</v>
      </c>
      <c r="S287" s="201" t="s">
        <v>427</v>
      </c>
      <c r="T287" s="201" t="s">
        <v>458</v>
      </c>
      <c r="U287" s="201"/>
      <c r="V287" s="343"/>
      <c r="W287" s="215">
        <f t="shared" si="52"/>
        <v>36</v>
      </c>
      <c r="X287" s="208">
        <f t="shared" si="52"/>
        <v>283</v>
      </c>
      <c r="Y287" s="209"/>
      <c r="Z287" s="210"/>
      <c r="AA287" s="210"/>
      <c r="AB287" s="211"/>
      <c r="AC287" s="211"/>
      <c r="AD287" s="211"/>
      <c r="AE287" s="210"/>
      <c r="AF287" s="212"/>
      <c r="AG287" s="201"/>
      <c r="AH287" s="201"/>
      <c r="AI287" s="346">
        <v>46288</v>
      </c>
      <c r="AJ287" s="201"/>
      <c r="AK287" s="201"/>
      <c r="AL287" s="201"/>
      <c r="AM287" s="201"/>
      <c r="AN287" s="201"/>
      <c r="AO287" s="201"/>
      <c r="AP287" s="201"/>
      <c r="AQ287" s="201"/>
      <c r="AR287" s="201"/>
      <c r="AS287" s="201"/>
      <c r="AT287" s="201"/>
      <c r="AU287" s="476" t="str">
        <f t="shared" si="51"/>
        <v>Ok</v>
      </c>
      <c r="AV287" s="201"/>
      <c r="AW287" s="221">
        <f t="shared" si="46"/>
        <v>36</v>
      </c>
      <c r="AX287" s="208">
        <f t="shared" si="47"/>
        <v>283</v>
      </c>
      <c r="AY287" s="222"/>
      <c r="AZ287" s="222"/>
      <c r="BA287" s="222"/>
      <c r="BB287" s="222"/>
      <c r="BC287" s="222"/>
      <c r="BD287" s="201"/>
      <c r="BE287" s="201"/>
      <c r="BF287" s="201"/>
      <c r="BG287" s="201"/>
      <c r="BH287" s="455">
        <v>46290</v>
      </c>
      <c r="BI287" s="215">
        <f t="shared" si="53"/>
        <v>36</v>
      </c>
      <c r="BJ287" s="208">
        <f t="shared" si="53"/>
        <v>283</v>
      </c>
      <c r="BK287" s="223">
        <v>31</v>
      </c>
      <c r="BL287" s="208">
        <v>276</v>
      </c>
      <c r="BM287" s="224"/>
      <c r="BN287" s="201"/>
      <c r="BO287" s="201"/>
      <c r="BP287" s="201"/>
    </row>
    <row r="288" spans="1:68" ht="15.5">
      <c r="A288" s="201">
        <v>11</v>
      </c>
      <c r="B288" s="219" t="s">
        <v>803</v>
      </c>
      <c r="C288" s="348">
        <v>46282</v>
      </c>
      <c r="D288" s="491">
        <f t="shared" si="49"/>
        <v>8</v>
      </c>
      <c r="E288" s="204" t="s">
        <v>72</v>
      </c>
      <c r="F288" s="357"/>
      <c r="G288" s="358"/>
      <c r="H288" s="207">
        <v>46283</v>
      </c>
      <c r="I288" s="215">
        <v>36</v>
      </c>
      <c r="J288" s="359">
        <v>284</v>
      </c>
      <c r="K288" s="209">
        <v>8.1750000000000003E-2</v>
      </c>
      <c r="L288" s="210">
        <v>0.35499999999999998</v>
      </c>
      <c r="M288" s="210">
        <v>0.28999999999999998</v>
      </c>
      <c r="N288" s="211">
        <v>35.75</v>
      </c>
      <c r="O288" s="211">
        <f t="shared" si="50"/>
        <v>28.331875</v>
      </c>
      <c r="P288" s="201">
        <v>79.25</v>
      </c>
      <c r="Q288" s="210">
        <v>0.23</v>
      </c>
      <c r="R288" s="219">
        <v>70</v>
      </c>
      <c r="S288" s="201" t="s">
        <v>427</v>
      </c>
      <c r="T288" s="201" t="s">
        <v>458</v>
      </c>
      <c r="U288" s="201"/>
      <c r="V288" s="343"/>
      <c r="W288" s="215">
        <f t="shared" si="52"/>
        <v>36</v>
      </c>
      <c r="X288" s="208">
        <f t="shared" si="52"/>
        <v>284</v>
      </c>
      <c r="Y288" s="209"/>
      <c r="Z288" s="210"/>
      <c r="AA288" s="210"/>
      <c r="AB288" s="211"/>
      <c r="AC288" s="211"/>
      <c r="AD288" s="211"/>
      <c r="AE288" s="210"/>
      <c r="AF288" s="212"/>
      <c r="AG288" s="201"/>
      <c r="AH288" s="201"/>
      <c r="AI288" s="346">
        <v>46288</v>
      </c>
      <c r="AJ288" s="201"/>
      <c r="AK288" s="201"/>
      <c r="AL288" s="201"/>
      <c r="AM288" s="201"/>
      <c r="AN288" s="201"/>
      <c r="AO288" s="201"/>
      <c r="AP288" s="201"/>
      <c r="AQ288" s="201"/>
      <c r="AR288" s="201"/>
      <c r="AS288" s="201"/>
      <c r="AT288" s="201"/>
      <c r="AU288" s="476" t="str">
        <f t="shared" si="51"/>
        <v>Ok</v>
      </c>
      <c r="AV288" s="201"/>
      <c r="AW288" s="221">
        <f t="shared" si="46"/>
        <v>36</v>
      </c>
      <c r="AX288" s="208">
        <f t="shared" si="47"/>
        <v>284</v>
      </c>
      <c r="AY288" s="222"/>
      <c r="AZ288" s="222"/>
      <c r="BA288" s="222"/>
      <c r="BB288" s="222"/>
      <c r="BC288" s="222"/>
      <c r="BD288" s="201"/>
      <c r="BE288" s="201"/>
      <c r="BF288" s="201"/>
      <c r="BG288" s="201"/>
      <c r="BH288" s="455">
        <v>46290</v>
      </c>
      <c r="BI288" s="215">
        <f t="shared" si="53"/>
        <v>36</v>
      </c>
      <c r="BJ288" s="208">
        <f t="shared" si="53"/>
        <v>284</v>
      </c>
      <c r="BK288" s="223">
        <v>31</v>
      </c>
      <c r="BL288" s="208">
        <v>277</v>
      </c>
      <c r="BM288" s="224"/>
      <c r="BN288" s="201"/>
      <c r="BO288" s="201"/>
      <c r="BP288" s="201"/>
    </row>
    <row r="289" spans="1:68" ht="15.5">
      <c r="A289" s="201">
        <v>11</v>
      </c>
      <c r="B289" s="219">
        <v>66</v>
      </c>
      <c r="C289" s="348">
        <v>46282</v>
      </c>
      <c r="D289" s="491">
        <f t="shared" si="49"/>
        <v>8</v>
      </c>
      <c r="E289" s="204" t="s">
        <v>72</v>
      </c>
      <c r="F289" s="357"/>
      <c r="G289" s="358"/>
      <c r="H289" s="207">
        <v>46283</v>
      </c>
      <c r="I289" s="215">
        <v>36</v>
      </c>
      <c r="J289" s="359">
        <v>285</v>
      </c>
      <c r="K289" s="209">
        <v>3.3750000000000002E-2</v>
      </c>
      <c r="L289" s="210">
        <v>0.315</v>
      </c>
      <c r="M289" s="210">
        <v>0.47</v>
      </c>
      <c r="N289" s="211">
        <v>36.25</v>
      </c>
      <c r="O289" s="211">
        <f t="shared" si="50"/>
        <v>29.453125</v>
      </c>
      <c r="P289" s="201">
        <v>81.25</v>
      </c>
      <c r="Q289" s="210">
        <v>0.23</v>
      </c>
      <c r="R289" s="219">
        <v>72.5</v>
      </c>
      <c r="S289" s="201" t="s">
        <v>427</v>
      </c>
      <c r="T289" s="201" t="s">
        <v>458</v>
      </c>
      <c r="U289" s="201"/>
      <c r="V289" s="343"/>
      <c r="W289" s="215">
        <f t="shared" si="52"/>
        <v>36</v>
      </c>
      <c r="X289" s="208">
        <f t="shared" si="52"/>
        <v>285</v>
      </c>
      <c r="Y289" s="209"/>
      <c r="Z289" s="210"/>
      <c r="AA289" s="210"/>
      <c r="AB289" s="211"/>
      <c r="AC289" s="211"/>
      <c r="AD289" s="211"/>
      <c r="AE289" s="210"/>
      <c r="AF289" s="212"/>
      <c r="AG289" s="201"/>
      <c r="AH289" s="201"/>
      <c r="AI289" s="346">
        <v>46288</v>
      </c>
      <c r="AJ289" s="201"/>
      <c r="AK289" s="201"/>
      <c r="AL289" s="201"/>
      <c r="AM289" s="201"/>
      <c r="AN289" s="201"/>
      <c r="AO289" s="201"/>
      <c r="AP289" s="201"/>
      <c r="AQ289" s="201"/>
      <c r="AR289" s="201"/>
      <c r="AS289" s="201"/>
      <c r="AT289" s="201"/>
      <c r="AU289" s="476" t="str">
        <f t="shared" si="51"/>
        <v>Ok</v>
      </c>
      <c r="AV289" s="201"/>
      <c r="AW289" s="221">
        <f t="shared" si="46"/>
        <v>36</v>
      </c>
      <c r="AX289" s="208">
        <f t="shared" si="47"/>
        <v>285</v>
      </c>
      <c r="AY289" s="222"/>
      <c r="AZ289" s="222"/>
      <c r="BA289" s="222"/>
      <c r="BB289" s="222"/>
      <c r="BC289" s="222"/>
      <c r="BD289" s="201"/>
      <c r="BE289" s="201"/>
      <c r="BF289" s="201"/>
      <c r="BG289" s="201"/>
      <c r="BH289" s="455">
        <v>46290</v>
      </c>
      <c r="BI289" s="215">
        <f t="shared" si="53"/>
        <v>36</v>
      </c>
      <c r="BJ289" s="208">
        <f t="shared" si="53"/>
        <v>285</v>
      </c>
      <c r="BK289" s="223">
        <v>32</v>
      </c>
      <c r="BL289" s="208">
        <v>278</v>
      </c>
      <c r="BM289" s="224"/>
      <c r="BN289" s="201"/>
      <c r="BO289" s="201"/>
      <c r="BP289" s="201"/>
    </row>
    <row r="290" spans="1:68" ht="15.5">
      <c r="A290" s="201">
        <v>11</v>
      </c>
      <c r="B290" s="219">
        <v>66</v>
      </c>
      <c r="C290" s="348">
        <v>46282</v>
      </c>
      <c r="D290" s="491">
        <f t="shared" si="49"/>
        <v>8</v>
      </c>
      <c r="E290" s="204" t="s">
        <v>72</v>
      </c>
      <c r="F290" s="357"/>
      <c r="G290" s="358"/>
      <c r="H290" s="207">
        <v>46283</v>
      </c>
      <c r="I290" s="215">
        <v>36</v>
      </c>
      <c r="J290" s="359">
        <v>286</v>
      </c>
      <c r="K290" s="209">
        <v>4.2999999999999997E-2</v>
      </c>
      <c r="L290" s="210">
        <v>0.3</v>
      </c>
      <c r="M290" s="210">
        <v>0.35</v>
      </c>
      <c r="N290" s="211">
        <v>37</v>
      </c>
      <c r="O290" s="211">
        <f t="shared" si="50"/>
        <v>30.247499999999999</v>
      </c>
      <c r="P290" s="201">
        <v>81.75</v>
      </c>
      <c r="Q290" s="210">
        <v>0.23</v>
      </c>
      <c r="R290" s="219">
        <v>72.5</v>
      </c>
      <c r="S290" s="201" t="s">
        <v>427</v>
      </c>
      <c r="T290" s="201" t="s">
        <v>458</v>
      </c>
      <c r="U290" s="201"/>
      <c r="V290" s="343"/>
      <c r="W290" s="215">
        <f t="shared" si="52"/>
        <v>36</v>
      </c>
      <c r="X290" s="208">
        <f t="shared" si="52"/>
        <v>286</v>
      </c>
      <c r="Y290" s="209"/>
      <c r="Z290" s="210"/>
      <c r="AA290" s="210"/>
      <c r="AB290" s="211"/>
      <c r="AC290" s="211"/>
      <c r="AD290" s="211"/>
      <c r="AE290" s="210"/>
      <c r="AF290" s="212"/>
      <c r="AG290" s="201"/>
      <c r="AH290" s="201"/>
      <c r="AI290" s="346"/>
      <c r="AJ290" s="201"/>
      <c r="AK290" s="201"/>
      <c r="AL290" s="201"/>
      <c r="AM290" s="201"/>
      <c r="AN290" s="201"/>
      <c r="AO290" s="201"/>
      <c r="AP290" s="201"/>
      <c r="AQ290" s="201"/>
      <c r="AR290" s="201"/>
      <c r="AS290" s="201"/>
      <c r="AT290" s="201"/>
      <c r="AU290" s="476" t="str">
        <f t="shared" si="51"/>
        <v>Ok</v>
      </c>
      <c r="AV290" s="201"/>
      <c r="AW290" s="221">
        <f t="shared" si="46"/>
        <v>36</v>
      </c>
      <c r="AX290" s="208">
        <f t="shared" si="47"/>
        <v>286</v>
      </c>
      <c r="AY290" s="222"/>
      <c r="AZ290" s="222"/>
      <c r="BA290" s="222"/>
      <c r="BB290" s="222"/>
      <c r="BC290" s="222"/>
      <c r="BD290" s="201"/>
      <c r="BE290" s="201"/>
      <c r="BF290" s="201"/>
      <c r="BG290" s="201"/>
      <c r="BH290" s="455">
        <v>46290</v>
      </c>
      <c r="BI290" s="215">
        <f t="shared" si="53"/>
        <v>36</v>
      </c>
      <c r="BJ290" s="208">
        <f t="shared" si="53"/>
        <v>286</v>
      </c>
      <c r="BK290" s="223">
        <v>32</v>
      </c>
      <c r="BL290" s="208">
        <v>279</v>
      </c>
      <c r="BM290" s="224"/>
      <c r="BN290" s="201"/>
      <c r="BO290" s="201"/>
      <c r="BP290" s="201"/>
    </row>
    <row r="291" spans="1:68" ht="15.5">
      <c r="A291" s="141">
        <v>11</v>
      </c>
      <c r="B291" s="23">
        <v>66</v>
      </c>
      <c r="C291" s="349">
        <v>46282</v>
      </c>
      <c r="D291" s="174">
        <f t="shared" si="49"/>
        <v>-46282</v>
      </c>
      <c r="E291" s="38" t="s">
        <v>72</v>
      </c>
      <c r="F291" s="361"/>
      <c r="G291" s="362"/>
      <c r="H291" s="304">
        <v>46283</v>
      </c>
      <c r="I291" s="133">
        <v>36</v>
      </c>
      <c r="J291" s="363">
        <v>287</v>
      </c>
      <c r="K291" s="138">
        <v>2.3E-2</v>
      </c>
      <c r="L291" s="8">
        <v>0.29250000000000004</v>
      </c>
      <c r="M291" s="8">
        <v>0.27</v>
      </c>
      <c r="N291" s="139">
        <v>36</v>
      </c>
      <c r="O291" s="139">
        <f t="shared" si="50"/>
        <v>29.79</v>
      </c>
      <c r="P291" s="141">
        <v>82.75</v>
      </c>
      <c r="Q291" s="8">
        <v>0.23</v>
      </c>
      <c r="R291" s="23">
        <v>72.5</v>
      </c>
      <c r="S291" s="141" t="s">
        <v>427</v>
      </c>
      <c r="T291" s="141" t="s">
        <v>458</v>
      </c>
      <c r="U291" s="141"/>
      <c r="V291" s="156"/>
      <c r="W291" s="133">
        <f t="shared" si="52"/>
        <v>36</v>
      </c>
      <c r="X291" s="155">
        <f t="shared" si="52"/>
        <v>287</v>
      </c>
      <c r="Y291" s="138"/>
      <c r="Z291" s="8"/>
      <c r="AA291" s="8"/>
      <c r="AB291" s="139"/>
      <c r="AC291" s="139"/>
      <c r="AD291" s="139"/>
      <c r="AE291" s="8"/>
      <c r="AF291" s="140"/>
      <c r="AG291" s="141"/>
      <c r="AH291" s="141"/>
      <c r="AI291" s="352">
        <v>46293</v>
      </c>
      <c r="AJ291" s="141"/>
      <c r="AK291" s="141"/>
      <c r="AL291" s="141"/>
      <c r="AM291" s="141"/>
      <c r="AN291" s="141"/>
      <c r="AO291" s="141"/>
      <c r="AP291" s="141"/>
      <c r="AQ291" s="141"/>
      <c r="AR291" s="141"/>
      <c r="AS291" s="141"/>
      <c r="AT291" s="141"/>
      <c r="AU291" s="476" t="str">
        <f t="shared" si="51"/>
        <v>Ok</v>
      </c>
      <c r="AV291" s="141"/>
      <c r="AW291" s="310">
        <f t="shared" si="46"/>
        <v>36</v>
      </c>
      <c r="AX291" s="155">
        <f t="shared" si="47"/>
        <v>287</v>
      </c>
      <c r="AY291" s="311"/>
      <c r="AZ291" s="311"/>
      <c r="BA291" s="311"/>
      <c r="BB291" s="311"/>
      <c r="BC291" s="311"/>
      <c r="BD291" s="141"/>
      <c r="BE291" s="141"/>
      <c r="BF291" s="141"/>
      <c r="BG291" s="141"/>
      <c r="BH291" s="23"/>
      <c r="BI291" s="133">
        <f t="shared" si="53"/>
        <v>36</v>
      </c>
      <c r="BJ291" s="155">
        <f t="shared" si="53"/>
        <v>287</v>
      </c>
      <c r="BK291" s="312"/>
      <c r="BL291" s="155"/>
      <c r="BM291" s="200"/>
      <c r="BN291" s="141"/>
      <c r="BO291" s="141"/>
      <c r="BP291" s="141"/>
    </row>
    <row r="292" spans="1:68" ht="15.5">
      <c r="A292" s="201">
        <v>11</v>
      </c>
      <c r="B292" s="219">
        <v>66</v>
      </c>
      <c r="C292" s="348">
        <v>46282</v>
      </c>
      <c r="D292" s="491">
        <f t="shared" si="49"/>
        <v>8</v>
      </c>
      <c r="E292" s="204" t="s">
        <v>72</v>
      </c>
      <c r="F292" s="357"/>
      <c r="G292" s="358"/>
      <c r="H292" s="207">
        <v>46283</v>
      </c>
      <c r="I292" s="215">
        <v>36</v>
      </c>
      <c r="J292" s="359">
        <v>288</v>
      </c>
      <c r="K292" s="209">
        <v>2.5750000000000002E-2</v>
      </c>
      <c r="L292" s="210">
        <v>0.34500000000000003</v>
      </c>
      <c r="M292" s="210">
        <v>0.34</v>
      </c>
      <c r="N292" s="211">
        <v>36.5</v>
      </c>
      <c r="O292" s="211">
        <f t="shared" si="50"/>
        <v>30.021249999999998</v>
      </c>
      <c r="P292" s="201">
        <v>82.25</v>
      </c>
      <c r="Q292" s="210">
        <v>0.23</v>
      </c>
      <c r="R292" s="219">
        <v>72.5</v>
      </c>
      <c r="S292" s="201" t="s">
        <v>427</v>
      </c>
      <c r="T292" s="201" t="s">
        <v>458</v>
      </c>
      <c r="U292" s="201"/>
      <c r="V292" s="343"/>
      <c r="W292" s="215">
        <f t="shared" si="52"/>
        <v>36</v>
      </c>
      <c r="X292" s="208">
        <f t="shared" si="52"/>
        <v>288</v>
      </c>
      <c r="Y292" s="209"/>
      <c r="Z292" s="210"/>
      <c r="AA292" s="210"/>
      <c r="AB292" s="211"/>
      <c r="AC292" s="211"/>
      <c r="AD292" s="211"/>
      <c r="AE292" s="210"/>
      <c r="AF292" s="212"/>
      <c r="AG292" s="201"/>
      <c r="AH292" s="201"/>
      <c r="AI292" s="346">
        <v>46288</v>
      </c>
      <c r="AJ292" s="201"/>
      <c r="AK292" s="201"/>
      <c r="AL292" s="201"/>
      <c r="AM292" s="201"/>
      <c r="AN292" s="201"/>
      <c r="AO292" s="201"/>
      <c r="AP292" s="201"/>
      <c r="AQ292" s="201"/>
      <c r="AR292" s="201"/>
      <c r="AS292" s="201"/>
      <c r="AT292" s="201"/>
      <c r="AU292" s="476" t="str">
        <f t="shared" si="51"/>
        <v>Ok</v>
      </c>
      <c r="AV292" s="201"/>
      <c r="AW292" s="221">
        <f t="shared" si="46"/>
        <v>36</v>
      </c>
      <c r="AX292" s="208">
        <f t="shared" si="47"/>
        <v>288</v>
      </c>
      <c r="AY292" s="222"/>
      <c r="AZ292" s="222"/>
      <c r="BA292" s="222"/>
      <c r="BB292" s="222"/>
      <c r="BC292" s="222"/>
      <c r="BD292" s="201"/>
      <c r="BE292" s="201"/>
      <c r="BF292" s="201"/>
      <c r="BG292" s="201"/>
      <c r="BH292" s="455">
        <v>46290</v>
      </c>
      <c r="BI292" s="215">
        <f t="shared" si="53"/>
        <v>36</v>
      </c>
      <c r="BJ292" s="208">
        <f t="shared" si="53"/>
        <v>288</v>
      </c>
      <c r="BK292" s="223">
        <v>32</v>
      </c>
      <c r="BL292" s="208">
        <v>280</v>
      </c>
      <c r="BM292" s="224"/>
      <c r="BN292" s="201"/>
      <c r="BO292" s="201"/>
      <c r="BP292" s="201"/>
    </row>
    <row r="293" spans="1:68" ht="15.5">
      <c r="A293" s="201">
        <v>11</v>
      </c>
      <c r="B293" s="219">
        <v>66</v>
      </c>
      <c r="C293" s="348">
        <v>46282</v>
      </c>
      <c r="D293" s="491">
        <f t="shared" si="49"/>
        <v>8</v>
      </c>
      <c r="E293" s="204" t="s">
        <v>72</v>
      </c>
      <c r="F293" s="205"/>
      <c r="G293" s="206"/>
      <c r="H293" s="207">
        <v>46283</v>
      </c>
      <c r="I293" s="215">
        <v>37</v>
      </c>
      <c r="J293" s="208">
        <v>289</v>
      </c>
      <c r="K293" s="209">
        <v>4.2250000000000003E-2</v>
      </c>
      <c r="L293" s="210">
        <v>0.34500000000000003</v>
      </c>
      <c r="M293" s="210">
        <v>0.32</v>
      </c>
      <c r="N293" s="211">
        <v>37.75</v>
      </c>
      <c r="O293" s="211">
        <v>29.728124999999999</v>
      </c>
      <c r="P293" s="355">
        <v>78.75</v>
      </c>
      <c r="Q293" s="356">
        <v>0.25</v>
      </c>
      <c r="R293" s="212">
        <v>68.5</v>
      </c>
      <c r="S293" s="201" t="s">
        <v>584</v>
      </c>
      <c r="T293" s="201" t="s">
        <v>458</v>
      </c>
      <c r="U293" s="201"/>
      <c r="V293" s="343"/>
      <c r="W293" s="215">
        <f t="shared" si="52"/>
        <v>37</v>
      </c>
      <c r="X293" s="208">
        <f t="shared" si="52"/>
        <v>289</v>
      </c>
      <c r="Y293" s="209"/>
      <c r="Z293" s="210"/>
      <c r="AA293" s="210"/>
      <c r="AB293" s="211"/>
      <c r="AC293" s="211"/>
      <c r="AD293" s="211"/>
      <c r="AE293" s="210"/>
      <c r="AF293" s="212"/>
      <c r="AG293" s="201"/>
      <c r="AH293" s="201"/>
      <c r="AI293" s="346">
        <v>46288</v>
      </c>
      <c r="AJ293" s="201"/>
      <c r="AK293" s="201"/>
      <c r="AL293" s="201"/>
      <c r="AM293" s="201"/>
      <c r="AN293" s="201"/>
      <c r="AO293" s="201"/>
      <c r="AP293" s="201"/>
      <c r="AQ293" s="201"/>
      <c r="AR293" s="201"/>
      <c r="AS293" s="201"/>
      <c r="AT293" s="201"/>
      <c r="AU293" s="476" t="str">
        <f t="shared" si="51"/>
        <v>Ok</v>
      </c>
      <c r="AV293" s="201"/>
      <c r="AW293" s="221">
        <f t="shared" si="46"/>
        <v>37</v>
      </c>
      <c r="AX293" s="208">
        <f t="shared" si="47"/>
        <v>289</v>
      </c>
      <c r="AY293" s="222"/>
      <c r="AZ293" s="222"/>
      <c r="BA293" s="222"/>
      <c r="BB293" s="222"/>
      <c r="BC293" s="222"/>
      <c r="BD293" s="201"/>
      <c r="BE293" s="201"/>
      <c r="BF293" s="201"/>
      <c r="BG293" s="201"/>
      <c r="BH293" s="455">
        <v>46290</v>
      </c>
      <c r="BI293" s="215">
        <f t="shared" si="53"/>
        <v>37</v>
      </c>
      <c r="BJ293" s="208">
        <f t="shared" si="53"/>
        <v>289</v>
      </c>
      <c r="BK293" s="223">
        <v>32</v>
      </c>
      <c r="BL293" s="208">
        <v>281</v>
      </c>
      <c r="BM293" s="224"/>
      <c r="BN293" s="201"/>
      <c r="BO293" s="201"/>
      <c r="BP293" s="201"/>
    </row>
    <row r="294" spans="1:68" ht="15.5">
      <c r="A294" s="201">
        <v>11</v>
      </c>
      <c r="B294" s="219">
        <v>66</v>
      </c>
      <c r="C294" s="348">
        <v>46282</v>
      </c>
      <c r="D294" s="491">
        <f t="shared" si="49"/>
        <v>29</v>
      </c>
      <c r="E294" s="204" t="s">
        <v>72</v>
      </c>
      <c r="F294" s="205"/>
      <c r="G294" s="206"/>
      <c r="H294" s="207">
        <v>46283</v>
      </c>
      <c r="I294" s="215">
        <v>37</v>
      </c>
      <c r="J294" s="208">
        <v>290</v>
      </c>
      <c r="K294" s="209">
        <v>2.6749999999999999E-2</v>
      </c>
      <c r="L294" s="210">
        <v>0.34250000000000003</v>
      </c>
      <c r="M294" s="210">
        <v>0.31</v>
      </c>
      <c r="N294" s="355">
        <v>36.75</v>
      </c>
      <c r="O294" s="211">
        <v>29.124375000000001</v>
      </c>
      <c r="P294" s="355">
        <v>79.25</v>
      </c>
      <c r="Q294" s="356">
        <v>0.25</v>
      </c>
      <c r="R294" s="212">
        <v>68.5</v>
      </c>
      <c r="S294" s="201" t="s">
        <v>584</v>
      </c>
      <c r="T294" s="201" t="s">
        <v>458</v>
      </c>
      <c r="U294" s="201"/>
      <c r="V294" s="343"/>
      <c r="W294" s="215">
        <f t="shared" si="52"/>
        <v>37</v>
      </c>
      <c r="X294" s="208">
        <f t="shared" si="52"/>
        <v>290</v>
      </c>
      <c r="Y294" s="209"/>
      <c r="Z294" s="210"/>
      <c r="AA294" s="210"/>
      <c r="AB294" s="211"/>
      <c r="AC294" s="211"/>
      <c r="AD294" s="211"/>
      <c r="AE294" s="210"/>
      <c r="AF294" s="212"/>
      <c r="AG294" s="201"/>
      <c r="AH294" s="201" t="s">
        <v>458</v>
      </c>
      <c r="AI294" s="346">
        <v>46293</v>
      </c>
      <c r="AJ294" s="201"/>
      <c r="AK294" s="201"/>
      <c r="AL294" s="201"/>
      <c r="AM294" s="201"/>
      <c r="AN294" s="201"/>
      <c r="AO294" s="201"/>
      <c r="AP294" s="201" t="s">
        <v>458</v>
      </c>
      <c r="AQ294" s="201"/>
      <c r="AR294" s="201"/>
      <c r="AS294" s="201"/>
      <c r="AT294" s="201"/>
      <c r="AU294" s="492" t="str">
        <f t="shared" si="51"/>
        <v>Ok</v>
      </c>
      <c r="AV294" s="201"/>
      <c r="AW294" s="221">
        <f t="shared" si="46"/>
        <v>37</v>
      </c>
      <c r="AX294" s="208">
        <f t="shared" si="47"/>
        <v>290</v>
      </c>
      <c r="AY294" s="222"/>
      <c r="AZ294" s="222"/>
      <c r="BA294" s="222"/>
      <c r="BB294" s="222"/>
      <c r="BC294" s="222"/>
      <c r="BD294" s="201"/>
      <c r="BE294" s="201"/>
      <c r="BF294" s="201"/>
      <c r="BG294" s="201"/>
      <c r="BH294" s="455">
        <v>46311</v>
      </c>
      <c r="BI294" s="215">
        <f t="shared" si="53"/>
        <v>37</v>
      </c>
      <c r="BJ294" s="208">
        <f t="shared" si="53"/>
        <v>290</v>
      </c>
      <c r="BK294" s="223"/>
      <c r="BL294" s="208"/>
      <c r="BM294" s="224"/>
      <c r="BN294" s="201"/>
      <c r="BO294" s="201"/>
      <c r="BP294" s="201"/>
    </row>
    <row r="295" spans="1:68" ht="15.5">
      <c r="A295" s="201">
        <v>11</v>
      </c>
      <c r="B295" s="219">
        <v>66</v>
      </c>
      <c r="C295" s="348">
        <v>46282</v>
      </c>
      <c r="D295" s="491">
        <f t="shared" si="49"/>
        <v>8</v>
      </c>
      <c r="E295" s="204" t="s">
        <v>72</v>
      </c>
      <c r="F295" s="205"/>
      <c r="G295" s="206"/>
      <c r="H295" s="207">
        <v>46283</v>
      </c>
      <c r="I295" s="215">
        <v>37</v>
      </c>
      <c r="J295" s="208">
        <v>291</v>
      </c>
      <c r="K295" s="209">
        <v>2.1499999999999998E-2</v>
      </c>
      <c r="L295" s="210">
        <v>0.37</v>
      </c>
      <c r="M295" s="210">
        <v>0.33</v>
      </c>
      <c r="N295" s="355">
        <v>36.75</v>
      </c>
      <c r="O295" s="211">
        <v>28.940625000000001</v>
      </c>
      <c r="P295" s="355">
        <v>78.75</v>
      </c>
      <c r="Q295" s="356">
        <v>0.25</v>
      </c>
      <c r="R295" s="212">
        <v>68.5</v>
      </c>
      <c r="S295" s="201" t="s">
        <v>584</v>
      </c>
      <c r="T295" s="201" t="s">
        <v>458</v>
      </c>
      <c r="U295" s="201"/>
      <c r="V295" s="343"/>
      <c r="W295" s="215">
        <f t="shared" si="52"/>
        <v>37</v>
      </c>
      <c r="X295" s="208">
        <f t="shared" si="52"/>
        <v>291</v>
      </c>
      <c r="Y295" s="209"/>
      <c r="Z295" s="210"/>
      <c r="AA295" s="210"/>
      <c r="AB295" s="211"/>
      <c r="AC295" s="211"/>
      <c r="AD295" s="211"/>
      <c r="AE295" s="210"/>
      <c r="AF295" s="212"/>
      <c r="AG295" s="201"/>
      <c r="AH295" s="201"/>
      <c r="AI295" s="346">
        <v>46288</v>
      </c>
      <c r="AJ295" s="201"/>
      <c r="AK295" s="201"/>
      <c r="AL295" s="201"/>
      <c r="AM295" s="201"/>
      <c r="AN295" s="201"/>
      <c r="AO295" s="201"/>
      <c r="AP295" s="201"/>
      <c r="AQ295" s="201"/>
      <c r="AR295" s="201"/>
      <c r="AS295" s="201"/>
      <c r="AT295" s="201"/>
      <c r="AU295" s="476" t="str">
        <f t="shared" si="51"/>
        <v>Ok</v>
      </c>
      <c r="AV295" s="201"/>
      <c r="AW295" s="221">
        <f t="shared" si="46"/>
        <v>37</v>
      </c>
      <c r="AX295" s="208">
        <f t="shared" si="47"/>
        <v>291</v>
      </c>
      <c r="AY295" s="222"/>
      <c r="AZ295" s="222"/>
      <c r="BA295" s="222"/>
      <c r="BB295" s="222"/>
      <c r="BC295" s="222"/>
      <c r="BD295" s="201"/>
      <c r="BE295" s="201"/>
      <c r="BF295" s="201"/>
      <c r="BG295" s="201"/>
      <c r="BH295" s="455">
        <v>46290</v>
      </c>
      <c r="BI295" s="215">
        <f t="shared" si="53"/>
        <v>37</v>
      </c>
      <c r="BJ295" s="208">
        <f t="shared" si="53"/>
        <v>291</v>
      </c>
      <c r="BK295" s="223">
        <v>32</v>
      </c>
      <c r="BL295" s="208">
        <v>282</v>
      </c>
      <c r="BM295" s="224"/>
      <c r="BN295" s="201"/>
      <c r="BO295" s="201"/>
      <c r="BP295" s="201"/>
    </row>
    <row r="296" spans="1:68" ht="15.5">
      <c r="A296" s="201">
        <v>11</v>
      </c>
      <c r="B296" s="219">
        <v>66</v>
      </c>
      <c r="C296" s="348">
        <v>46282</v>
      </c>
      <c r="D296" s="491">
        <f t="shared" si="49"/>
        <v>29</v>
      </c>
      <c r="E296" s="204" t="s">
        <v>72</v>
      </c>
      <c r="F296" s="205"/>
      <c r="G296" s="206"/>
      <c r="H296" s="207">
        <v>46283</v>
      </c>
      <c r="I296" s="215">
        <v>37</v>
      </c>
      <c r="J296" s="208">
        <v>292</v>
      </c>
      <c r="K296" s="209">
        <v>8.0250000000000002E-2</v>
      </c>
      <c r="L296" s="210">
        <v>0.34749999999999998</v>
      </c>
      <c r="M296" s="210">
        <v>0.25</v>
      </c>
      <c r="N296" s="355">
        <v>35.75</v>
      </c>
      <c r="O296" s="211">
        <v>29.493749999999999</v>
      </c>
      <c r="P296" s="355">
        <v>82.5</v>
      </c>
      <c r="Q296" s="356">
        <v>0.25</v>
      </c>
      <c r="R296" s="212">
        <v>68.5</v>
      </c>
      <c r="S296" s="201" t="s">
        <v>584</v>
      </c>
      <c r="T296" s="201" t="s">
        <v>458</v>
      </c>
      <c r="U296" s="201"/>
      <c r="V296" s="343"/>
      <c r="W296" s="215">
        <f t="shared" si="52"/>
        <v>37</v>
      </c>
      <c r="X296" s="208">
        <f t="shared" si="52"/>
        <v>292</v>
      </c>
      <c r="Y296" s="209"/>
      <c r="Z296" s="210"/>
      <c r="AA296" s="210"/>
      <c r="AB296" s="211"/>
      <c r="AC296" s="211"/>
      <c r="AD296" s="211"/>
      <c r="AE296" s="210"/>
      <c r="AF296" s="212"/>
      <c r="AG296" s="201"/>
      <c r="AH296" s="201" t="s">
        <v>458</v>
      </c>
      <c r="AI296" s="346">
        <v>46293</v>
      </c>
      <c r="AJ296" s="201"/>
      <c r="AK296" s="201"/>
      <c r="AL296" s="201"/>
      <c r="AM296" s="201"/>
      <c r="AN296" s="201"/>
      <c r="AO296" s="201"/>
      <c r="AP296" s="201" t="s">
        <v>458</v>
      </c>
      <c r="AQ296" s="201"/>
      <c r="AR296" s="201"/>
      <c r="AS296" s="201"/>
      <c r="AT296" s="201"/>
      <c r="AU296" s="492" t="str">
        <f t="shared" si="51"/>
        <v>Ok</v>
      </c>
      <c r="AV296" s="201"/>
      <c r="AW296" s="221">
        <f t="shared" si="46"/>
        <v>37</v>
      </c>
      <c r="AX296" s="208">
        <f t="shared" si="47"/>
        <v>292</v>
      </c>
      <c r="AY296" s="222"/>
      <c r="AZ296" s="222"/>
      <c r="BA296" s="222"/>
      <c r="BB296" s="222"/>
      <c r="BC296" s="222"/>
      <c r="BD296" s="201"/>
      <c r="BE296" s="201"/>
      <c r="BF296" s="201"/>
      <c r="BG296" s="201"/>
      <c r="BH296" s="455">
        <v>46311</v>
      </c>
      <c r="BI296" s="215">
        <f t="shared" si="53"/>
        <v>37</v>
      </c>
      <c r="BJ296" s="208">
        <f t="shared" si="53"/>
        <v>292</v>
      </c>
      <c r="BK296" s="223"/>
      <c r="BL296" s="208"/>
      <c r="BM296" s="224"/>
      <c r="BN296" s="201"/>
      <c r="BO296" s="201"/>
      <c r="BP296" s="201"/>
    </row>
    <row r="297" spans="1:68" ht="15.5">
      <c r="A297" s="201">
        <v>11</v>
      </c>
      <c r="B297" s="219">
        <v>66</v>
      </c>
      <c r="C297" s="348">
        <v>46282</v>
      </c>
      <c r="D297" s="491">
        <f t="shared" si="49"/>
        <v>8</v>
      </c>
      <c r="E297" s="204" t="s">
        <v>72</v>
      </c>
      <c r="F297" s="205"/>
      <c r="G297" s="206"/>
      <c r="H297" s="207">
        <v>46283</v>
      </c>
      <c r="I297" s="215">
        <v>37</v>
      </c>
      <c r="J297" s="208">
        <v>293</v>
      </c>
      <c r="K297" s="209">
        <v>5.425E-2</v>
      </c>
      <c r="L297" s="210">
        <v>0.33</v>
      </c>
      <c r="M297" s="210">
        <v>0.22</v>
      </c>
      <c r="N297" s="355">
        <v>35.5</v>
      </c>
      <c r="O297" s="211">
        <v>28.2225</v>
      </c>
      <c r="P297" s="355">
        <v>79.5</v>
      </c>
      <c r="Q297" s="356">
        <v>0.25</v>
      </c>
      <c r="R297" s="212">
        <v>68</v>
      </c>
      <c r="S297" s="201" t="s">
        <v>584</v>
      </c>
      <c r="T297" s="201" t="s">
        <v>458</v>
      </c>
      <c r="U297" s="201"/>
      <c r="V297" s="343"/>
      <c r="W297" s="215">
        <f t="shared" si="52"/>
        <v>37</v>
      </c>
      <c r="X297" s="208">
        <f t="shared" si="52"/>
        <v>293</v>
      </c>
      <c r="Y297" s="209"/>
      <c r="Z297" s="210"/>
      <c r="AA297" s="210"/>
      <c r="AB297" s="211"/>
      <c r="AC297" s="211"/>
      <c r="AD297" s="211"/>
      <c r="AE297" s="210"/>
      <c r="AF297" s="212"/>
      <c r="AG297" s="201"/>
      <c r="AH297" s="201"/>
      <c r="AI297" s="346">
        <v>46288</v>
      </c>
      <c r="AJ297" s="201"/>
      <c r="AK297" s="201"/>
      <c r="AL297" s="201"/>
      <c r="AM297" s="201"/>
      <c r="AN297" s="201"/>
      <c r="AO297" s="201"/>
      <c r="AP297" s="201"/>
      <c r="AQ297" s="201"/>
      <c r="AR297" s="201"/>
      <c r="AS297" s="201"/>
      <c r="AT297" s="201"/>
      <c r="AU297" s="476" t="str">
        <f t="shared" si="51"/>
        <v>Ok</v>
      </c>
      <c r="AV297" s="201"/>
      <c r="AW297" s="221">
        <f t="shared" si="46"/>
        <v>37</v>
      </c>
      <c r="AX297" s="208">
        <f t="shared" si="47"/>
        <v>293</v>
      </c>
      <c r="AY297" s="222"/>
      <c r="AZ297" s="222"/>
      <c r="BA297" s="222"/>
      <c r="BB297" s="222"/>
      <c r="BC297" s="222"/>
      <c r="BD297" s="201"/>
      <c r="BE297" s="201"/>
      <c r="BF297" s="201"/>
      <c r="BG297" s="201"/>
      <c r="BH297" s="455">
        <v>46290</v>
      </c>
      <c r="BI297" s="215">
        <f t="shared" si="53"/>
        <v>37</v>
      </c>
      <c r="BJ297" s="208">
        <f t="shared" si="53"/>
        <v>293</v>
      </c>
      <c r="BK297" s="223">
        <v>32</v>
      </c>
      <c r="BL297" s="208">
        <v>283</v>
      </c>
      <c r="BM297" s="224"/>
      <c r="BN297" s="201"/>
      <c r="BO297" s="201"/>
      <c r="BP297" s="201"/>
    </row>
    <row r="298" spans="1:68" ht="15.5">
      <c r="A298" s="201">
        <v>11</v>
      </c>
      <c r="B298" s="219">
        <v>66</v>
      </c>
      <c r="C298" s="348">
        <v>46282</v>
      </c>
      <c r="D298" s="491">
        <f t="shared" si="49"/>
        <v>8</v>
      </c>
      <c r="E298" s="204" t="s">
        <v>72</v>
      </c>
      <c r="F298" s="205"/>
      <c r="G298" s="206"/>
      <c r="H298" s="207">
        <v>46283</v>
      </c>
      <c r="I298" s="215">
        <v>37</v>
      </c>
      <c r="J298" s="208">
        <v>294</v>
      </c>
      <c r="K298" s="209">
        <v>7.0750000000000007E-2</v>
      </c>
      <c r="L298" s="210">
        <v>0.32</v>
      </c>
      <c r="M298" s="210">
        <v>0.31</v>
      </c>
      <c r="N298" s="355">
        <v>36.25</v>
      </c>
      <c r="O298" s="211">
        <v>29.815625000000001</v>
      </c>
      <c r="P298" s="355">
        <v>82.25</v>
      </c>
      <c r="Q298" s="356">
        <v>0.25</v>
      </c>
      <c r="R298" s="212">
        <v>68</v>
      </c>
      <c r="S298" s="201" t="s">
        <v>584</v>
      </c>
      <c r="T298" s="201" t="s">
        <v>458</v>
      </c>
      <c r="U298" s="201"/>
      <c r="V298" s="343"/>
      <c r="W298" s="215">
        <f t="shared" si="52"/>
        <v>37</v>
      </c>
      <c r="X298" s="208">
        <f t="shared" si="52"/>
        <v>294</v>
      </c>
      <c r="Y298" s="209"/>
      <c r="Z298" s="210"/>
      <c r="AA298" s="210"/>
      <c r="AB298" s="211"/>
      <c r="AC298" s="211"/>
      <c r="AD298" s="211"/>
      <c r="AE298" s="210"/>
      <c r="AF298" s="212"/>
      <c r="AG298" s="201"/>
      <c r="AH298" s="201"/>
      <c r="AI298" s="346">
        <v>46288</v>
      </c>
      <c r="AJ298" s="201"/>
      <c r="AK298" s="201"/>
      <c r="AL298" s="201"/>
      <c r="AM298" s="201"/>
      <c r="AN298" s="201"/>
      <c r="AO298" s="201"/>
      <c r="AP298" s="201"/>
      <c r="AQ298" s="201"/>
      <c r="AR298" s="201"/>
      <c r="AS298" s="201"/>
      <c r="AT298" s="201"/>
      <c r="AU298" s="476" t="str">
        <f t="shared" si="51"/>
        <v>Ok</v>
      </c>
      <c r="AV298" s="201"/>
      <c r="AW298" s="221">
        <f t="shared" si="46"/>
        <v>37</v>
      </c>
      <c r="AX298" s="208">
        <f t="shared" si="47"/>
        <v>294</v>
      </c>
      <c r="AY298" s="222"/>
      <c r="AZ298" s="222"/>
      <c r="BA298" s="222"/>
      <c r="BB298" s="222"/>
      <c r="BC298" s="222"/>
      <c r="BD298" s="201"/>
      <c r="BE298" s="201"/>
      <c r="BF298" s="201"/>
      <c r="BG298" s="201"/>
      <c r="BH298" s="455">
        <v>46290</v>
      </c>
      <c r="BI298" s="215">
        <f t="shared" si="53"/>
        <v>37</v>
      </c>
      <c r="BJ298" s="208">
        <f t="shared" si="53"/>
        <v>294</v>
      </c>
      <c r="BK298" s="223">
        <v>32</v>
      </c>
      <c r="BL298" s="208">
        <v>287</v>
      </c>
      <c r="BM298" s="224"/>
      <c r="BN298" s="201"/>
      <c r="BO298" s="201"/>
      <c r="BP298" s="201"/>
    </row>
    <row r="299" spans="1:68" ht="15.5">
      <c r="A299" s="201">
        <v>11</v>
      </c>
      <c r="B299" s="219">
        <v>66</v>
      </c>
      <c r="C299" s="348">
        <v>46283</v>
      </c>
      <c r="D299" s="491">
        <f t="shared" si="49"/>
        <v>7</v>
      </c>
      <c r="E299" s="204" t="s">
        <v>72</v>
      </c>
      <c r="F299" s="205"/>
      <c r="G299" s="206"/>
      <c r="H299" s="207">
        <v>46284</v>
      </c>
      <c r="I299" s="215">
        <v>37</v>
      </c>
      <c r="J299" s="208">
        <v>295</v>
      </c>
      <c r="K299" s="209">
        <v>3.075E-2</v>
      </c>
      <c r="L299" s="210">
        <v>0.3075</v>
      </c>
      <c r="M299" s="210">
        <v>0.25</v>
      </c>
      <c r="N299" s="355">
        <v>37</v>
      </c>
      <c r="O299" s="211">
        <v>29.692499999999999</v>
      </c>
      <c r="P299" s="355">
        <v>80.25</v>
      </c>
      <c r="Q299" s="356">
        <v>0.25</v>
      </c>
      <c r="R299" s="212">
        <v>68</v>
      </c>
      <c r="S299" s="201" t="s">
        <v>584</v>
      </c>
      <c r="T299" s="201" t="s">
        <v>458</v>
      </c>
      <c r="U299" s="201"/>
      <c r="V299" s="343"/>
      <c r="W299" s="215">
        <f t="shared" si="52"/>
        <v>37</v>
      </c>
      <c r="X299" s="208">
        <f t="shared" si="52"/>
        <v>295</v>
      </c>
      <c r="Y299" s="209"/>
      <c r="Z299" s="210"/>
      <c r="AA299" s="210"/>
      <c r="AB299" s="211"/>
      <c r="AC299" s="211"/>
      <c r="AD299" s="211"/>
      <c r="AE299" s="210"/>
      <c r="AF299" s="212"/>
      <c r="AG299" s="201"/>
      <c r="AH299" s="201"/>
      <c r="AI299" s="346">
        <v>46288</v>
      </c>
      <c r="AJ299" s="201"/>
      <c r="AK299" s="201"/>
      <c r="AL299" s="201"/>
      <c r="AM299" s="201"/>
      <c r="AN299" s="201"/>
      <c r="AO299" s="201"/>
      <c r="AP299" s="201"/>
      <c r="AQ299" s="201"/>
      <c r="AR299" s="201"/>
      <c r="AS299" s="201"/>
      <c r="AT299" s="201"/>
      <c r="AU299" s="476" t="str">
        <f t="shared" si="51"/>
        <v>Ok</v>
      </c>
      <c r="AV299" s="201"/>
      <c r="AW299" s="221">
        <f t="shared" si="46"/>
        <v>37</v>
      </c>
      <c r="AX299" s="208">
        <f t="shared" si="47"/>
        <v>295</v>
      </c>
      <c r="AY299" s="222"/>
      <c r="AZ299" s="222"/>
      <c r="BA299" s="222"/>
      <c r="BB299" s="222"/>
      <c r="BC299" s="222"/>
      <c r="BD299" s="201"/>
      <c r="BE299" s="201"/>
      <c r="BF299" s="201"/>
      <c r="BG299" s="201"/>
      <c r="BH299" s="455">
        <v>46290</v>
      </c>
      <c r="BI299" s="215">
        <f t="shared" si="53"/>
        <v>37</v>
      </c>
      <c r="BJ299" s="208">
        <f t="shared" si="53"/>
        <v>295</v>
      </c>
      <c r="BK299" s="223">
        <v>32</v>
      </c>
      <c r="BL299" s="208">
        <v>284</v>
      </c>
      <c r="BM299" s="224"/>
      <c r="BN299" s="201"/>
      <c r="BO299" s="201"/>
      <c r="BP299" s="201"/>
    </row>
    <row r="300" spans="1:68" ht="15.5">
      <c r="A300" s="141">
        <v>11</v>
      </c>
      <c r="B300" s="23" t="s">
        <v>590</v>
      </c>
      <c r="C300" s="349">
        <v>46283</v>
      </c>
      <c r="D300" s="174">
        <f t="shared" si="49"/>
        <v>-46283</v>
      </c>
      <c r="E300" s="38" t="s">
        <v>72</v>
      </c>
      <c r="F300" s="302"/>
      <c r="G300" s="303"/>
      <c r="H300" s="304">
        <v>46284</v>
      </c>
      <c r="I300" s="133">
        <v>37</v>
      </c>
      <c r="J300" s="155">
        <v>296</v>
      </c>
      <c r="K300" s="138">
        <v>7.4749999999999997E-2</v>
      </c>
      <c r="L300" s="8">
        <v>0.30249999999999999</v>
      </c>
      <c r="M300" s="8">
        <v>0.37</v>
      </c>
      <c r="N300" s="364">
        <v>35.25</v>
      </c>
      <c r="O300" s="139">
        <v>27.759374999999999</v>
      </c>
      <c r="P300" s="364">
        <v>78.75</v>
      </c>
      <c r="Q300" s="365">
        <v>0.25</v>
      </c>
      <c r="R300" s="140">
        <v>68</v>
      </c>
      <c r="S300" s="141" t="s">
        <v>584</v>
      </c>
      <c r="T300" s="141" t="s">
        <v>458</v>
      </c>
      <c r="U300" s="141"/>
      <c r="V300" s="156"/>
      <c r="W300" s="133">
        <f t="shared" si="52"/>
        <v>37</v>
      </c>
      <c r="X300" s="155">
        <f t="shared" si="52"/>
        <v>296</v>
      </c>
      <c r="Y300" s="138"/>
      <c r="Z300" s="8"/>
      <c r="AA300" s="8"/>
      <c r="AB300" s="139"/>
      <c r="AC300" s="139"/>
      <c r="AD300" s="139"/>
      <c r="AE300" s="8"/>
      <c r="AF300" s="140"/>
      <c r="AG300" s="141"/>
      <c r="AH300" s="141"/>
      <c r="AI300" s="352">
        <v>46290</v>
      </c>
      <c r="AJ300" s="141"/>
      <c r="AK300" s="141"/>
      <c r="AL300" s="141"/>
      <c r="AM300" s="141"/>
      <c r="AN300" s="141"/>
      <c r="AO300" s="141"/>
      <c r="AP300" s="141"/>
      <c r="AQ300" s="141"/>
      <c r="AR300" s="141"/>
      <c r="AS300" s="141"/>
      <c r="AT300" s="141"/>
      <c r="AU300" s="476" t="str">
        <f t="shared" si="51"/>
        <v>Ok</v>
      </c>
      <c r="AV300" s="141"/>
      <c r="AW300" s="310">
        <f t="shared" si="46"/>
        <v>37</v>
      </c>
      <c r="AX300" s="155">
        <f t="shared" si="47"/>
        <v>296</v>
      </c>
      <c r="AY300" s="311"/>
      <c r="AZ300" s="311"/>
      <c r="BA300" s="311"/>
      <c r="BB300" s="311"/>
      <c r="BC300" s="311"/>
      <c r="BD300" s="141"/>
      <c r="BE300" s="141"/>
      <c r="BF300" s="141"/>
      <c r="BG300" s="141"/>
      <c r="BH300" s="23"/>
      <c r="BI300" s="133">
        <f t="shared" si="53"/>
        <v>37</v>
      </c>
      <c r="BJ300" s="155">
        <f t="shared" si="53"/>
        <v>296</v>
      </c>
      <c r="BK300" s="312"/>
      <c r="BL300" s="155"/>
      <c r="BM300" s="200"/>
      <c r="BN300" s="141"/>
      <c r="BO300" s="141"/>
      <c r="BP300" s="141"/>
    </row>
    <row r="301" spans="1:68" ht="15.5">
      <c r="A301" s="201">
        <v>11</v>
      </c>
      <c r="B301" s="219">
        <v>67</v>
      </c>
      <c r="C301" s="348">
        <v>46283</v>
      </c>
      <c r="D301" s="491">
        <f t="shared" si="49"/>
        <v>7</v>
      </c>
      <c r="E301" s="204" t="s">
        <v>72</v>
      </c>
      <c r="F301" s="205"/>
      <c r="G301" s="206"/>
      <c r="H301" s="207">
        <v>46284</v>
      </c>
      <c r="I301" s="215">
        <v>38</v>
      </c>
      <c r="J301" s="208">
        <v>297</v>
      </c>
      <c r="K301" s="209">
        <v>8.2500000000000004E-2</v>
      </c>
      <c r="L301" s="210">
        <v>0.3175</v>
      </c>
      <c r="M301" s="354">
        <v>0.19</v>
      </c>
      <c r="N301" s="355">
        <v>36.5</v>
      </c>
      <c r="O301" s="211">
        <v>28.743749999999999</v>
      </c>
      <c r="P301" s="355">
        <v>78.75</v>
      </c>
      <c r="Q301" s="356">
        <v>0.2</v>
      </c>
      <c r="R301" s="212">
        <v>72</v>
      </c>
      <c r="S301" s="201" t="s">
        <v>584</v>
      </c>
      <c r="T301" s="201" t="s">
        <v>458</v>
      </c>
      <c r="U301" s="201"/>
      <c r="V301" s="343"/>
      <c r="W301" s="215">
        <f t="shared" si="52"/>
        <v>38</v>
      </c>
      <c r="X301" s="208">
        <f t="shared" si="52"/>
        <v>297</v>
      </c>
      <c r="Y301" s="209"/>
      <c r="Z301" s="210"/>
      <c r="AA301" s="210"/>
      <c r="AB301" s="211"/>
      <c r="AC301" s="211"/>
      <c r="AD301" s="211"/>
      <c r="AE301" s="210"/>
      <c r="AF301" s="212"/>
      <c r="AG301" s="201"/>
      <c r="AH301" s="201"/>
      <c r="AI301" s="346">
        <v>46290</v>
      </c>
      <c r="AJ301" s="201"/>
      <c r="AK301" s="201"/>
      <c r="AL301" s="201"/>
      <c r="AM301" s="201"/>
      <c r="AN301" s="201"/>
      <c r="AO301" s="201"/>
      <c r="AP301" s="201"/>
      <c r="AQ301" s="201"/>
      <c r="AR301" s="201"/>
      <c r="AS301" s="201"/>
      <c r="AT301" s="201"/>
      <c r="AU301" s="476" t="str">
        <f t="shared" si="51"/>
        <v>Ok</v>
      </c>
      <c r="AV301" s="201"/>
      <c r="AW301" s="221">
        <f t="shared" si="46"/>
        <v>38</v>
      </c>
      <c r="AX301" s="208">
        <f t="shared" si="47"/>
        <v>297</v>
      </c>
      <c r="AY301" s="222"/>
      <c r="AZ301" s="222"/>
      <c r="BA301" s="222"/>
      <c r="BB301" s="222"/>
      <c r="BC301" s="222"/>
      <c r="BD301" s="201"/>
      <c r="BE301" s="201"/>
      <c r="BF301" s="201"/>
      <c r="BG301" s="201"/>
      <c r="BH301" s="455">
        <v>46290</v>
      </c>
      <c r="BI301" s="215">
        <f t="shared" si="53"/>
        <v>38</v>
      </c>
      <c r="BJ301" s="208">
        <f t="shared" si="53"/>
        <v>297</v>
      </c>
      <c r="BK301" s="223">
        <v>32</v>
      </c>
      <c r="BL301" s="208">
        <v>285</v>
      </c>
      <c r="BM301" s="224"/>
      <c r="BN301" s="201"/>
      <c r="BO301" s="201"/>
      <c r="BP301" s="201"/>
    </row>
    <row r="302" spans="1:68" ht="15.5">
      <c r="A302" s="201">
        <v>11</v>
      </c>
      <c r="B302" s="219">
        <v>67</v>
      </c>
      <c r="C302" s="348">
        <v>46283</v>
      </c>
      <c r="D302" s="491">
        <f t="shared" si="49"/>
        <v>7</v>
      </c>
      <c r="E302" s="204" t="s">
        <v>72</v>
      </c>
      <c r="F302" s="205"/>
      <c r="G302" s="206"/>
      <c r="H302" s="207">
        <v>46284</v>
      </c>
      <c r="I302" s="215">
        <v>38</v>
      </c>
      <c r="J302" s="208">
        <v>298</v>
      </c>
      <c r="K302" s="209">
        <v>5.1249999999999997E-2</v>
      </c>
      <c r="L302" s="210">
        <v>0.3175</v>
      </c>
      <c r="M302" s="354">
        <v>0.23</v>
      </c>
      <c r="N302" s="355">
        <v>36.25</v>
      </c>
      <c r="O302" s="211">
        <v>29.996874999999999</v>
      </c>
      <c r="P302" s="355">
        <v>82.75</v>
      </c>
      <c r="Q302" s="356">
        <v>0.2</v>
      </c>
      <c r="R302" s="212">
        <v>72</v>
      </c>
      <c r="S302" s="201" t="s">
        <v>584</v>
      </c>
      <c r="T302" s="201" t="s">
        <v>458</v>
      </c>
      <c r="U302" s="201"/>
      <c r="V302" s="343"/>
      <c r="W302" s="215">
        <f t="shared" si="52"/>
        <v>38</v>
      </c>
      <c r="X302" s="208">
        <f t="shared" si="52"/>
        <v>298</v>
      </c>
      <c r="Y302" s="209"/>
      <c r="Z302" s="210"/>
      <c r="AA302" s="210"/>
      <c r="AB302" s="211"/>
      <c r="AC302" s="211"/>
      <c r="AD302" s="211"/>
      <c r="AE302" s="210"/>
      <c r="AF302" s="212"/>
      <c r="AG302" s="201"/>
      <c r="AH302" s="201"/>
      <c r="AI302" s="346"/>
      <c r="AJ302" s="201"/>
      <c r="AK302" s="201"/>
      <c r="AL302" s="201"/>
      <c r="AM302" s="201"/>
      <c r="AN302" s="201"/>
      <c r="AO302" s="201"/>
      <c r="AP302" s="201"/>
      <c r="AQ302" s="201"/>
      <c r="AR302" s="201"/>
      <c r="AS302" s="201"/>
      <c r="AT302" s="201"/>
      <c r="AU302" s="476" t="str">
        <f t="shared" si="51"/>
        <v>Ok</v>
      </c>
      <c r="AV302" s="201"/>
      <c r="AW302" s="221">
        <f t="shared" si="46"/>
        <v>38</v>
      </c>
      <c r="AX302" s="208">
        <f t="shared" si="47"/>
        <v>298</v>
      </c>
      <c r="AY302" s="222"/>
      <c r="AZ302" s="222"/>
      <c r="BA302" s="222"/>
      <c r="BB302" s="222"/>
      <c r="BC302" s="222"/>
      <c r="BD302" s="201"/>
      <c r="BE302" s="201"/>
      <c r="BF302" s="201"/>
      <c r="BG302" s="201"/>
      <c r="BH302" s="455">
        <v>46290</v>
      </c>
      <c r="BI302" s="215">
        <f t="shared" si="53"/>
        <v>38</v>
      </c>
      <c r="BJ302" s="208">
        <f t="shared" si="53"/>
        <v>298</v>
      </c>
      <c r="BK302" s="223">
        <v>32</v>
      </c>
      <c r="BL302" s="208">
        <v>286</v>
      </c>
      <c r="BM302" s="224"/>
      <c r="BN302" s="201"/>
      <c r="BO302" s="201"/>
      <c r="BP302" s="201"/>
    </row>
    <row r="303" spans="1:68" ht="15.5">
      <c r="A303" s="141">
        <v>11</v>
      </c>
      <c r="B303" s="23">
        <v>67</v>
      </c>
      <c r="C303" s="349">
        <v>46283</v>
      </c>
      <c r="D303" s="174">
        <f t="shared" si="49"/>
        <v>-46283</v>
      </c>
      <c r="E303" s="38" t="s">
        <v>72</v>
      </c>
      <c r="F303" s="302"/>
      <c r="G303" s="303"/>
      <c r="H303" s="304">
        <v>46284</v>
      </c>
      <c r="I303" s="133">
        <v>38</v>
      </c>
      <c r="J303" s="155">
        <v>299</v>
      </c>
      <c r="K303" s="138">
        <v>7.0750000000000007E-2</v>
      </c>
      <c r="L303" s="8">
        <v>0.30249999999999999</v>
      </c>
      <c r="M303" s="366">
        <v>0.3</v>
      </c>
      <c r="N303" s="364">
        <v>35.25</v>
      </c>
      <c r="O303" s="139">
        <v>28.552499999999998</v>
      </c>
      <c r="P303" s="364">
        <v>81</v>
      </c>
      <c r="Q303" s="365">
        <v>0.2</v>
      </c>
      <c r="R303" s="140">
        <v>72</v>
      </c>
      <c r="S303" s="141" t="s">
        <v>584</v>
      </c>
      <c r="T303" s="141" t="s">
        <v>458</v>
      </c>
      <c r="U303" s="141"/>
      <c r="V303" s="156"/>
      <c r="W303" s="133">
        <f t="shared" si="52"/>
        <v>38</v>
      </c>
      <c r="X303" s="155">
        <f t="shared" si="52"/>
        <v>299</v>
      </c>
      <c r="Y303" s="138"/>
      <c r="Z303" s="8"/>
      <c r="AA303" s="8"/>
      <c r="AB303" s="139"/>
      <c r="AC303" s="139"/>
      <c r="AD303" s="139"/>
      <c r="AE303" s="8"/>
      <c r="AF303" s="140"/>
      <c r="AG303" s="141"/>
      <c r="AH303" s="141"/>
      <c r="AI303" s="352">
        <v>46289</v>
      </c>
      <c r="AJ303" s="141"/>
      <c r="AK303" s="141"/>
      <c r="AL303" s="141"/>
      <c r="AM303" s="141"/>
      <c r="AN303" s="141"/>
      <c r="AO303" s="141"/>
      <c r="AP303" s="141"/>
      <c r="AQ303" s="141"/>
      <c r="AR303" s="141"/>
      <c r="AS303" s="141"/>
      <c r="AT303" s="141"/>
      <c r="AU303" s="476" t="str">
        <f t="shared" si="51"/>
        <v>Ok</v>
      </c>
      <c r="AV303" s="141"/>
      <c r="AW303" s="310">
        <f t="shared" si="46"/>
        <v>38</v>
      </c>
      <c r="AX303" s="155">
        <f t="shared" si="47"/>
        <v>299</v>
      </c>
      <c r="AY303" s="311"/>
      <c r="AZ303" s="311"/>
      <c r="BA303" s="311"/>
      <c r="BB303" s="311"/>
      <c r="BC303" s="311"/>
      <c r="BD303" s="141"/>
      <c r="BE303" s="141"/>
      <c r="BF303" s="141"/>
      <c r="BG303" s="141"/>
      <c r="BH303" s="23"/>
      <c r="BI303" s="133">
        <f t="shared" si="53"/>
        <v>38</v>
      </c>
      <c r="BJ303" s="155">
        <f t="shared" si="53"/>
        <v>299</v>
      </c>
      <c r="BK303" s="312"/>
      <c r="BL303" s="155"/>
      <c r="BM303" s="200"/>
      <c r="BN303" s="141"/>
      <c r="BO303" s="141"/>
      <c r="BP303" s="141"/>
    </row>
    <row r="304" spans="1:68" ht="15.5">
      <c r="A304" s="141">
        <v>11</v>
      </c>
      <c r="B304" s="23">
        <v>67</v>
      </c>
      <c r="C304" s="349">
        <v>46283</v>
      </c>
      <c r="D304" s="174">
        <f t="shared" si="49"/>
        <v>-46283</v>
      </c>
      <c r="E304" s="38" t="s">
        <v>72</v>
      </c>
      <c r="F304" s="302"/>
      <c r="G304" s="303"/>
      <c r="H304" s="304">
        <v>46284</v>
      </c>
      <c r="I304" s="133">
        <v>38</v>
      </c>
      <c r="J304" s="155">
        <v>300</v>
      </c>
      <c r="K304" s="138">
        <v>6.6250000000000003E-2</v>
      </c>
      <c r="L304" s="8">
        <v>0.315</v>
      </c>
      <c r="M304" s="366">
        <v>0.35</v>
      </c>
      <c r="N304" s="364">
        <v>35.25</v>
      </c>
      <c r="O304" s="139">
        <v>29.081250000000001</v>
      </c>
      <c r="P304" s="364">
        <v>82.5</v>
      </c>
      <c r="Q304" s="365">
        <v>0.2</v>
      </c>
      <c r="R304" s="140">
        <v>72</v>
      </c>
      <c r="S304" s="141" t="s">
        <v>584</v>
      </c>
      <c r="T304" s="141" t="s">
        <v>458</v>
      </c>
      <c r="U304" s="141"/>
      <c r="V304" s="156"/>
      <c r="W304" s="133">
        <f t="shared" si="52"/>
        <v>38</v>
      </c>
      <c r="X304" s="155">
        <f t="shared" si="52"/>
        <v>300</v>
      </c>
      <c r="Y304" s="138"/>
      <c r="Z304" s="8"/>
      <c r="AA304" s="8"/>
      <c r="AB304" s="139"/>
      <c r="AC304" s="139"/>
      <c r="AD304" s="139"/>
      <c r="AE304" s="8"/>
      <c r="AF304" s="140"/>
      <c r="AG304" s="141"/>
      <c r="AH304" s="141"/>
      <c r="AI304" s="352">
        <v>46289</v>
      </c>
      <c r="AJ304" s="141"/>
      <c r="AK304" s="141"/>
      <c r="AL304" s="141"/>
      <c r="AM304" s="141"/>
      <c r="AN304" s="141"/>
      <c r="AO304" s="141"/>
      <c r="AP304" s="141"/>
      <c r="AQ304" s="141"/>
      <c r="AR304" s="141"/>
      <c r="AS304" s="141"/>
      <c r="AT304" s="141"/>
      <c r="AU304" s="476" t="str">
        <f t="shared" si="51"/>
        <v>Ok</v>
      </c>
      <c r="AV304" s="141"/>
      <c r="AW304" s="310">
        <f t="shared" si="46"/>
        <v>38</v>
      </c>
      <c r="AX304" s="155">
        <f t="shared" si="47"/>
        <v>300</v>
      </c>
      <c r="AY304" s="311"/>
      <c r="AZ304" s="311"/>
      <c r="BA304" s="311"/>
      <c r="BB304" s="311"/>
      <c r="BC304" s="311"/>
      <c r="BD304" s="141"/>
      <c r="BE304" s="141"/>
      <c r="BF304" s="141"/>
      <c r="BG304" s="141"/>
      <c r="BH304" s="23"/>
      <c r="BI304" s="133">
        <f t="shared" si="53"/>
        <v>38</v>
      </c>
      <c r="BJ304" s="155">
        <f t="shared" si="53"/>
        <v>300</v>
      </c>
      <c r="BK304" s="312"/>
      <c r="BL304" s="155"/>
      <c r="BM304" s="200"/>
      <c r="BN304" s="141"/>
      <c r="BO304" s="141"/>
      <c r="BP304" s="141"/>
    </row>
    <row r="305" spans="1:68" ht="15.5">
      <c r="A305" s="141">
        <v>11</v>
      </c>
      <c r="B305" s="23" t="s">
        <v>804</v>
      </c>
      <c r="C305" s="349">
        <v>46284</v>
      </c>
      <c r="D305" s="174">
        <f t="shared" si="49"/>
        <v>-46284</v>
      </c>
      <c r="E305" s="38" t="s">
        <v>72</v>
      </c>
      <c r="F305" s="302"/>
      <c r="G305" s="303"/>
      <c r="H305" s="304">
        <v>46286</v>
      </c>
      <c r="I305" s="133">
        <v>38</v>
      </c>
      <c r="J305" s="155">
        <v>301</v>
      </c>
      <c r="K305" s="138">
        <v>5.8749999999999997E-2</v>
      </c>
      <c r="L305" s="8">
        <v>0.30499999999999999</v>
      </c>
      <c r="M305" s="366">
        <v>0.31</v>
      </c>
      <c r="N305" s="364">
        <v>34.75</v>
      </c>
      <c r="O305" s="139">
        <v>28.755624999999998</v>
      </c>
      <c r="P305" s="364">
        <v>82.75</v>
      </c>
      <c r="Q305" s="365">
        <v>0.2</v>
      </c>
      <c r="R305" s="140">
        <v>68</v>
      </c>
      <c r="S305" s="141" t="s">
        <v>584</v>
      </c>
      <c r="T305" s="141" t="s">
        <v>458</v>
      </c>
      <c r="U305" s="141"/>
      <c r="V305" s="156"/>
      <c r="W305" s="133">
        <f t="shared" si="52"/>
        <v>38</v>
      </c>
      <c r="X305" s="155">
        <f t="shared" si="52"/>
        <v>301</v>
      </c>
      <c r="Y305" s="138"/>
      <c r="Z305" s="8"/>
      <c r="AA305" s="8"/>
      <c r="AB305" s="139"/>
      <c r="AC305" s="139"/>
      <c r="AD305" s="139"/>
      <c r="AE305" s="8"/>
      <c r="AF305" s="140"/>
      <c r="AG305" s="141"/>
      <c r="AH305" s="141"/>
      <c r="AI305" s="352">
        <v>46288</v>
      </c>
      <c r="AJ305" s="141"/>
      <c r="AK305" s="141"/>
      <c r="AL305" s="141"/>
      <c r="AM305" s="141"/>
      <c r="AN305" s="141"/>
      <c r="AO305" s="141"/>
      <c r="AP305" s="141"/>
      <c r="AQ305" s="141"/>
      <c r="AR305" s="141"/>
      <c r="AS305" s="141"/>
      <c r="AT305" s="141"/>
      <c r="AU305" s="476" t="str">
        <f t="shared" si="51"/>
        <v>Ok</v>
      </c>
      <c r="AV305" s="141"/>
      <c r="AW305" s="310">
        <f t="shared" si="46"/>
        <v>38</v>
      </c>
      <c r="AX305" s="155">
        <f t="shared" si="47"/>
        <v>301</v>
      </c>
      <c r="AY305" s="311"/>
      <c r="AZ305" s="311"/>
      <c r="BA305" s="311"/>
      <c r="BB305" s="311"/>
      <c r="BC305" s="311"/>
      <c r="BD305" s="141"/>
      <c r="BE305" s="141"/>
      <c r="BF305" s="141"/>
      <c r="BG305" s="141"/>
      <c r="BH305" s="23"/>
      <c r="BI305" s="133">
        <f t="shared" si="53"/>
        <v>38</v>
      </c>
      <c r="BJ305" s="155">
        <f t="shared" si="53"/>
        <v>301</v>
      </c>
      <c r="BK305" s="312"/>
      <c r="BL305" s="155"/>
      <c r="BM305" s="200"/>
      <c r="BN305" s="141"/>
      <c r="BO305" s="141"/>
      <c r="BP305" s="141"/>
    </row>
    <row r="306" spans="1:68" ht="15.5">
      <c r="A306" s="367">
        <v>11</v>
      </c>
      <c r="B306" s="23" t="s">
        <v>805</v>
      </c>
      <c r="C306" s="349">
        <v>46286</v>
      </c>
      <c r="D306" s="174">
        <f t="shared" si="49"/>
        <v>-46286</v>
      </c>
      <c r="E306" s="38" t="s">
        <v>72</v>
      </c>
      <c r="F306" s="302"/>
      <c r="G306" s="303"/>
      <c r="H306" s="304">
        <v>46286</v>
      </c>
      <c r="I306" s="133">
        <v>38</v>
      </c>
      <c r="J306" s="155">
        <v>302</v>
      </c>
      <c r="K306" s="138">
        <v>7.2999999999999995E-2</v>
      </c>
      <c r="L306" s="8">
        <v>0.32250000000000001</v>
      </c>
      <c r="M306" s="366">
        <v>0.46</v>
      </c>
      <c r="N306" s="364">
        <v>36</v>
      </c>
      <c r="O306" s="139">
        <v>29.52</v>
      </c>
      <c r="P306" s="364">
        <v>82</v>
      </c>
      <c r="Q306" s="365">
        <v>0.2</v>
      </c>
      <c r="R306" s="140">
        <v>68</v>
      </c>
      <c r="S306" s="141" t="s">
        <v>584</v>
      </c>
      <c r="T306" s="141" t="s">
        <v>458</v>
      </c>
      <c r="U306" s="141"/>
      <c r="V306" s="156"/>
      <c r="W306" s="133">
        <f t="shared" si="52"/>
        <v>38</v>
      </c>
      <c r="X306" s="155">
        <f t="shared" si="52"/>
        <v>302</v>
      </c>
      <c r="Y306" s="138"/>
      <c r="Z306" s="8"/>
      <c r="AA306" s="8"/>
      <c r="AB306" s="139"/>
      <c r="AC306" s="139"/>
      <c r="AD306" s="139"/>
      <c r="AE306" s="8"/>
      <c r="AF306" s="140"/>
      <c r="AG306" s="141"/>
      <c r="AH306" s="141"/>
      <c r="AI306" s="352">
        <v>46293</v>
      </c>
      <c r="AJ306" s="141"/>
      <c r="AK306" s="141"/>
      <c r="AL306" s="141"/>
      <c r="AM306" s="141"/>
      <c r="AN306" s="141"/>
      <c r="AO306" s="141"/>
      <c r="AP306" s="141"/>
      <c r="AQ306" s="141"/>
      <c r="AR306" s="141"/>
      <c r="AS306" s="141"/>
      <c r="AT306" s="141"/>
      <c r="AU306" s="476" t="str">
        <f t="shared" si="51"/>
        <v>Ok</v>
      </c>
      <c r="AV306" s="141"/>
      <c r="AW306" s="310">
        <f t="shared" si="46"/>
        <v>38</v>
      </c>
      <c r="AX306" s="155">
        <f t="shared" si="47"/>
        <v>302</v>
      </c>
      <c r="AY306" s="311"/>
      <c r="AZ306" s="311"/>
      <c r="BA306" s="311"/>
      <c r="BB306" s="311"/>
      <c r="BC306" s="311"/>
      <c r="BD306" s="141"/>
      <c r="BE306" s="141"/>
      <c r="BF306" s="141"/>
      <c r="BG306" s="141"/>
      <c r="BH306" s="23"/>
      <c r="BI306" s="133">
        <f t="shared" si="53"/>
        <v>38</v>
      </c>
      <c r="BJ306" s="155">
        <f t="shared" si="53"/>
        <v>302</v>
      </c>
      <c r="BK306" s="312"/>
      <c r="BL306" s="155"/>
      <c r="BM306" s="200"/>
      <c r="BN306" s="141"/>
      <c r="BO306" s="141"/>
      <c r="BP306" s="141"/>
    </row>
    <row r="307" spans="1:68" ht="15.5">
      <c r="A307" s="367">
        <v>11</v>
      </c>
      <c r="B307" s="23">
        <v>69</v>
      </c>
      <c r="C307" s="349">
        <v>46286</v>
      </c>
      <c r="D307" s="174">
        <f t="shared" si="49"/>
        <v>-46286</v>
      </c>
      <c r="E307" s="38" t="s">
        <v>72</v>
      </c>
      <c r="F307" s="302"/>
      <c r="G307" s="303"/>
      <c r="H307" s="304">
        <v>46286</v>
      </c>
      <c r="I307" s="133">
        <v>38</v>
      </c>
      <c r="J307" s="155">
        <v>303</v>
      </c>
      <c r="K307" s="138">
        <v>3.2500000000000001E-2</v>
      </c>
      <c r="L307" s="8">
        <v>0.31</v>
      </c>
      <c r="M307" s="366">
        <v>0.38</v>
      </c>
      <c r="N307" s="364">
        <v>37.75</v>
      </c>
      <c r="O307" s="139">
        <v>29.916875000000001</v>
      </c>
      <c r="P307" s="364">
        <v>79.25</v>
      </c>
      <c r="Q307" s="365">
        <v>0.2</v>
      </c>
      <c r="R307" s="140">
        <v>68</v>
      </c>
      <c r="S307" s="141" t="s">
        <v>584</v>
      </c>
      <c r="T307" s="141" t="s">
        <v>458</v>
      </c>
      <c r="U307" s="141"/>
      <c r="V307" s="156"/>
      <c r="W307" s="133">
        <f t="shared" si="52"/>
        <v>38</v>
      </c>
      <c r="X307" s="155">
        <f t="shared" si="52"/>
        <v>303</v>
      </c>
      <c r="Y307" s="138"/>
      <c r="Z307" s="8"/>
      <c r="AA307" s="8"/>
      <c r="AB307" s="139"/>
      <c r="AC307" s="139"/>
      <c r="AD307" s="139"/>
      <c r="AE307" s="8"/>
      <c r="AF307" s="140"/>
      <c r="AG307" s="141"/>
      <c r="AH307" s="141"/>
      <c r="AI307" s="352">
        <v>46293</v>
      </c>
      <c r="AJ307" s="141"/>
      <c r="AK307" s="141"/>
      <c r="AL307" s="141"/>
      <c r="AM307" s="141"/>
      <c r="AN307" s="141"/>
      <c r="AO307" s="141"/>
      <c r="AP307" s="141"/>
      <c r="AQ307" s="141"/>
      <c r="AR307" s="141"/>
      <c r="AS307" s="141"/>
      <c r="AT307" s="141"/>
      <c r="AU307" s="476" t="str">
        <f t="shared" si="51"/>
        <v>Ok</v>
      </c>
      <c r="AV307" s="141"/>
      <c r="AW307" s="310">
        <f t="shared" si="46"/>
        <v>38</v>
      </c>
      <c r="AX307" s="155">
        <f t="shared" si="47"/>
        <v>303</v>
      </c>
      <c r="AY307" s="311"/>
      <c r="AZ307" s="311"/>
      <c r="BA307" s="311"/>
      <c r="BB307" s="311"/>
      <c r="BC307" s="311"/>
      <c r="BD307" s="141"/>
      <c r="BE307" s="141"/>
      <c r="BF307" s="141"/>
      <c r="BG307" s="141"/>
      <c r="BH307" s="23"/>
      <c r="BI307" s="133">
        <f t="shared" si="53"/>
        <v>38</v>
      </c>
      <c r="BJ307" s="155">
        <f t="shared" si="53"/>
        <v>303</v>
      </c>
      <c r="BK307" s="312"/>
      <c r="BL307" s="155"/>
      <c r="BM307" s="200"/>
      <c r="BN307" s="141"/>
      <c r="BO307" s="141"/>
      <c r="BP307" s="141"/>
    </row>
    <row r="308" spans="1:68" ht="15.5">
      <c r="A308" s="367">
        <v>11</v>
      </c>
      <c r="B308" s="23">
        <v>69</v>
      </c>
      <c r="C308" s="349">
        <v>46286</v>
      </c>
      <c r="D308" s="174">
        <f t="shared" si="49"/>
        <v>-46286</v>
      </c>
      <c r="E308" s="38" t="s">
        <v>72</v>
      </c>
      <c r="F308" s="302"/>
      <c r="G308" s="303"/>
      <c r="H308" s="304">
        <v>46286</v>
      </c>
      <c r="I308" s="133">
        <v>38</v>
      </c>
      <c r="J308" s="155">
        <v>304</v>
      </c>
      <c r="K308" s="138">
        <v>5.45E-2</v>
      </c>
      <c r="L308" s="8">
        <v>0.32</v>
      </c>
      <c r="M308" s="366">
        <v>0.17</v>
      </c>
      <c r="N308" s="364">
        <v>37.75</v>
      </c>
      <c r="O308" s="139">
        <v>29.728124999999999</v>
      </c>
      <c r="P308" s="364">
        <v>78.75</v>
      </c>
      <c r="Q308" s="365">
        <v>0.2</v>
      </c>
      <c r="R308" s="140">
        <v>68</v>
      </c>
      <c r="S308" s="141" t="s">
        <v>584</v>
      </c>
      <c r="T308" s="141" t="s">
        <v>458</v>
      </c>
      <c r="U308" s="141"/>
      <c r="V308" s="156"/>
      <c r="W308" s="133">
        <f t="shared" si="52"/>
        <v>38</v>
      </c>
      <c r="X308" s="155">
        <f t="shared" si="52"/>
        <v>304</v>
      </c>
      <c r="Y308" s="138"/>
      <c r="Z308" s="8"/>
      <c r="AA308" s="8"/>
      <c r="AB308" s="139"/>
      <c r="AC308" s="139"/>
      <c r="AD308" s="139"/>
      <c r="AE308" s="8"/>
      <c r="AF308" s="140"/>
      <c r="AG308" s="141"/>
      <c r="AH308" s="141"/>
      <c r="AI308" s="352">
        <v>46293</v>
      </c>
      <c r="AJ308" s="141"/>
      <c r="AK308" s="141"/>
      <c r="AL308" s="141"/>
      <c r="AM308" s="141"/>
      <c r="AN308" s="141"/>
      <c r="AO308" s="141"/>
      <c r="AP308" s="141"/>
      <c r="AQ308" s="141"/>
      <c r="AR308" s="141"/>
      <c r="AS308" s="141"/>
      <c r="AT308" s="141"/>
      <c r="AU308" s="476" t="str">
        <f t="shared" si="51"/>
        <v>Ok</v>
      </c>
      <c r="AV308" s="141"/>
      <c r="AW308" s="310">
        <f t="shared" si="46"/>
        <v>38</v>
      </c>
      <c r="AX308" s="155">
        <f t="shared" si="47"/>
        <v>304</v>
      </c>
      <c r="AY308" s="311"/>
      <c r="AZ308" s="311"/>
      <c r="BA308" s="311"/>
      <c r="BB308" s="311"/>
      <c r="BC308" s="311"/>
      <c r="BD308" s="141"/>
      <c r="BE308" s="141"/>
      <c r="BF308" s="141"/>
      <c r="BG308" s="141"/>
      <c r="BH308" s="23"/>
      <c r="BI308" s="133">
        <f t="shared" si="53"/>
        <v>38</v>
      </c>
      <c r="BJ308" s="155">
        <f t="shared" si="53"/>
        <v>304</v>
      </c>
      <c r="BK308" s="312"/>
      <c r="BL308" s="155"/>
      <c r="BM308" s="200"/>
      <c r="BN308" s="141"/>
      <c r="BO308" s="141"/>
      <c r="BP308" s="141"/>
    </row>
    <row r="309" spans="1:68" ht="15.5">
      <c r="A309" s="495" t="s">
        <v>589</v>
      </c>
      <c r="B309" s="219" t="s">
        <v>806</v>
      </c>
      <c r="C309" s="348">
        <v>46287</v>
      </c>
      <c r="D309" s="491">
        <f t="shared" si="49"/>
        <v>24</v>
      </c>
      <c r="E309" s="204" t="s">
        <v>72</v>
      </c>
      <c r="F309" s="205"/>
      <c r="G309" s="206"/>
      <c r="H309" s="207">
        <v>46288</v>
      </c>
      <c r="I309" s="494">
        <v>39</v>
      </c>
      <c r="J309" s="208">
        <v>305</v>
      </c>
      <c r="K309" s="209">
        <v>2.7999999999999997E-2</v>
      </c>
      <c r="L309" s="210">
        <v>0.3075</v>
      </c>
      <c r="M309" s="354">
        <v>0.36</v>
      </c>
      <c r="N309" s="355">
        <v>38</v>
      </c>
      <c r="O309" s="211">
        <v>30.114999999999998</v>
      </c>
      <c r="P309" s="355">
        <v>79.25</v>
      </c>
      <c r="Q309" s="356">
        <v>0.22</v>
      </c>
      <c r="R309" s="212">
        <v>75.5</v>
      </c>
      <c r="S309" s="201" t="s">
        <v>584</v>
      </c>
      <c r="T309" s="201" t="s">
        <v>458</v>
      </c>
      <c r="U309" s="201"/>
      <c r="V309" s="343"/>
      <c r="W309" s="215">
        <f t="shared" si="52"/>
        <v>39</v>
      </c>
      <c r="X309" s="208">
        <f t="shared" si="52"/>
        <v>305</v>
      </c>
      <c r="Y309" s="209"/>
      <c r="Z309" s="210"/>
      <c r="AA309" s="210"/>
      <c r="AB309" s="211"/>
      <c r="AC309" s="211"/>
      <c r="AD309" s="211"/>
      <c r="AE309" s="210"/>
      <c r="AF309" s="212"/>
      <c r="AG309" s="201"/>
      <c r="AH309" s="201" t="s">
        <v>458</v>
      </c>
      <c r="AI309" s="346">
        <v>46290</v>
      </c>
      <c r="AJ309" s="201"/>
      <c r="AK309" s="201"/>
      <c r="AL309" s="201"/>
      <c r="AM309" s="201"/>
      <c r="AN309" s="201"/>
      <c r="AO309" s="201"/>
      <c r="AP309" s="201" t="s">
        <v>458</v>
      </c>
      <c r="AQ309" s="201"/>
      <c r="AR309" s="201"/>
      <c r="AS309" s="201"/>
      <c r="AT309" s="201"/>
      <c r="AU309" s="492" t="str">
        <f t="shared" si="51"/>
        <v>Ok</v>
      </c>
      <c r="AV309" s="201"/>
      <c r="AW309" s="221">
        <f t="shared" si="46"/>
        <v>39</v>
      </c>
      <c r="AX309" s="208">
        <f t="shared" si="47"/>
        <v>305</v>
      </c>
      <c r="AY309" s="222"/>
      <c r="AZ309" s="222"/>
      <c r="BA309" s="222"/>
      <c r="BB309" s="222"/>
      <c r="BC309" s="222"/>
      <c r="BD309" s="201"/>
      <c r="BE309" s="201"/>
      <c r="BF309" s="201"/>
      <c r="BG309" s="201"/>
      <c r="BH309" s="455">
        <v>46311</v>
      </c>
      <c r="BI309" s="215">
        <f t="shared" si="53"/>
        <v>39</v>
      </c>
      <c r="BJ309" s="208">
        <f t="shared" si="53"/>
        <v>305</v>
      </c>
      <c r="BK309" s="223"/>
      <c r="BL309" s="208"/>
      <c r="BM309" s="224"/>
      <c r="BN309" s="201"/>
      <c r="BO309" s="201"/>
      <c r="BP309" s="201"/>
    </row>
    <row r="310" spans="1:68" ht="15.5">
      <c r="A310" s="141">
        <v>12</v>
      </c>
      <c r="B310" s="23">
        <v>71</v>
      </c>
      <c r="C310" s="349">
        <v>46287</v>
      </c>
      <c r="D310" s="174">
        <f t="shared" si="49"/>
        <v>-46287</v>
      </c>
      <c r="E310" s="38" t="s">
        <v>72</v>
      </c>
      <c r="F310" s="302"/>
      <c r="G310" s="303"/>
      <c r="H310" s="304">
        <v>46288</v>
      </c>
      <c r="I310" s="148">
        <v>39</v>
      </c>
      <c r="J310" s="155">
        <v>306</v>
      </c>
      <c r="K310" s="138">
        <v>8.2000000000000003E-2</v>
      </c>
      <c r="L310" s="8">
        <v>0.32750000000000001</v>
      </c>
      <c r="M310" s="366">
        <v>0.35</v>
      </c>
      <c r="N310" s="364">
        <v>39</v>
      </c>
      <c r="O310" s="139">
        <v>31.98</v>
      </c>
      <c r="P310" s="364">
        <v>82</v>
      </c>
      <c r="Q310" s="365">
        <v>0.22</v>
      </c>
      <c r="R310" s="140">
        <v>75.5</v>
      </c>
      <c r="S310" s="141" t="s">
        <v>427</v>
      </c>
      <c r="T310" s="141" t="s">
        <v>458</v>
      </c>
      <c r="U310" s="141"/>
      <c r="V310" s="156"/>
      <c r="W310" s="133">
        <f t="shared" si="52"/>
        <v>39</v>
      </c>
      <c r="X310" s="155">
        <f t="shared" si="52"/>
        <v>306</v>
      </c>
      <c r="Y310" s="138"/>
      <c r="Z310" s="8"/>
      <c r="AA310" s="8"/>
      <c r="AB310" s="139"/>
      <c r="AC310" s="139"/>
      <c r="AD310" s="139"/>
      <c r="AE310" s="8"/>
      <c r="AF310" s="140"/>
      <c r="AG310" s="141"/>
      <c r="AH310" s="141"/>
      <c r="AI310" s="352">
        <v>46290</v>
      </c>
      <c r="AJ310" s="141"/>
      <c r="AK310" s="141"/>
      <c r="AL310" s="141"/>
      <c r="AM310" s="141"/>
      <c r="AN310" s="141"/>
      <c r="AO310" s="141"/>
      <c r="AP310" s="141"/>
      <c r="AQ310" s="141"/>
      <c r="AR310" s="141"/>
      <c r="AS310" s="141"/>
      <c r="AT310" s="141"/>
      <c r="AU310" s="476" t="str">
        <f t="shared" si="51"/>
        <v>Ok</v>
      </c>
      <c r="AV310" s="141"/>
      <c r="AW310" s="310">
        <f t="shared" si="46"/>
        <v>39</v>
      </c>
      <c r="AX310" s="155">
        <f t="shared" si="47"/>
        <v>306</v>
      </c>
      <c r="AY310" s="311"/>
      <c r="AZ310" s="311"/>
      <c r="BA310" s="311"/>
      <c r="BB310" s="311"/>
      <c r="BC310" s="311"/>
      <c r="BD310" s="141"/>
      <c r="BE310" s="141"/>
      <c r="BF310" s="141"/>
      <c r="BG310" s="141"/>
      <c r="BH310" s="23"/>
      <c r="BI310" s="133">
        <f t="shared" si="53"/>
        <v>39</v>
      </c>
      <c r="BJ310" s="155">
        <f t="shared" si="53"/>
        <v>306</v>
      </c>
      <c r="BK310" s="312"/>
      <c r="BL310" s="155"/>
      <c r="BM310" s="200"/>
      <c r="BN310" s="141"/>
      <c r="BO310" s="141"/>
      <c r="BP310" s="141"/>
    </row>
    <row r="311" spans="1:68" ht="15.5">
      <c r="A311" s="141">
        <v>12</v>
      </c>
      <c r="B311" s="23">
        <v>71</v>
      </c>
      <c r="C311" s="349">
        <v>46287</v>
      </c>
      <c r="D311" s="174">
        <f t="shared" si="49"/>
        <v>-46287</v>
      </c>
      <c r="E311" s="38" t="s">
        <v>72</v>
      </c>
      <c r="F311" s="302"/>
      <c r="G311" s="303"/>
      <c r="H311" s="304">
        <v>46288</v>
      </c>
      <c r="I311" s="148">
        <v>39</v>
      </c>
      <c r="J311" s="155">
        <v>307</v>
      </c>
      <c r="K311" s="138">
        <v>2.375E-2</v>
      </c>
      <c r="L311" s="8">
        <v>0.38</v>
      </c>
      <c r="M311" s="366">
        <v>0.41</v>
      </c>
      <c r="N311" s="364">
        <v>39.25</v>
      </c>
      <c r="O311" s="139">
        <v>32.577500000000001</v>
      </c>
      <c r="P311" s="364">
        <v>83</v>
      </c>
      <c r="Q311" s="365">
        <v>0.22</v>
      </c>
      <c r="R311" s="140">
        <v>75.5</v>
      </c>
      <c r="S311" s="141" t="s">
        <v>427</v>
      </c>
      <c r="T311" s="141" t="s">
        <v>458</v>
      </c>
      <c r="U311" s="141"/>
      <c r="V311" s="156"/>
      <c r="W311" s="133">
        <f t="shared" si="52"/>
        <v>39</v>
      </c>
      <c r="X311" s="155">
        <f t="shared" si="52"/>
        <v>307</v>
      </c>
      <c r="Y311" s="138"/>
      <c r="Z311" s="8"/>
      <c r="AA311" s="8"/>
      <c r="AB311" s="139"/>
      <c r="AC311" s="139"/>
      <c r="AD311" s="139"/>
      <c r="AE311" s="8"/>
      <c r="AF311" s="140"/>
      <c r="AG311" s="141"/>
      <c r="AH311" s="141"/>
      <c r="AI311" s="352">
        <v>46290</v>
      </c>
      <c r="AJ311" s="141"/>
      <c r="AK311" s="141"/>
      <c r="AL311" s="141"/>
      <c r="AM311" s="141"/>
      <c r="AN311" s="141"/>
      <c r="AO311" s="141"/>
      <c r="AP311" s="141"/>
      <c r="AQ311" s="141"/>
      <c r="AR311" s="141"/>
      <c r="AS311" s="141"/>
      <c r="AT311" s="141"/>
      <c r="AU311" s="476" t="str">
        <f t="shared" si="51"/>
        <v>Ok</v>
      </c>
      <c r="AV311" s="141"/>
      <c r="AW311" s="310">
        <f t="shared" si="46"/>
        <v>39</v>
      </c>
      <c r="AX311" s="155">
        <f t="shared" si="47"/>
        <v>307</v>
      </c>
      <c r="AY311" s="311"/>
      <c r="AZ311" s="311"/>
      <c r="BA311" s="311"/>
      <c r="BB311" s="311"/>
      <c r="BC311" s="311"/>
      <c r="BD311" s="141"/>
      <c r="BE311" s="141"/>
      <c r="BF311" s="141"/>
      <c r="BG311" s="141"/>
      <c r="BH311" s="23"/>
      <c r="BI311" s="133">
        <f t="shared" si="53"/>
        <v>39</v>
      </c>
      <c r="BJ311" s="155">
        <f t="shared" si="53"/>
        <v>307</v>
      </c>
      <c r="BK311" s="312"/>
      <c r="BL311" s="155"/>
      <c r="BM311" s="200"/>
      <c r="BN311" s="141"/>
      <c r="BO311" s="141"/>
      <c r="BP311" s="141"/>
    </row>
    <row r="312" spans="1:68" ht="15.5">
      <c r="A312" s="201">
        <v>12</v>
      </c>
      <c r="B312" s="219">
        <v>71</v>
      </c>
      <c r="C312" s="348">
        <v>46287</v>
      </c>
      <c r="D312" s="491">
        <f t="shared" si="49"/>
        <v>24</v>
      </c>
      <c r="E312" s="204" t="s">
        <v>72</v>
      </c>
      <c r="F312" s="205"/>
      <c r="G312" s="206"/>
      <c r="H312" s="207">
        <v>46288</v>
      </c>
      <c r="I312" s="494">
        <v>39</v>
      </c>
      <c r="J312" s="208">
        <v>308</v>
      </c>
      <c r="K312" s="209">
        <v>1.55E-2</v>
      </c>
      <c r="L312" s="210">
        <v>0.255</v>
      </c>
      <c r="M312" s="354">
        <v>0.21</v>
      </c>
      <c r="N312" s="355">
        <v>37.5</v>
      </c>
      <c r="O312" s="211">
        <v>30.28125</v>
      </c>
      <c r="P312" s="355">
        <v>80.75</v>
      </c>
      <c r="Q312" s="356">
        <v>0.22</v>
      </c>
      <c r="R312" s="212">
        <v>75.5</v>
      </c>
      <c r="S312" s="201" t="s">
        <v>584</v>
      </c>
      <c r="T312" s="201" t="s">
        <v>458</v>
      </c>
      <c r="U312" s="201"/>
      <c r="V312" s="343"/>
      <c r="W312" s="215">
        <f t="shared" si="52"/>
        <v>39</v>
      </c>
      <c r="X312" s="208">
        <f t="shared" si="52"/>
        <v>308</v>
      </c>
      <c r="Y312" s="209"/>
      <c r="Z312" s="210"/>
      <c r="AA312" s="210"/>
      <c r="AB312" s="211"/>
      <c r="AC312" s="211"/>
      <c r="AD312" s="211"/>
      <c r="AE312" s="210"/>
      <c r="AF312" s="212"/>
      <c r="AG312" s="201"/>
      <c r="AH312" s="201" t="s">
        <v>458</v>
      </c>
      <c r="AI312" s="346">
        <v>46290</v>
      </c>
      <c r="AJ312" s="201"/>
      <c r="AK312" s="201"/>
      <c r="AL312" s="201"/>
      <c r="AM312" s="201"/>
      <c r="AN312" s="201"/>
      <c r="AO312" s="201"/>
      <c r="AP312" s="201" t="s">
        <v>458</v>
      </c>
      <c r="AQ312" s="201"/>
      <c r="AR312" s="201"/>
      <c r="AS312" s="201"/>
      <c r="AT312" s="201"/>
      <c r="AU312" s="492" t="str">
        <f t="shared" si="51"/>
        <v>Ok</v>
      </c>
      <c r="AV312" s="201"/>
      <c r="AW312" s="221">
        <f t="shared" si="46"/>
        <v>39</v>
      </c>
      <c r="AX312" s="208">
        <f t="shared" si="47"/>
        <v>308</v>
      </c>
      <c r="AY312" s="222"/>
      <c r="AZ312" s="222"/>
      <c r="BA312" s="222"/>
      <c r="BB312" s="222"/>
      <c r="BC312" s="222"/>
      <c r="BD312" s="201"/>
      <c r="BE312" s="201"/>
      <c r="BF312" s="201"/>
      <c r="BG312" s="201"/>
      <c r="BH312" s="455">
        <v>46311</v>
      </c>
      <c r="BI312" s="215">
        <f t="shared" si="53"/>
        <v>39</v>
      </c>
      <c r="BJ312" s="208">
        <f t="shared" si="53"/>
        <v>308</v>
      </c>
      <c r="BK312" s="223"/>
      <c r="BL312" s="208"/>
      <c r="BM312" s="224"/>
      <c r="BN312" s="201"/>
      <c r="BO312" s="201"/>
      <c r="BP312" s="201"/>
    </row>
    <row r="313" spans="1:68" ht="15.5">
      <c r="A313" s="141">
        <v>12</v>
      </c>
      <c r="B313" s="23" t="s">
        <v>807</v>
      </c>
      <c r="C313" s="349">
        <v>46287</v>
      </c>
      <c r="D313" s="174">
        <f t="shared" si="49"/>
        <v>-46287</v>
      </c>
      <c r="E313" s="38" t="s">
        <v>72</v>
      </c>
      <c r="F313" s="302"/>
      <c r="G313" s="303"/>
      <c r="H313" s="304">
        <v>46290</v>
      </c>
      <c r="I313" s="148">
        <v>39</v>
      </c>
      <c r="J313" s="155">
        <v>309</v>
      </c>
      <c r="K313" s="138">
        <v>8.2000000000000003E-2</v>
      </c>
      <c r="L313" s="8">
        <v>0.26750000000000002</v>
      </c>
      <c r="M313" s="366">
        <v>0.21</v>
      </c>
      <c r="N313" s="364">
        <v>35.25</v>
      </c>
      <c r="O313" s="139">
        <v>28.02375</v>
      </c>
      <c r="P313" s="364">
        <v>79.5</v>
      </c>
      <c r="Q313" s="365">
        <v>0.22</v>
      </c>
      <c r="R313" s="140">
        <v>75</v>
      </c>
      <c r="S313" s="141" t="s">
        <v>584</v>
      </c>
      <c r="T313" s="141" t="s">
        <v>458</v>
      </c>
      <c r="U313" s="141"/>
      <c r="V313" s="156"/>
      <c r="W313" s="133">
        <f t="shared" si="52"/>
        <v>39</v>
      </c>
      <c r="X313" s="155">
        <f t="shared" si="52"/>
        <v>309</v>
      </c>
      <c r="Y313" s="138"/>
      <c r="Z313" s="8"/>
      <c r="AA313" s="8"/>
      <c r="AB313" s="139"/>
      <c r="AC313" s="139"/>
      <c r="AD313" s="139"/>
      <c r="AE313" s="8"/>
      <c r="AF313" s="140"/>
      <c r="AG313" s="141"/>
      <c r="AH313" s="141"/>
      <c r="AI313" s="352">
        <v>46294</v>
      </c>
      <c r="AJ313" s="141"/>
      <c r="AK313" s="141"/>
      <c r="AL313" s="141"/>
      <c r="AM313" s="141"/>
      <c r="AN313" s="141"/>
      <c r="AO313" s="141"/>
      <c r="AP313" s="141"/>
      <c r="AQ313" s="141"/>
      <c r="AR313" s="141"/>
      <c r="AS313" s="141"/>
      <c r="AT313" s="141"/>
      <c r="AU313" s="476" t="str">
        <f t="shared" si="51"/>
        <v>Ok</v>
      </c>
      <c r="AV313" s="141"/>
      <c r="AW313" s="310">
        <f t="shared" si="46"/>
        <v>39</v>
      </c>
      <c r="AX313" s="155">
        <f t="shared" si="47"/>
        <v>309</v>
      </c>
      <c r="AY313" s="311"/>
      <c r="AZ313" s="311"/>
      <c r="BA313" s="311"/>
      <c r="BB313" s="311"/>
      <c r="BC313" s="311"/>
      <c r="BD313" s="141"/>
      <c r="BE313" s="141"/>
      <c r="BF313" s="141"/>
      <c r="BG313" s="141"/>
      <c r="BH313" s="23"/>
      <c r="BI313" s="133">
        <f t="shared" si="53"/>
        <v>39</v>
      </c>
      <c r="BJ313" s="155">
        <f t="shared" si="53"/>
        <v>309</v>
      </c>
      <c r="BK313" s="312"/>
      <c r="BL313" s="155"/>
      <c r="BM313" s="200"/>
      <c r="BN313" s="141"/>
      <c r="BO313" s="141"/>
      <c r="BP313" s="141"/>
    </row>
    <row r="314" spans="1:68" ht="15.5">
      <c r="A314" s="141">
        <v>12</v>
      </c>
      <c r="B314" s="23">
        <v>73</v>
      </c>
      <c r="C314" s="368">
        <v>46289</v>
      </c>
      <c r="D314" s="174">
        <f t="shared" si="49"/>
        <v>-46289</v>
      </c>
      <c r="E314" s="38" t="s">
        <v>72</v>
      </c>
      <c r="F314" s="302"/>
      <c r="G314" s="303"/>
      <c r="H314" s="304">
        <v>46290</v>
      </c>
      <c r="I314" s="148">
        <v>39</v>
      </c>
      <c r="J314" s="155">
        <v>310</v>
      </c>
      <c r="K314" s="138">
        <v>6.3750000000000001E-2</v>
      </c>
      <c r="L314" s="8">
        <v>0.3125</v>
      </c>
      <c r="M314" s="366">
        <v>0.37</v>
      </c>
      <c r="N314" s="364">
        <v>34.5</v>
      </c>
      <c r="O314" s="139">
        <v>27.945</v>
      </c>
      <c r="P314" s="364">
        <v>81</v>
      </c>
      <c r="Q314" s="365">
        <v>0.22</v>
      </c>
      <c r="R314" s="140">
        <v>75</v>
      </c>
      <c r="S314" s="141" t="s">
        <v>584</v>
      </c>
      <c r="T314" s="141" t="s">
        <v>458</v>
      </c>
      <c r="U314" s="141"/>
      <c r="V314" s="156"/>
      <c r="W314" s="133">
        <f t="shared" si="52"/>
        <v>39</v>
      </c>
      <c r="X314" s="155">
        <f t="shared" si="52"/>
        <v>310</v>
      </c>
      <c r="Y314" s="138"/>
      <c r="Z314" s="8"/>
      <c r="AA314" s="8"/>
      <c r="AB314" s="139"/>
      <c r="AC314" s="139"/>
      <c r="AD314" s="139"/>
      <c r="AE314" s="8"/>
      <c r="AF314" s="140"/>
      <c r="AG314" s="141"/>
      <c r="AH314" s="141"/>
      <c r="AI314" s="352">
        <v>46294</v>
      </c>
      <c r="AJ314" s="141"/>
      <c r="AK314" s="141"/>
      <c r="AL314" s="141"/>
      <c r="AM314" s="141"/>
      <c r="AN314" s="141"/>
      <c r="AO314" s="141"/>
      <c r="AP314" s="141"/>
      <c r="AQ314" s="141"/>
      <c r="AR314" s="141"/>
      <c r="AS314" s="141"/>
      <c r="AT314" s="141"/>
      <c r="AU314" s="476" t="str">
        <f t="shared" si="51"/>
        <v>Ok</v>
      </c>
      <c r="AV314" s="141"/>
      <c r="AW314" s="310">
        <f t="shared" si="46"/>
        <v>39</v>
      </c>
      <c r="AX314" s="155">
        <f t="shared" si="47"/>
        <v>310</v>
      </c>
      <c r="AY314" s="311"/>
      <c r="AZ314" s="311"/>
      <c r="BA314" s="311"/>
      <c r="BB314" s="311"/>
      <c r="BC314" s="311"/>
      <c r="BD314" s="141"/>
      <c r="BE314" s="141"/>
      <c r="BF314" s="141"/>
      <c r="BG314" s="141"/>
      <c r="BH314" s="23"/>
      <c r="BI314" s="133">
        <f t="shared" si="53"/>
        <v>39</v>
      </c>
      <c r="BJ314" s="155">
        <f t="shared" si="53"/>
        <v>310</v>
      </c>
      <c r="BK314" s="312"/>
      <c r="BL314" s="155"/>
      <c r="BM314" s="200"/>
      <c r="BN314" s="141"/>
      <c r="BO314" s="141"/>
      <c r="BP314" s="141"/>
    </row>
    <row r="315" spans="1:68" ht="15.5">
      <c r="A315" s="141">
        <v>12</v>
      </c>
      <c r="B315" s="23">
        <v>73</v>
      </c>
      <c r="C315" s="368">
        <v>46289</v>
      </c>
      <c r="D315" s="174">
        <f t="shared" si="49"/>
        <v>-46289</v>
      </c>
      <c r="E315" s="38" t="s">
        <v>72</v>
      </c>
      <c r="F315" s="302"/>
      <c r="G315" s="303"/>
      <c r="H315" s="304">
        <v>46290</v>
      </c>
      <c r="I315" s="148">
        <v>39</v>
      </c>
      <c r="J315" s="155">
        <v>311</v>
      </c>
      <c r="K315" s="138">
        <v>3.2500000000000001E-2</v>
      </c>
      <c r="L315" s="8">
        <v>0.36</v>
      </c>
      <c r="M315" s="366">
        <v>0.36</v>
      </c>
      <c r="N315" s="364">
        <v>35</v>
      </c>
      <c r="O315" s="139">
        <v>28.262499999999999</v>
      </c>
      <c r="P315" s="364">
        <v>80.75</v>
      </c>
      <c r="Q315" s="365">
        <v>0.22</v>
      </c>
      <c r="R315" s="140">
        <v>75</v>
      </c>
      <c r="S315" s="141" t="s">
        <v>584</v>
      </c>
      <c r="T315" s="141" t="s">
        <v>458</v>
      </c>
      <c r="U315" s="141"/>
      <c r="V315" s="156"/>
      <c r="W315" s="133">
        <f t="shared" si="52"/>
        <v>39</v>
      </c>
      <c r="X315" s="155">
        <f t="shared" si="52"/>
        <v>311</v>
      </c>
      <c r="Y315" s="138"/>
      <c r="Z315" s="8"/>
      <c r="AA315" s="8"/>
      <c r="AB315" s="139"/>
      <c r="AC315" s="139"/>
      <c r="AD315" s="139"/>
      <c r="AE315" s="8"/>
      <c r="AF315" s="140"/>
      <c r="AG315" s="141"/>
      <c r="AH315" s="141"/>
      <c r="AI315" s="352">
        <v>46294</v>
      </c>
      <c r="AJ315" s="141"/>
      <c r="AK315" s="141"/>
      <c r="AL315" s="141"/>
      <c r="AM315" s="141"/>
      <c r="AN315" s="141"/>
      <c r="AO315" s="141"/>
      <c r="AP315" s="141"/>
      <c r="AQ315" s="141"/>
      <c r="AR315" s="141"/>
      <c r="AS315" s="141"/>
      <c r="AT315" s="141"/>
      <c r="AU315" s="476" t="str">
        <f t="shared" si="51"/>
        <v>Ok</v>
      </c>
      <c r="AV315" s="141"/>
      <c r="AW315" s="310">
        <f t="shared" si="46"/>
        <v>39</v>
      </c>
      <c r="AX315" s="155">
        <f t="shared" si="47"/>
        <v>311</v>
      </c>
      <c r="AY315" s="311"/>
      <c r="AZ315" s="311"/>
      <c r="BA315" s="311"/>
      <c r="BB315" s="311"/>
      <c r="BC315" s="311"/>
      <c r="BD315" s="141"/>
      <c r="BE315" s="141"/>
      <c r="BF315" s="141"/>
      <c r="BG315" s="141"/>
      <c r="BH315" s="23"/>
      <c r="BI315" s="133">
        <f t="shared" si="53"/>
        <v>39</v>
      </c>
      <c r="BJ315" s="155">
        <f t="shared" si="53"/>
        <v>311</v>
      </c>
      <c r="BK315" s="312"/>
      <c r="BL315" s="155"/>
      <c r="BM315" s="200"/>
      <c r="BN315" s="141"/>
      <c r="BO315" s="141"/>
      <c r="BP315" s="141"/>
    </row>
    <row r="316" spans="1:68" ht="15.5">
      <c r="A316" s="141">
        <v>12</v>
      </c>
      <c r="B316" s="23">
        <v>73</v>
      </c>
      <c r="C316" s="368">
        <v>46289</v>
      </c>
      <c r="D316" s="174">
        <f t="shared" si="49"/>
        <v>-46289</v>
      </c>
      <c r="E316" s="38" t="s">
        <v>72</v>
      </c>
      <c r="F316" s="302"/>
      <c r="G316" s="303"/>
      <c r="H316" s="304">
        <v>46290</v>
      </c>
      <c r="I316" s="148">
        <v>39</v>
      </c>
      <c r="J316" s="155">
        <v>312</v>
      </c>
      <c r="K316" s="138">
        <v>3.925E-2</v>
      </c>
      <c r="L316" s="8">
        <v>0.3075</v>
      </c>
      <c r="M316" s="366">
        <v>0.44</v>
      </c>
      <c r="N316" s="364">
        <v>35.5</v>
      </c>
      <c r="O316" s="139">
        <v>28.48875</v>
      </c>
      <c r="P316" s="364">
        <v>80.25</v>
      </c>
      <c r="Q316" s="365">
        <v>0.22</v>
      </c>
      <c r="R316" s="140">
        <v>75</v>
      </c>
      <c r="S316" s="141" t="s">
        <v>584</v>
      </c>
      <c r="T316" s="141" t="s">
        <v>458</v>
      </c>
      <c r="U316" s="141"/>
      <c r="V316" s="156"/>
      <c r="W316" s="133">
        <f t="shared" si="52"/>
        <v>39</v>
      </c>
      <c r="X316" s="155">
        <f t="shared" si="52"/>
        <v>312</v>
      </c>
      <c r="Y316" s="138"/>
      <c r="Z316" s="8"/>
      <c r="AA316" s="8"/>
      <c r="AB316" s="139"/>
      <c r="AC316" s="139"/>
      <c r="AD316" s="139"/>
      <c r="AE316" s="8"/>
      <c r="AF316" s="140"/>
      <c r="AG316" s="141"/>
      <c r="AH316" s="141"/>
      <c r="AI316" s="352">
        <v>46294</v>
      </c>
      <c r="AJ316" s="141"/>
      <c r="AK316" s="141"/>
      <c r="AL316" s="141"/>
      <c r="AM316" s="141"/>
      <c r="AN316" s="141"/>
      <c r="AO316" s="141"/>
      <c r="AP316" s="141"/>
      <c r="AQ316" s="141"/>
      <c r="AR316" s="141"/>
      <c r="AS316" s="141"/>
      <c r="AT316" s="141"/>
      <c r="AU316" s="476" t="str">
        <f t="shared" si="51"/>
        <v>Ok</v>
      </c>
      <c r="AV316" s="141"/>
      <c r="AW316" s="310">
        <f t="shared" si="46"/>
        <v>39</v>
      </c>
      <c r="AX316" s="155">
        <f t="shared" si="47"/>
        <v>312</v>
      </c>
      <c r="AY316" s="311"/>
      <c r="AZ316" s="311"/>
      <c r="BA316" s="311"/>
      <c r="BB316" s="311"/>
      <c r="BC316" s="311"/>
      <c r="BD316" s="141"/>
      <c r="BE316" s="141"/>
      <c r="BF316" s="141"/>
      <c r="BG316" s="141"/>
      <c r="BH316" s="23"/>
      <c r="BI316" s="133">
        <f t="shared" si="53"/>
        <v>39</v>
      </c>
      <c r="BJ316" s="155">
        <f t="shared" si="53"/>
        <v>312</v>
      </c>
      <c r="BK316" s="312"/>
      <c r="BL316" s="155"/>
      <c r="BM316" s="200"/>
      <c r="BN316" s="141"/>
      <c r="BO316" s="141"/>
      <c r="BP316" s="141"/>
    </row>
    <row r="317" spans="1:68" ht="15.5">
      <c r="A317" s="141">
        <v>12</v>
      </c>
      <c r="B317" s="23">
        <v>73</v>
      </c>
      <c r="C317" s="368">
        <v>46289</v>
      </c>
      <c r="D317" s="174">
        <f t="shared" si="49"/>
        <v>-46289</v>
      </c>
      <c r="E317" s="38" t="s">
        <v>72</v>
      </c>
      <c r="F317" s="302"/>
      <c r="G317" s="303"/>
      <c r="H317" s="304">
        <v>46290</v>
      </c>
      <c r="I317" s="148">
        <v>40</v>
      </c>
      <c r="J317" s="155">
        <v>313</v>
      </c>
      <c r="K317" s="138">
        <v>2.75E-2</v>
      </c>
      <c r="L317" s="8">
        <v>0.3125</v>
      </c>
      <c r="M317" s="366">
        <v>0.25</v>
      </c>
      <c r="N317" s="364">
        <v>37.25</v>
      </c>
      <c r="O317" s="139">
        <v>29.055</v>
      </c>
      <c r="P317" s="364">
        <v>78</v>
      </c>
      <c r="Q317" s="365">
        <v>0.21</v>
      </c>
      <c r="R317" s="140">
        <v>69.5</v>
      </c>
      <c r="S317" s="141" t="s">
        <v>584</v>
      </c>
      <c r="T317" s="141" t="s">
        <v>458</v>
      </c>
      <c r="U317" s="141"/>
      <c r="V317" s="156"/>
      <c r="W317" s="133">
        <f t="shared" si="52"/>
        <v>40</v>
      </c>
      <c r="X317" s="155">
        <f t="shared" si="52"/>
        <v>313</v>
      </c>
      <c r="Y317" s="138"/>
      <c r="Z317" s="8"/>
      <c r="AA317" s="8"/>
      <c r="AB317" s="139"/>
      <c r="AC317" s="139"/>
      <c r="AD317" s="139"/>
      <c r="AE317" s="8"/>
      <c r="AF317" s="140"/>
      <c r="AG317" s="141"/>
      <c r="AH317" s="141"/>
      <c r="AI317" s="352">
        <v>46294</v>
      </c>
      <c r="AJ317" s="141"/>
      <c r="AK317" s="141"/>
      <c r="AL317" s="141"/>
      <c r="AM317" s="141"/>
      <c r="AN317" s="141"/>
      <c r="AO317" s="141"/>
      <c r="AP317" s="141"/>
      <c r="AQ317" s="141"/>
      <c r="AR317" s="141"/>
      <c r="AS317" s="141"/>
      <c r="AT317" s="141"/>
      <c r="AU317" s="476" t="str">
        <f t="shared" si="51"/>
        <v>Ok</v>
      </c>
      <c r="AV317" s="141"/>
      <c r="AW317" s="310">
        <f t="shared" si="46"/>
        <v>40</v>
      </c>
      <c r="AX317" s="155">
        <f t="shared" si="47"/>
        <v>313</v>
      </c>
      <c r="AY317" s="311"/>
      <c r="AZ317" s="311"/>
      <c r="BA317" s="311"/>
      <c r="BB317" s="311"/>
      <c r="BC317" s="311"/>
      <c r="BD317" s="141"/>
      <c r="BE317" s="141"/>
      <c r="BF317" s="141"/>
      <c r="BG317" s="141"/>
      <c r="BH317" s="23"/>
      <c r="BI317" s="133">
        <f t="shared" si="53"/>
        <v>40</v>
      </c>
      <c r="BJ317" s="155">
        <f t="shared" si="53"/>
        <v>313</v>
      </c>
      <c r="BK317" s="312"/>
      <c r="BL317" s="155"/>
      <c r="BM317" s="200"/>
      <c r="BN317" s="141"/>
      <c r="BO317" s="141"/>
      <c r="BP317" s="141"/>
    </row>
    <row r="318" spans="1:68" ht="15.5">
      <c r="A318" s="141">
        <v>12</v>
      </c>
      <c r="B318" s="23">
        <v>73</v>
      </c>
      <c r="C318" s="368">
        <v>46289</v>
      </c>
      <c r="D318" s="174">
        <f t="shared" si="49"/>
        <v>-46289</v>
      </c>
      <c r="E318" s="38" t="s">
        <v>72</v>
      </c>
      <c r="F318" s="302"/>
      <c r="G318" s="303"/>
      <c r="H318" s="304">
        <v>46290</v>
      </c>
      <c r="I318" s="148">
        <v>40</v>
      </c>
      <c r="J318" s="155">
        <v>314</v>
      </c>
      <c r="K318" s="138">
        <v>4.0750000000000001E-2</v>
      </c>
      <c r="L318" s="8">
        <v>0.27750000000000002</v>
      </c>
      <c r="M318" s="366">
        <v>0.31</v>
      </c>
      <c r="N318" s="364">
        <v>34.75</v>
      </c>
      <c r="O318" s="139">
        <v>27.973749999999999</v>
      </c>
      <c r="P318" s="364">
        <v>80.5</v>
      </c>
      <c r="Q318" s="365">
        <v>0.21</v>
      </c>
      <c r="R318" s="140">
        <v>69.5</v>
      </c>
      <c r="S318" s="141" t="s">
        <v>584</v>
      </c>
      <c r="T318" s="141" t="s">
        <v>458</v>
      </c>
      <c r="U318" s="141"/>
      <c r="V318" s="156"/>
      <c r="W318" s="133">
        <f t="shared" si="52"/>
        <v>40</v>
      </c>
      <c r="X318" s="155">
        <f t="shared" si="52"/>
        <v>314</v>
      </c>
      <c r="Y318" s="138"/>
      <c r="Z318" s="8"/>
      <c r="AA318" s="8"/>
      <c r="AB318" s="139"/>
      <c r="AC318" s="139"/>
      <c r="AD318" s="139"/>
      <c r="AE318" s="8"/>
      <c r="AF318" s="140"/>
      <c r="AG318" s="141"/>
      <c r="AH318" s="141"/>
      <c r="AI318" s="352">
        <v>46295</v>
      </c>
      <c r="AJ318" s="141"/>
      <c r="AK318" s="141"/>
      <c r="AL318" s="141"/>
      <c r="AM318" s="141"/>
      <c r="AN318" s="141"/>
      <c r="AO318" s="141"/>
      <c r="AP318" s="141"/>
      <c r="AQ318" s="141"/>
      <c r="AR318" s="141"/>
      <c r="AS318" s="141"/>
      <c r="AT318" s="141"/>
      <c r="AU318" s="476" t="str">
        <f t="shared" si="51"/>
        <v>Ok</v>
      </c>
      <c r="AV318" s="141"/>
      <c r="AW318" s="310">
        <f t="shared" si="46"/>
        <v>40</v>
      </c>
      <c r="AX318" s="155">
        <f t="shared" si="47"/>
        <v>314</v>
      </c>
      <c r="AY318" s="311"/>
      <c r="AZ318" s="311"/>
      <c r="BA318" s="311"/>
      <c r="BB318" s="311"/>
      <c r="BC318" s="311"/>
      <c r="BD318" s="141"/>
      <c r="BE318" s="141"/>
      <c r="BF318" s="141"/>
      <c r="BG318" s="141"/>
      <c r="BH318" s="23"/>
      <c r="BI318" s="133">
        <f t="shared" si="53"/>
        <v>40</v>
      </c>
      <c r="BJ318" s="155">
        <f t="shared" si="53"/>
        <v>314</v>
      </c>
      <c r="BK318" s="312"/>
      <c r="BL318" s="155"/>
      <c r="BM318" s="200"/>
      <c r="BN318" s="141"/>
      <c r="BO318" s="141"/>
      <c r="BP318" s="141"/>
    </row>
    <row r="319" spans="1:68" ht="15.5">
      <c r="A319" s="141">
        <v>12</v>
      </c>
      <c r="B319" s="23">
        <v>73</v>
      </c>
      <c r="C319" s="368">
        <v>46289</v>
      </c>
      <c r="D319" s="174">
        <f t="shared" si="49"/>
        <v>-46289</v>
      </c>
      <c r="E319" s="38" t="s">
        <v>72</v>
      </c>
      <c r="F319" s="302"/>
      <c r="G319" s="303"/>
      <c r="H319" s="304">
        <v>46290</v>
      </c>
      <c r="I319" s="148">
        <v>40</v>
      </c>
      <c r="J319" s="155">
        <v>315</v>
      </c>
      <c r="K319" s="138">
        <v>3.6999999999999998E-2</v>
      </c>
      <c r="L319" s="8">
        <v>0.32250000000000001</v>
      </c>
      <c r="M319" s="366">
        <v>0.35</v>
      </c>
      <c r="N319" s="364">
        <v>35.5</v>
      </c>
      <c r="O319" s="139">
        <v>29.287500000000001</v>
      </c>
      <c r="P319" s="364">
        <v>82.5</v>
      </c>
      <c r="Q319" s="365">
        <v>0.21</v>
      </c>
      <c r="R319" s="140">
        <v>69.5</v>
      </c>
      <c r="S319" s="141" t="s">
        <v>584</v>
      </c>
      <c r="T319" s="141" t="s">
        <v>458</v>
      </c>
      <c r="U319" s="141"/>
      <c r="V319" s="156"/>
      <c r="W319" s="133">
        <f t="shared" si="52"/>
        <v>40</v>
      </c>
      <c r="X319" s="155">
        <f t="shared" si="52"/>
        <v>315</v>
      </c>
      <c r="Y319" s="138"/>
      <c r="Z319" s="8"/>
      <c r="AA319" s="8"/>
      <c r="AB319" s="139"/>
      <c r="AC319" s="139"/>
      <c r="AD319" s="139"/>
      <c r="AE319" s="8"/>
      <c r="AF319" s="140"/>
      <c r="AG319" s="141"/>
      <c r="AH319" s="141"/>
      <c r="AI319" s="352">
        <v>46295</v>
      </c>
      <c r="AJ319" s="141"/>
      <c r="AK319" s="141"/>
      <c r="AL319" s="141"/>
      <c r="AM319" s="141"/>
      <c r="AN319" s="141"/>
      <c r="AO319" s="141"/>
      <c r="AP319" s="141"/>
      <c r="AQ319" s="141"/>
      <c r="AR319" s="141"/>
      <c r="AS319" s="141"/>
      <c r="AT319" s="141"/>
      <c r="AU319" s="476" t="str">
        <f t="shared" si="51"/>
        <v>Ok</v>
      </c>
      <c r="AV319" s="141"/>
      <c r="AW319" s="310">
        <f t="shared" si="46"/>
        <v>40</v>
      </c>
      <c r="AX319" s="155">
        <f t="shared" si="47"/>
        <v>315</v>
      </c>
      <c r="AY319" s="311"/>
      <c r="AZ319" s="311"/>
      <c r="BA319" s="311"/>
      <c r="BB319" s="311"/>
      <c r="BC319" s="311"/>
      <c r="BD319" s="141"/>
      <c r="BE319" s="141"/>
      <c r="BF319" s="141"/>
      <c r="BG319" s="141"/>
      <c r="BH319" s="23"/>
      <c r="BI319" s="133">
        <f t="shared" si="53"/>
        <v>40</v>
      </c>
      <c r="BJ319" s="155">
        <f t="shared" si="53"/>
        <v>315</v>
      </c>
      <c r="BK319" s="312"/>
      <c r="BL319" s="155"/>
      <c r="BM319" s="200"/>
      <c r="BN319" s="141"/>
      <c r="BO319" s="141"/>
      <c r="BP319" s="141"/>
    </row>
    <row r="320" spans="1:68" ht="15.5">
      <c r="A320" s="141">
        <v>12</v>
      </c>
      <c r="B320" s="23">
        <v>73</v>
      </c>
      <c r="C320" s="368">
        <v>46289</v>
      </c>
      <c r="D320" s="174">
        <f t="shared" si="49"/>
        <v>-46289</v>
      </c>
      <c r="E320" s="38" t="s">
        <v>72</v>
      </c>
      <c r="F320" s="302"/>
      <c r="G320" s="303"/>
      <c r="H320" s="304">
        <v>46290</v>
      </c>
      <c r="I320" s="148">
        <v>40</v>
      </c>
      <c r="J320" s="155">
        <v>316</v>
      </c>
      <c r="K320" s="138">
        <v>2.7E-2</v>
      </c>
      <c r="L320" s="8">
        <v>0.32750000000000001</v>
      </c>
      <c r="M320" s="366">
        <v>0.23</v>
      </c>
      <c r="N320" s="364">
        <v>37</v>
      </c>
      <c r="O320" s="139">
        <v>29.692499999999999</v>
      </c>
      <c r="P320" s="364">
        <v>80.25</v>
      </c>
      <c r="Q320" s="365">
        <v>0.21</v>
      </c>
      <c r="R320" s="140">
        <v>69.5</v>
      </c>
      <c r="S320" s="141" t="s">
        <v>584</v>
      </c>
      <c r="T320" s="141" t="s">
        <v>458</v>
      </c>
      <c r="U320" s="141"/>
      <c r="V320" s="156"/>
      <c r="W320" s="133">
        <f t="shared" si="52"/>
        <v>40</v>
      </c>
      <c r="X320" s="155">
        <f t="shared" si="52"/>
        <v>316</v>
      </c>
      <c r="Y320" s="138"/>
      <c r="Z320" s="8"/>
      <c r="AA320" s="8"/>
      <c r="AB320" s="139"/>
      <c r="AC320" s="139"/>
      <c r="AD320" s="139"/>
      <c r="AE320" s="8"/>
      <c r="AF320" s="140"/>
      <c r="AG320" s="141"/>
      <c r="AH320" s="141"/>
      <c r="AI320" s="352">
        <v>46294</v>
      </c>
      <c r="AJ320" s="141"/>
      <c r="AK320" s="141"/>
      <c r="AL320" s="141"/>
      <c r="AM320" s="141"/>
      <c r="AN320" s="141"/>
      <c r="AO320" s="141"/>
      <c r="AP320" s="141"/>
      <c r="AQ320" s="141"/>
      <c r="AR320" s="141"/>
      <c r="AS320" s="141"/>
      <c r="AT320" s="141"/>
      <c r="AU320" s="476" t="str">
        <f t="shared" si="51"/>
        <v>Ok</v>
      </c>
      <c r="AV320" s="141"/>
      <c r="AW320" s="310">
        <f t="shared" si="46"/>
        <v>40</v>
      </c>
      <c r="AX320" s="155">
        <f t="shared" si="47"/>
        <v>316</v>
      </c>
      <c r="AY320" s="311"/>
      <c r="AZ320" s="311"/>
      <c r="BA320" s="311"/>
      <c r="BB320" s="311"/>
      <c r="BC320" s="311"/>
      <c r="BD320" s="141"/>
      <c r="BE320" s="141"/>
      <c r="BF320" s="141"/>
      <c r="BG320" s="141"/>
      <c r="BH320" s="23"/>
      <c r="BI320" s="133">
        <f t="shared" si="53"/>
        <v>40</v>
      </c>
      <c r="BJ320" s="155">
        <f t="shared" si="53"/>
        <v>316</v>
      </c>
      <c r="BK320" s="312"/>
      <c r="BL320" s="155"/>
      <c r="BM320" s="200"/>
      <c r="BN320" s="141"/>
      <c r="BO320" s="141"/>
      <c r="BP320" s="141"/>
    </row>
    <row r="321" spans="1:68" ht="15.5">
      <c r="A321" s="141">
        <v>12</v>
      </c>
      <c r="B321" s="23">
        <v>73</v>
      </c>
      <c r="C321" s="368">
        <v>46289</v>
      </c>
      <c r="D321" s="174">
        <f t="shared" si="49"/>
        <v>-46289</v>
      </c>
      <c r="E321" s="38" t="s">
        <v>72</v>
      </c>
      <c r="F321" s="302"/>
      <c r="G321" s="303"/>
      <c r="H321" s="304">
        <v>46290</v>
      </c>
      <c r="I321" s="148">
        <v>40</v>
      </c>
      <c r="J321" s="155">
        <v>317</v>
      </c>
      <c r="K321" s="138">
        <v>3.6749999999999998E-2</v>
      </c>
      <c r="L321" s="8">
        <v>0.33250000000000002</v>
      </c>
      <c r="M321" s="366">
        <v>0.17</v>
      </c>
      <c r="N321" s="364">
        <v>36.5</v>
      </c>
      <c r="O321" s="139">
        <v>28.92625</v>
      </c>
      <c r="P321" s="364">
        <v>79.25</v>
      </c>
      <c r="Q321" s="365">
        <v>0.21</v>
      </c>
      <c r="R321" s="140">
        <v>72.5</v>
      </c>
      <c r="S321" s="141" t="s">
        <v>584</v>
      </c>
      <c r="T321" s="141" t="s">
        <v>458</v>
      </c>
      <c r="U321" s="141"/>
      <c r="V321" s="156"/>
      <c r="W321" s="133">
        <f t="shared" si="52"/>
        <v>40</v>
      </c>
      <c r="X321" s="155">
        <f t="shared" si="52"/>
        <v>317</v>
      </c>
      <c r="Y321" s="138"/>
      <c r="Z321" s="8"/>
      <c r="AA321" s="8"/>
      <c r="AB321" s="139"/>
      <c r="AC321" s="139"/>
      <c r="AD321" s="139"/>
      <c r="AE321" s="8"/>
      <c r="AF321" s="140"/>
      <c r="AG321" s="141"/>
      <c r="AH321" s="141"/>
      <c r="AI321" s="352">
        <v>46295</v>
      </c>
      <c r="AJ321" s="141"/>
      <c r="AK321" s="141"/>
      <c r="AL321" s="141"/>
      <c r="AM321" s="141"/>
      <c r="AN321" s="141"/>
      <c r="AO321" s="141"/>
      <c r="AP321" s="141"/>
      <c r="AQ321" s="141"/>
      <c r="AR321" s="141"/>
      <c r="AS321" s="141"/>
      <c r="AT321" s="141"/>
      <c r="AU321" s="476" t="str">
        <f t="shared" si="51"/>
        <v>Ok</v>
      </c>
      <c r="AV321" s="141"/>
      <c r="AW321" s="310">
        <f t="shared" si="46"/>
        <v>40</v>
      </c>
      <c r="AX321" s="155">
        <f t="shared" si="47"/>
        <v>317</v>
      </c>
      <c r="AY321" s="311"/>
      <c r="AZ321" s="311"/>
      <c r="BA321" s="311"/>
      <c r="BB321" s="311"/>
      <c r="BC321" s="311"/>
      <c r="BD321" s="141"/>
      <c r="BE321" s="141"/>
      <c r="BF321" s="141"/>
      <c r="BG321" s="141"/>
      <c r="BH321" s="23"/>
      <c r="BI321" s="133">
        <f t="shared" si="53"/>
        <v>40</v>
      </c>
      <c r="BJ321" s="155">
        <f t="shared" si="53"/>
        <v>317</v>
      </c>
      <c r="BK321" s="312"/>
      <c r="BL321" s="155"/>
      <c r="BM321" s="200"/>
      <c r="BN321" s="141"/>
      <c r="BO321" s="141"/>
      <c r="BP321" s="141"/>
    </row>
    <row r="322" spans="1:68" ht="15.5">
      <c r="A322" s="141">
        <v>12</v>
      </c>
      <c r="B322" s="23" t="s">
        <v>808</v>
      </c>
      <c r="C322" s="368">
        <v>46290</v>
      </c>
      <c r="D322" s="174">
        <f t="shared" si="49"/>
        <v>-46290</v>
      </c>
      <c r="E322" s="38" t="s">
        <v>72</v>
      </c>
      <c r="F322" s="302"/>
      <c r="G322" s="303"/>
      <c r="H322" s="304">
        <v>46291</v>
      </c>
      <c r="I322" s="148">
        <v>40</v>
      </c>
      <c r="J322" s="155">
        <v>318</v>
      </c>
      <c r="K322" s="138">
        <v>4.5749999999999999E-2</v>
      </c>
      <c r="L322" s="8">
        <v>0.34499999999999997</v>
      </c>
      <c r="M322" s="366">
        <v>0.28000000000000003</v>
      </c>
      <c r="N322" s="364">
        <v>37</v>
      </c>
      <c r="O322" s="139">
        <v>28.49</v>
      </c>
      <c r="P322" s="364">
        <v>77</v>
      </c>
      <c r="Q322" s="365">
        <v>0.21</v>
      </c>
      <c r="R322" s="140">
        <v>72.5</v>
      </c>
      <c r="S322" s="141" t="s">
        <v>584</v>
      </c>
      <c r="T322" s="141" t="s">
        <v>458</v>
      </c>
      <c r="U322" s="141"/>
      <c r="V322" s="156"/>
      <c r="W322" s="133">
        <f t="shared" si="52"/>
        <v>40</v>
      </c>
      <c r="X322" s="155">
        <f t="shared" si="52"/>
        <v>318</v>
      </c>
      <c r="Y322" s="138"/>
      <c r="Z322" s="8"/>
      <c r="AA322" s="8"/>
      <c r="AB322" s="139"/>
      <c r="AC322" s="139"/>
      <c r="AD322" s="139"/>
      <c r="AE322" s="8"/>
      <c r="AF322" s="140"/>
      <c r="AG322" s="141"/>
      <c r="AH322" s="141"/>
      <c r="AI322" s="352">
        <v>46295</v>
      </c>
      <c r="AJ322" s="141"/>
      <c r="AK322" s="141"/>
      <c r="AL322" s="141"/>
      <c r="AM322" s="141"/>
      <c r="AN322" s="141"/>
      <c r="AO322" s="141"/>
      <c r="AP322" s="141"/>
      <c r="AQ322" s="141"/>
      <c r="AR322" s="141"/>
      <c r="AS322" s="141"/>
      <c r="AT322" s="141"/>
      <c r="AU322" s="476" t="str">
        <f t="shared" si="51"/>
        <v>Ok</v>
      </c>
      <c r="AV322" s="141"/>
      <c r="AW322" s="310">
        <f t="shared" si="46"/>
        <v>40</v>
      </c>
      <c r="AX322" s="155">
        <f t="shared" si="47"/>
        <v>318</v>
      </c>
      <c r="AY322" s="311"/>
      <c r="AZ322" s="311"/>
      <c r="BA322" s="311"/>
      <c r="BB322" s="311"/>
      <c r="BC322" s="311"/>
      <c r="BD322" s="141"/>
      <c r="BE322" s="141"/>
      <c r="BF322" s="141"/>
      <c r="BG322" s="141"/>
      <c r="BH322" s="23"/>
      <c r="BI322" s="133">
        <f t="shared" si="53"/>
        <v>40</v>
      </c>
      <c r="BJ322" s="155">
        <f t="shared" si="53"/>
        <v>318</v>
      </c>
      <c r="BK322" s="312"/>
      <c r="BL322" s="155"/>
      <c r="BM322" s="200"/>
      <c r="BN322" s="141"/>
      <c r="BO322" s="141"/>
      <c r="BP322" s="141"/>
    </row>
    <row r="323" spans="1:68" ht="15.5">
      <c r="A323" s="141">
        <v>12</v>
      </c>
      <c r="B323" s="23">
        <v>74</v>
      </c>
      <c r="C323" s="368">
        <v>46290</v>
      </c>
      <c r="D323" s="174">
        <f t="shared" si="49"/>
        <v>-46290</v>
      </c>
      <c r="E323" s="38" t="s">
        <v>72</v>
      </c>
      <c r="F323" s="302"/>
      <c r="G323" s="303"/>
      <c r="H323" s="304">
        <v>46291</v>
      </c>
      <c r="I323" s="148">
        <v>40</v>
      </c>
      <c r="J323" s="155">
        <v>319</v>
      </c>
      <c r="K323" s="138">
        <v>4.1000000000000002E-2</v>
      </c>
      <c r="L323" s="8">
        <v>0.32250000000000001</v>
      </c>
      <c r="M323" s="366">
        <v>0.34</v>
      </c>
      <c r="N323" s="364">
        <v>35.5</v>
      </c>
      <c r="O323" s="139">
        <v>28.045000000000002</v>
      </c>
      <c r="P323" s="364">
        <v>79</v>
      </c>
      <c r="Q323" s="365">
        <v>0.21</v>
      </c>
      <c r="R323" s="140">
        <v>72.5</v>
      </c>
      <c r="S323" s="141" t="s">
        <v>584</v>
      </c>
      <c r="T323" s="141" t="s">
        <v>458</v>
      </c>
      <c r="U323" s="141"/>
      <c r="V323" s="156"/>
      <c r="W323" s="133">
        <f t="shared" si="52"/>
        <v>40</v>
      </c>
      <c r="X323" s="155">
        <f t="shared" si="52"/>
        <v>319</v>
      </c>
      <c r="Y323" s="138"/>
      <c r="Z323" s="8"/>
      <c r="AA323" s="8"/>
      <c r="AB323" s="139"/>
      <c r="AC323" s="139"/>
      <c r="AD323" s="139"/>
      <c r="AE323" s="8"/>
      <c r="AF323" s="140"/>
      <c r="AG323" s="141"/>
      <c r="AH323" s="141"/>
      <c r="AI323" s="352">
        <v>46293</v>
      </c>
      <c r="AJ323" s="141"/>
      <c r="AK323" s="141"/>
      <c r="AL323" s="141"/>
      <c r="AM323" s="141"/>
      <c r="AN323" s="141"/>
      <c r="AO323" s="141"/>
      <c r="AP323" s="141"/>
      <c r="AQ323" s="141"/>
      <c r="AR323" s="141"/>
      <c r="AS323" s="141"/>
      <c r="AT323" s="141"/>
      <c r="AU323" s="476" t="str">
        <f t="shared" si="51"/>
        <v>Ok</v>
      </c>
      <c r="AV323" s="141"/>
      <c r="AW323" s="310">
        <f t="shared" si="46"/>
        <v>40</v>
      </c>
      <c r="AX323" s="155">
        <f t="shared" si="47"/>
        <v>319</v>
      </c>
      <c r="AY323" s="311"/>
      <c r="AZ323" s="311"/>
      <c r="BA323" s="311"/>
      <c r="BB323" s="311"/>
      <c r="BC323" s="311"/>
      <c r="BD323" s="141"/>
      <c r="BE323" s="141"/>
      <c r="BF323" s="141"/>
      <c r="BG323" s="141"/>
      <c r="BH323" s="23"/>
      <c r="BI323" s="133">
        <f t="shared" si="53"/>
        <v>40</v>
      </c>
      <c r="BJ323" s="155">
        <f t="shared" si="53"/>
        <v>319</v>
      </c>
      <c r="BK323" s="312"/>
      <c r="BL323" s="155"/>
      <c r="BM323" s="200"/>
      <c r="BN323" s="141"/>
      <c r="BO323" s="141"/>
      <c r="BP323" s="141"/>
    </row>
    <row r="324" spans="1:68" ht="15.5">
      <c r="A324" s="141">
        <v>12</v>
      </c>
      <c r="B324" s="23">
        <v>74</v>
      </c>
      <c r="C324" s="368">
        <v>46290</v>
      </c>
      <c r="D324" s="174">
        <f t="shared" si="49"/>
        <v>-46290</v>
      </c>
      <c r="E324" s="38" t="s">
        <v>72</v>
      </c>
      <c r="F324" s="302"/>
      <c r="G324" s="303"/>
      <c r="H324" s="304">
        <v>46291</v>
      </c>
      <c r="I324" s="148">
        <v>40</v>
      </c>
      <c r="J324" s="155">
        <v>320</v>
      </c>
      <c r="K324" s="138">
        <v>3.9E-2</v>
      </c>
      <c r="L324" s="8">
        <v>0.32250000000000001</v>
      </c>
      <c r="M324" s="366">
        <v>0.4</v>
      </c>
      <c r="N324" s="364">
        <v>35.5</v>
      </c>
      <c r="O324" s="139">
        <v>28.48875</v>
      </c>
      <c r="P324" s="364">
        <v>80.25</v>
      </c>
      <c r="Q324" s="365">
        <v>0.21</v>
      </c>
      <c r="R324" s="140">
        <v>72.5</v>
      </c>
      <c r="S324" s="141" t="s">
        <v>584</v>
      </c>
      <c r="T324" s="141" t="s">
        <v>458</v>
      </c>
      <c r="U324" s="141"/>
      <c r="V324" s="156"/>
      <c r="W324" s="133">
        <f t="shared" si="52"/>
        <v>40</v>
      </c>
      <c r="X324" s="155">
        <f t="shared" si="52"/>
        <v>320</v>
      </c>
      <c r="Y324" s="138"/>
      <c r="Z324" s="8"/>
      <c r="AA324" s="8"/>
      <c r="AB324" s="139"/>
      <c r="AC324" s="139"/>
      <c r="AD324" s="139"/>
      <c r="AE324" s="8"/>
      <c r="AF324" s="140"/>
      <c r="AG324" s="141"/>
      <c r="AH324" s="141"/>
      <c r="AI324" s="352">
        <v>46295</v>
      </c>
      <c r="AJ324" s="141"/>
      <c r="AK324" s="141"/>
      <c r="AL324" s="141"/>
      <c r="AM324" s="141"/>
      <c r="AN324" s="141"/>
      <c r="AO324" s="141"/>
      <c r="AP324" s="141"/>
      <c r="AQ324" s="141"/>
      <c r="AR324" s="141"/>
      <c r="AS324" s="141"/>
      <c r="AT324" s="141"/>
      <c r="AU324" s="476" t="str">
        <f t="shared" si="51"/>
        <v>Ok</v>
      </c>
      <c r="AV324" s="141"/>
      <c r="AW324" s="310">
        <f t="shared" si="46"/>
        <v>40</v>
      </c>
      <c r="AX324" s="155">
        <f t="shared" si="47"/>
        <v>320</v>
      </c>
      <c r="AY324" s="311"/>
      <c r="AZ324" s="311"/>
      <c r="BA324" s="311"/>
      <c r="BB324" s="311"/>
      <c r="BC324" s="311"/>
      <c r="BD324" s="141"/>
      <c r="BE324" s="141"/>
      <c r="BF324" s="141"/>
      <c r="BG324" s="141"/>
      <c r="BH324" s="23"/>
      <c r="BI324" s="133">
        <f t="shared" si="53"/>
        <v>40</v>
      </c>
      <c r="BJ324" s="155">
        <f t="shared" si="53"/>
        <v>320</v>
      </c>
      <c r="BK324" s="312"/>
      <c r="BL324" s="155"/>
      <c r="BM324" s="200"/>
      <c r="BN324" s="141"/>
      <c r="BO324" s="141"/>
      <c r="BP324" s="141"/>
    </row>
    <row r="325" spans="1:68" ht="15.5">
      <c r="A325" s="141">
        <v>12</v>
      </c>
      <c r="B325" s="23">
        <v>74</v>
      </c>
      <c r="C325" s="368">
        <v>46290</v>
      </c>
      <c r="D325" s="174">
        <f t="shared" si="49"/>
        <v>-46290</v>
      </c>
      <c r="E325" s="38" t="s">
        <v>72</v>
      </c>
      <c r="F325" s="302"/>
      <c r="G325" s="303"/>
      <c r="H325" s="304">
        <v>46291</v>
      </c>
      <c r="I325" s="148">
        <v>41</v>
      </c>
      <c r="J325" s="155">
        <v>321</v>
      </c>
      <c r="K325" s="138">
        <v>3.5350000000000006E-2</v>
      </c>
      <c r="L325" s="8">
        <v>0.35750000000000004</v>
      </c>
      <c r="M325" s="366">
        <v>0.17</v>
      </c>
      <c r="N325" s="364">
        <v>35.75</v>
      </c>
      <c r="O325" s="139">
        <v>28.153124999999999</v>
      </c>
      <c r="P325" s="364">
        <v>78.75</v>
      </c>
      <c r="Q325" s="365">
        <v>0.23</v>
      </c>
      <c r="R325" s="140">
        <v>66</v>
      </c>
      <c r="S325" s="141" t="s">
        <v>584</v>
      </c>
      <c r="T325" s="141" t="s">
        <v>458</v>
      </c>
      <c r="U325" s="141"/>
      <c r="V325" s="156"/>
      <c r="W325" s="133">
        <f t="shared" si="52"/>
        <v>41</v>
      </c>
      <c r="X325" s="155">
        <f t="shared" si="52"/>
        <v>321</v>
      </c>
      <c r="Y325" s="138"/>
      <c r="Z325" s="8"/>
      <c r="AA325" s="8"/>
      <c r="AB325" s="139"/>
      <c r="AC325" s="139"/>
      <c r="AD325" s="139"/>
      <c r="AE325" s="8"/>
      <c r="AF325" s="140"/>
      <c r="AG325" s="141"/>
      <c r="AH325" s="141"/>
      <c r="AI325" s="352">
        <v>46295</v>
      </c>
      <c r="AJ325" s="141"/>
      <c r="AK325" s="141"/>
      <c r="AL325" s="141"/>
      <c r="AM325" s="141"/>
      <c r="AN325" s="141"/>
      <c r="AO325" s="141"/>
      <c r="AP325" s="141"/>
      <c r="AQ325" s="141"/>
      <c r="AR325" s="141"/>
      <c r="AS325" s="141"/>
      <c r="AT325" s="141"/>
      <c r="AU325" s="476" t="str">
        <f t="shared" si="51"/>
        <v>Ok</v>
      </c>
      <c r="AV325" s="141"/>
      <c r="AW325" s="310">
        <f t="shared" ref="AW325:AW388" si="54">I325</f>
        <v>41</v>
      </c>
      <c r="AX325" s="155">
        <f t="shared" ref="AX325:AX388" si="55">J325</f>
        <v>321</v>
      </c>
      <c r="AY325" s="311"/>
      <c r="AZ325" s="311"/>
      <c r="BA325" s="311"/>
      <c r="BB325" s="311"/>
      <c r="BC325" s="311"/>
      <c r="BD325" s="141"/>
      <c r="BE325" s="141"/>
      <c r="BF325" s="141"/>
      <c r="BG325" s="141"/>
      <c r="BH325" s="23"/>
      <c r="BI325" s="133">
        <f t="shared" si="53"/>
        <v>41</v>
      </c>
      <c r="BJ325" s="155">
        <f t="shared" si="53"/>
        <v>321</v>
      </c>
      <c r="BK325" s="312"/>
      <c r="BL325" s="155"/>
      <c r="BM325" s="200"/>
      <c r="BN325" s="141"/>
      <c r="BO325" s="141"/>
      <c r="BP325" s="141"/>
    </row>
    <row r="326" spans="1:68" ht="15.5">
      <c r="A326" s="141">
        <v>12</v>
      </c>
      <c r="B326" s="23">
        <v>74</v>
      </c>
      <c r="C326" s="368">
        <v>46290</v>
      </c>
      <c r="D326" s="174">
        <f t="shared" ref="D326:D388" si="56">BH326-C326</f>
        <v>-46290</v>
      </c>
      <c r="E326" s="38" t="s">
        <v>72</v>
      </c>
      <c r="F326" s="302"/>
      <c r="G326" s="303"/>
      <c r="H326" s="304">
        <v>46291</v>
      </c>
      <c r="I326" s="148">
        <v>41</v>
      </c>
      <c r="J326" s="155">
        <v>322</v>
      </c>
      <c r="K326" s="138">
        <v>9.6000000000000002E-2</v>
      </c>
      <c r="L326" s="8">
        <v>0.30499999999999999</v>
      </c>
      <c r="M326" s="366">
        <v>0.33</v>
      </c>
      <c r="N326" s="364">
        <v>36.5</v>
      </c>
      <c r="O326" s="139">
        <v>29.017499999999998</v>
      </c>
      <c r="P326" s="364">
        <v>79.5</v>
      </c>
      <c r="Q326" s="365">
        <v>0.23</v>
      </c>
      <c r="R326" s="140">
        <v>66</v>
      </c>
      <c r="S326" s="141" t="s">
        <v>584</v>
      </c>
      <c r="T326" s="141" t="s">
        <v>458</v>
      </c>
      <c r="U326" s="141"/>
      <c r="V326" s="156"/>
      <c r="W326" s="133">
        <f t="shared" si="52"/>
        <v>41</v>
      </c>
      <c r="X326" s="155">
        <f t="shared" si="52"/>
        <v>322</v>
      </c>
      <c r="Y326" s="138"/>
      <c r="Z326" s="8"/>
      <c r="AA326" s="8"/>
      <c r="AB326" s="139"/>
      <c r="AC326" s="139"/>
      <c r="AD326" s="139"/>
      <c r="AE326" s="8"/>
      <c r="AF326" s="140"/>
      <c r="AG326" s="141"/>
      <c r="AH326" s="141"/>
      <c r="AI326" s="352">
        <v>46295</v>
      </c>
      <c r="AJ326" s="141"/>
      <c r="AK326" s="141"/>
      <c r="AL326" s="141"/>
      <c r="AM326" s="141"/>
      <c r="AN326" s="141"/>
      <c r="AO326" s="141"/>
      <c r="AP326" s="141"/>
      <c r="AQ326" s="141"/>
      <c r="AR326" s="141"/>
      <c r="AS326" s="141"/>
      <c r="AT326" s="141"/>
      <c r="AU326" s="476" t="str">
        <f t="shared" si="51"/>
        <v>Ok</v>
      </c>
      <c r="AV326" s="141"/>
      <c r="AW326" s="310">
        <f t="shared" si="54"/>
        <v>41</v>
      </c>
      <c r="AX326" s="155">
        <f t="shared" si="55"/>
        <v>322</v>
      </c>
      <c r="AY326" s="311"/>
      <c r="AZ326" s="311"/>
      <c r="BA326" s="311"/>
      <c r="BB326" s="311"/>
      <c r="BC326" s="311"/>
      <c r="BD326" s="141"/>
      <c r="BE326" s="141"/>
      <c r="BF326" s="141"/>
      <c r="BG326" s="141"/>
      <c r="BH326" s="23"/>
      <c r="BI326" s="133">
        <f t="shared" si="53"/>
        <v>41</v>
      </c>
      <c r="BJ326" s="155">
        <f t="shared" si="53"/>
        <v>322</v>
      </c>
      <c r="BK326" s="312"/>
      <c r="BL326" s="155"/>
      <c r="BM326" s="200"/>
      <c r="BN326" s="141"/>
      <c r="BO326" s="141"/>
      <c r="BP326" s="141"/>
    </row>
    <row r="327" spans="1:68" ht="15.5">
      <c r="A327" s="141">
        <v>12</v>
      </c>
      <c r="B327" s="23">
        <v>74</v>
      </c>
      <c r="C327" s="368">
        <v>46290</v>
      </c>
      <c r="D327" s="174">
        <f t="shared" si="56"/>
        <v>-46290</v>
      </c>
      <c r="E327" s="38" t="s">
        <v>72</v>
      </c>
      <c r="F327" s="302"/>
      <c r="G327" s="303"/>
      <c r="H327" s="304">
        <v>46291</v>
      </c>
      <c r="I327" s="148">
        <v>41</v>
      </c>
      <c r="J327" s="155">
        <v>323</v>
      </c>
      <c r="K327" s="138">
        <v>7.1000000000000008E-2</v>
      </c>
      <c r="L327" s="8">
        <v>0.3125</v>
      </c>
      <c r="M327" s="366">
        <v>0.24</v>
      </c>
      <c r="N327" s="364">
        <v>33.75</v>
      </c>
      <c r="O327" s="139">
        <v>27</v>
      </c>
      <c r="P327" s="364">
        <v>80</v>
      </c>
      <c r="Q327" s="365">
        <v>0.23</v>
      </c>
      <c r="R327" s="140">
        <v>66</v>
      </c>
      <c r="S327" s="141" t="s">
        <v>584</v>
      </c>
      <c r="T327" s="141" t="s">
        <v>458</v>
      </c>
      <c r="U327" s="141"/>
      <c r="V327" s="156"/>
      <c r="W327" s="133">
        <f t="shared" si="52"/>
        <v>41</v>
      </c>
      <c r="X327" s="155">
        <f t="shared" si="52"/>
        <v>323</v>
      </c>
      <c r="Y327" s="138"/>
      <c r="Z327" s="8"/>
      <c r="AA327" s="8"/>
      <c r="AB327" s="139"/>
      <c r="AC327" s="139"/>
      <c r="AD327" s="139"/>
      <c r="AE327" s="8"/>
      <c r="AF327" s="140"/>
      <c r="AG327" s="141"/>
      <c r="AH327" s="141"/>
      <c r="AI327" s="352">
        <v>46295</v>
      </c>
      <c r="AJ327" s="141"/>
      <c r="AK327" s="141"/>
      <c r="AL327" s="141"/>
      <c r="AM327" s="141"/>
      <c r="AN327" s="141"/>
      <c r="AO327" s="141"/>
      <c r="AP327" s="141"/>
      <c r="AQ327" s="141"/>
      <c r="AR327" s="141"/>
      <c r="AS327" s="141"/>
      <c r="AT327" s="141"/>
      <c r="AU327" s="476" t="str">
        <f t="shared" si="51"/>
        <v>Ok</v>
      </c>
      <c r="AV327" s="141"/>
      <c r="AW327" s="310">
        <f t="shared" si="54"/>
        <v>41</v>
      </c>
      <c r="AX327" s="155">
        <f t="shared" si="55"/>
        <v>323</v>
      </c>
      <c r="AY327" s="311"/>
      <c r="AZ327" s="311"/>
      <c r="BA327" s="311"/>
      <c r="BB327" s="311"/>
      <c r="BC327" s="311"/>
      <c r="BD327" s="141"/>
      <c r="BE327" s="141"/>
      <c r="BF327" s="141"/>
      <c r="BG327" s="141"/>
      <c r="BH327" s="23"/>
      <c r="BI327" s="133">
        <f t="shared" si="53"/>
        <v>41</v>
      </c>
      <c r="BJ327" s="155">
        <f t="shared" si="53"/>
        <v>323</v>
      </c>
      <c r="BK327" s="312"/>
      <c r="BL327" s="155"/>
      <c r="BM327" s="200"/>
      <c r="BN327" s="141"/>
      <c r="BO327" s="141"/>
      <c r="BP327" s="141"/>
    </row>
    <row r="328" spans="1:68" ht="15.5">
      <c r="A328" s="141">
        <v>12</v>
      </c>
      <c r="B328" s="23">
        <v>74</v>
      </c>
      <c r="C328" s="368">
        <v>46290</v>
      </c>
      <c r="D328" s="174">
        <f t="shared" si="56"/>
        <v>-46290</v>
      </c>
      <c r="E328" s="38" t="s">
        <v>72</v>
      </c>
      <c r="F328" s="302"/>
      <c r="G328" s="303"/>
      <c r="H328" s="304">
        <v>46291</v>
      </c>
      <c r="I328" s="148">
        <v>41</v>
      </c>
      <c r="J328" s="155">
        <v>324</v>
      </c>
      <c r="K328" s="138">
        <v>6.275E-2</v>
      </c>
      <c r="L328" s="8">
        <v>0.32750000000000001</v>
      </c>
      <c r="M328" s="366">
        <v>0.28999999999999998</v>
      </c>
      <c r="N328" s="364">
        <v>35.75</v>
      </c>
      <c r="O328" s="139">
        <v>29.493749999999999</v>
      </c>
      <c r="P328" s="364">
        <v>82.5</v>
      </c>
      <c r="Q328" s="365">
        <v>0.23</v>
      </c>
      <c r="R328" s="140">
        <v>66</v>
      </c>
      <c r="S328" s="141" t="s">
        <v>584</v>
      </c>
      <c r="T328" s="141" t="s">
        <v>458</v>
      </c>
      <c r="U328" s="141"/>
      <c r="V328" s="156"/>
      <c r="W328" s="133">
        <f t="shared" si="52"/>
        <v>41</v>
      </c>
      <c r="X328" s="155">
        <f t="shared" si="52"/>
        <v>324</v>
      </c>
      <c r="Y328" s="138"/>
      <c r="Z328" s="8"/>
      <c r="AA328" s="8"/>
      <c r="AB328" s="139"/>
      <c r="AC328" s="139"/>
      <c r="AD328" s="139"/>
      <c r="AE328" s="8"/>
      <c r="AF328" s="140"/>
      <c r="AG328" s="141"/>
      <c r="AH328" s="141"/>
      <c r="AI328" s="352">
        <v>46294</v>
      </c>
      <c r="AJ328" s="141"/>
      <c r="AK328" s="141"/>
      <c r="AL328" s="141"/>
      <c r="AM328" s="141"/>
      <c r="AN328" s="141"/>
      <c r="AO328" s="141"/>
      <c r="AP328" s="141"/>
      <c r="AQ328" s="141"/>
      <c r="AR328" s="141"/>
      <c r="AS328" s="141"/>
      <c r="AT328" s="141"/>
      <c r="AU328" s="476" t="str">
        <f t="shared" si="51"/>
        <v>Ok</v>
      </c>
      <c r="AV328" s="141"/>
      <c r="AW328" s="310">
        <f t="shared" si="54"/>
        <v>41</v>
      </c>
      <c r="AX328" s="155">
        <f t="shared" si="55"/>
        <v>324</v>
      </c>
      <c r="AY328" s="311"/>
      <c r="AZ328" s="311"/>
      <c r="BA328" s="311"/>
      <c r="BB328" s="311"/>
      <c r="BC328" s="311"/>
      <c r="BD328" s="141"/>
      <c r="BE328" s="141"/>
      <c r="BF328" s="141"/>
      <c r="BG328" s="141"/>
      <c r="BH328" s="23"/>
      <c r="BI328" s="133">
        <f t="shared" si="53"/>
        <v>41</v>
      </c>
      <c r="BJ328" s="155">
        <f t="shared" si="53"/>
        <v>324</v>
      </c>
      <c r="BK328" s="312"/>
      <c r="BL328" s="155"/>
      <c r="BM328" s="200"/>
      <c r="BN328" s="141"/>
      <c r="BO328" s="141"/>
      <c r="BP328" s="141"/>
    </row>
    <row r="329" spans="1:68" ht="15.5">
      <c r="A329" s="141">
        <v>12</v>
      </c>
      <c r="B329" s="23">
        <v>74</v>
      </c>
      <c r="C329" s="368">
        <v>46290</v>
      </c>
      <c r="D329" s="174">
        <f t="shared" si="56"/>
        <v>-46290</v>
      </c>
      <c r="E329" s="38" t="s">
        <v>72</v>
      </c>
      <c r="F329" s="302"/>
      <c r="G329" s="303"/>
      <c r="H329" s="304">
        <v>46291</v>
      </c>
      <c r="I329" s="148">
        <v>41</v>
      </c>
      <c r="J329" s="155">
        <v>325</v>
      </c>
      <c r="K329" s="138">
        <v>5.6250000000000001E-2</v>
      </c>
      <c r="L329" s="8">
        <v>0.32750000000000001</v>
      </c>
      <c r="M329" s="366">
        <v>0.38</v>
      </c>
      <c r="N329" s="364">
        <v>35.5</v>
      </c>
      <c r="O329" s="139">
        <v>28.577500000000001</v>
      </c>
      <c r="P329" s="364">
        <v>80.5</v>
      </c>
      <c r="Q329" s="365">
        <v>0.23</v>
      </c>
      <c r="R329" s="140">
        <v>69</v>
      </c>
      <c r="S329" s="141" t="s">
        <v>584</v>
      </c>
      <c r="T329" s="141" t="s">
        <v>458</v>
      </c>
      <c r="U329" s="141"/>
      <c r="V329" s="156"/>
      <c r="W329" s="133">
        <f t="shared" si="52"/>
        <v>41</v>
      </c>
      <c r="X329" s="155">
        <f t="shared" si="52"/>
        <v>325</v>
      </c>
      <c r="Y329" s="138"/>
      <c r="Z329" s="8"/>
      <c r="AA329" s="8"/>
      <c r="AB329" s="139"/>
      <c r="AC329" s="139"/>
      <c r="AD329" s="139"/>
      <c r="AE329" s="8"/>
      <c r="AF329" s="140"/>
      <c r="AG329" s="141"/>
      <c r="AH329" s="141"/>
      <c r="AI329" s="352">
        <v>46294</v>
      </c>
      <c r="AJ329" s="141"/>
      <c r="AK329" s="141"/>
      <c r="AL329" s="141"/>
      <c r="AM329" s="141"/>
      <c r="AN329" s="141"/>
      <c r="AO329" s="141"/>
      <c r="AP329" s="141"/>
      <c r="AQ329" s="141"/>
      <c r="AR329" s="141"/>
      <c r="AS329" s="141"/>
      <c r="AT329" s="141"/>
      <c r="AU329" s="476" t="str">
        <f t="shared" si="51"/>
        <v>Ok</v>
      </c>
      <c r="AV329" s="141"/>
      <c r="AW329" s="310">
        <f t="shared" si="54"/>
        <v>41</v>
      </c>
      <c r="AX329" s="155">
        <f t="shared" si="55"/>
        <v>325</v>
      </c>
      <c r="AY329" s="311"/>
      <c r="AZ329" s="311"/>
      <c r="BA329" s="311"/>
      <c r="BB329" s="311"/>
      <c r="BC329" s="311"/>
      <c r="BD329" s="141"/>
      <c r="BE329" s="141"/>
      <c r="BF329" s="141"/>
      <c r="BG329" s="141"/>
      <c r="BH329" s="23"/>
      <c r="BI329" s="133">
        <f t="shared" si="53"/>
        <v>41</v>
      </c>
      <c r="BJ329" s="155">
        <f t="shared" si="53"/>
        <v>325</v>
      </c>
      <c r="BK329" s="312"/>
      <c r="BL329" s="155"/>
      <c r="BM329" s="200"/>
      <c r="BN329" s="141"/>
      <c r="BO329" s="141"/>
      <c r="BP329" s="141"/>
    </row>
    <row r="330" spans="1:68" ht="15.5">
      <c r="A330" s="141">
        <v>12</v>
      </c>
      <c r="B330" s="23">
        <v>74</v>
      </c>
      <c r="C330" s="368">
        <v>46290</v>
      </c>
      <c r="D330" s="174">
        <f t="shared" si="56"/>
        <v>-46290</v>
      </c>
      <c r="E330" s="38" t="s">
        <v>72</v>
      </c>
      <c r="F330" s="302"/>
      <c r="G330" s="303"/>
      <c r="H330" s="304">
        <v>46291</v>
      </c>
      <c r="I330" s="148">
        <v>41</v>
      </c>
      <c r="J330" s="155">
        <v>326</v>
      </c>
      <c r="K330" s="138">
        <v>7.6249999999999998E-2</v>
      </c>
      <c r="L330" s="8">
        <v>0.28749999999999998</v>
      </c>
      <c r="M330" s="366">
        <v>0.31</v>
      </c>
      <c r="N330" s="364">
        <v>36</v>
      </c>
      <c r="O330" s="139">
        <v>28.53</v>
      </c>
      <c r="P330" s="364">
        <v>79.25</v>
      </c>
      <c r="Q330" s="365">
        <v>0.23</v>
      </c>
      <c r="R330" s="140">
        <v>69</v>
      </c>
      <c r="S330" s="141" t="s">
        <v>584</v>
      </c>
      <c r="T330" s="141" t="s">
        <v>458</v>
      </c>
      <c r="U330" s="141"/>
      <c r="V330" s="156"/>
      <c r="W330" s="133">
        <f t="shared" si="52"/>
        <v>41</v>
      </c>
      <c r="X330" s="155">
        <f t="shared" si="52"/>
        <v>326</v>
      </c>
      <c r="Y330" s="138"/>
      <c r="Z330" s="8"/>
      <c r="AA330" s="8"/>
      <c r="AB330" s="139"/>
      <c r="AC330" s="139"/>
      <c r="AD330" s="139"/>
      <c r="AE330" s="8"/>
      <c r="AF330" s="140"/>
      <c r="AG330" s="141"/>
      <c r="AH330" s="141"/>
      <c r="AI330" s="352">
        <v>46288</v>
      </c>
      <c r="AJ330" s="141"/>
      <c r="AK330" s="141"/>
      <c r="AL330" s="141"/>
      <c r="AM330" s="141"/>
      <c r="AN330" s="141"/>
      <c r="AO330" s="141"/>
      <c r="AP330" s="141"/>
      <c r="AQ330" s="141"/>
      <c r="AR330" s="141"/>
      <c r="AS330" s="141"/>
      <c r="AT330" s="141"/>
      <c r="AU330" s="476" t="str">
        <f t="shared" si="51"/>
        <v>Ok</v>
      </c>
      <c r="AV330" s="141"/>
      <c r="AW330" s="310">
        <f t="shared" si="54"/>
        <v>41</v>
      </c>
      <c r="AX330" s="155">
        <f t="shared" si="55"/>
        <v>326</v>
      </c>
      <c r="AY330" s="311"/>
      <c r="AZ330" s="311"/>
      <c r="BA330" s="311"/>
      <c r="BB330" s="311"/>
      <c r="BC330" s="311"/>
      <c r="BD330" s="141"/>
      <c r="BE330" s="141"/>
      <c r="BF330" s="141"/>
      <c r="BG330" s="141"/>
      <c r="BH330" s="23"/>
      <c r="BI330" s="133">
        <f t="shared" si="53"/>
        <v>41</v>
      </c>
      <c r="BJ330" s="155">
        <f t="shared" si="53"/>
        <v>326</v>
      </c>
      <c r="BK330" s="312"/>
      <c r="BL330" s="155"/>
      <c r="BM330" s="200"/>
      <c r="BN330" s="141"/>
      <c r="BO330" s="141"/>
      <c r="BP330" s="141"/>
    </row>
    <row r="331" spans="1:68" ht="15.5">
      <c r="A331" s="141">
        <v>12</v>
      </c>
      <c r="B331" s="23">
        <v>74</v>
      </c>
      <c r="C331" s="368">
        <v>46290</v>
      </c>
      <c r="D331" s="174">
        <f t="shared" si="56"/>
        <v>-46290</v>
      </c>
      <c r="E331" s="38" t="s">
        <v>72</v>
      </c>
      <c r="F331" s="302"/>
      <c r="G331" s="303"/>
      <c r="H331" s="304">
        <v>46291</v>
      </c>
      <c r="I331" s="148">
        <v>41</v>
      </c>
      <c r="J331" s="155">
        <v>327</v>
      </c>
      <c r="K331" s="138">
        <v>4.0250000000000001E-2</v>
      </c>
      <c r="L331" s="8">
        <v>0.30499999999999999</v>
      </c>
      <c r="M331" s="366">
        <v>0.24</v>
      </c>
      <c r="N331" s="364">
        <v>36.25</v>
      </c>
      <c r="O331" s="139">
        <v>28.546875</v>
      </c>
      <c r="P331" s="364">
        <v>78.75</v>
      </c>
      <c r="Q331" s="365">
        <v>0.23</v>
      </c>
      <c r="R331" s="140">
        <v>69</v>
      </c>
      <c r="S331" s="141" t="s">
        <v>584</v>
      </c>
      <c r="T331" s="141" t="s">
        <v>458</v>
      </c>
      <c r="U331" s="141"/>
      <c r="V331" s="156"/>
      <c r="W331" s="133">
        <f t="shared" si="52"/>
        <v>41</v>
      </c>
      <c r="X331" s="155">
        <f t="shared" si="52"/>
        <v>327</v>
      </c>
      <c r="Y331" s="138"/>
      <c r="Z331" s="8"/>
      <c r="AA331" s="8"/>
      <c r="AB331" s="139"/>
      <c r="AC331" s="139"/>
      <c r="AD331" s="139"/>
      <c r="AE331" s="8"/>
      <c r="AF331" s="140"/>
      <c r="AG331" s="141"/>
      <c r="AH331" s="141"/>
      <c r="AI331" s="352">
        <v>46295</v>
      </c>
      <c r="AJ331" s="141"/>
      <c r="AK331" s="141"/>
      <c r="AL331" s="141"/>
      <c r="AM331" s="141"/>
      <c r="AN331" s="141"/>
      <c r="AO331" s="141"/>
      <c r="AP331" s="141"/>
      <c r="AQ331" s="141"/>
      <c r="AR331" s="141"/>
      <c r="AS331" s="141"/>
      <c r="AT331" s="141"/>
      <c r="AU331" s="476" t="str">
        <f t="shared" si="51"/>
        <v>Ok</v>
      </c>
      <c r="AV331" s="141"/>
      <c r="AW331" s="310">
        <f t="shared" si="54"/>
        <v>41</v>
      </c>
      <c r="AX331" s="155">
        <f t="shared" si="55"/>
        <v>327</v>
      </c>
      <c r="AY331" s="311"/>
      <c r="AZ331" s="311"/>
      <c r="BA331" s="311"/>
      <c r="BB331" s="311"/>
      <c r="BC331" s="311"/>
      <c r="BD331" s="141"/>
      <c r="BE331" s="141"/>
      <c r="BF331" s="141"/>
      <c r="BG331" s="141"/>
      <c r="BH331" s="23"/>
      <c r="BI331" s="133">
        <f t="shared" si="53"/>
        <v>41</v>
      </c>
      <c r="BJ331" s="155">
        <f t="shared" si="53"/>
        <v>327</v>
      </c>
      <c r="BK331" s="312"/>
      <c r="BL331" s="155"/>
      <c r="BM331" s="200"/>
      <c r="BN331" s="141"/>
      <c r="BO331" s="141"/>
      <c r="BP331" s="141"/>
    </row>
    <row r="332" spans="1:68" ht="15.5">
      <c r="A332" s="141">
        <v>12</v>
      </c>
      <c r="B332" s="23">
        <v>74</v>
      </c>
      <c r="C332" s="368">
        <v>46290</v>
      </c>
      <c r="D332" s="174">
        <f t="shared" si="56"/>
        <v>-46290</v>
      </c>
      <c r="E332" s="38" t="s">
        <v>72</v>
      </c>
      <c r="F332" s="302"/>
      <c r="G332" s="303"/>
      <c r="H332" s="304">
        <v>46291</v>
      </c>
      <c r="I332" s="148">
        <v>41</v>
      </c>
      <c r="J332" s="155">
        <v>328</v>
      </c>
      <c r="K332" s="138">
        <v>2.2000000000000002E-2</v>
      </c>
      <c r="L332" s="8">
        <v>0.30249999999999999</v>
      </c>
      <c r="M332" s="366">
        <v>0.41</v>
      </c>
      <c r="N332" s="364">
        <v>35</v>
      </c>
      <c r="O332" s="139">
        <v>28.787500000000001</v>
      </c>
      <c r="P332" s="364">
        <v>82.25</v>
      </c>
      <c r="Q332" s="365">
        <v>0.23</v>
      </c>
      <c r="R332" s="140">
        <v>69</v>
      </c>
      <c r="S332" s="141" t="s">
        <v>584</v>
      </c>
      <c r="T332" s="141" t="s">
        <v>458</v>
      </c>
      <c r="U332" s="141"/>
      <c r="V332" s="156"/>
      <c r="W332" s="133">
        <f t="shared" si="52"/>
        <v>41</v>
      </c>
      <c r="X332" s="155">
        <f t="shared" si="52"/>
        <v>328</v>
      </c>
      <c r="Y332" s="138"/>
      <c r="Z332" s="8"/>
      <c r="AA332" s="8"/>
      <c r="AB332" s="139"/>
      <c r="AC332" s="139"/>
      <c r="AD332" s="139"/>
      <c r="AE332" s="8"/>
      <c r="AF332" s="140"/>
      <c r="AG332" s="141"/>
      <c r="AH332" s="141"/>
      <c r="AI332" s="352">
        <v>46296</v>
      </c>
      <c r="AJ332" s="141"/>
      <c r="AK332" s="141"/>
      <c r="AL332" s="141"/>
      <c r="AM332" s="141"/>
      <c r="AN332" s="141"/>
      <c r="AO332" s="141"/>
      <c r="AP332" s="141"/>
      <c r="AQ332" s="141"/>
      <c r="AR332" s="141"/>
      <c r="AS332" s="141"/>
      <c r="AT332" s="141"/>
      <c r="AU332" s="476" t="str">
        <f t="shared" si="51"/>
        <v>Ok</v>
      </c>
      <c r="AV332" s="141"/>
      <c r="AW332" s="310">
        <f t="shared" si="54"/>
        <v>41</v>
      </c>
      <c r="AX332" s="155">
        <f t="shared" si="55"/>
        <v>328</v>
      </c>
      <c r="AY332" s="311"/>
      <c r="AZ332" s="311"/>
      <c r="BA332" s="311"/>
      <c r="BB332" s="311"/>
      <c r="BC332" s="311"/>
      <c r="BD332" s="141"/>
      <c r="BE332" s="141"/>
      <c r="BF332" s="141"/>
      <c r="BG332" s="141"/>
      <c r="BH332" s="23"/>
      <c r="BI332" s="133">
        <f t="shared" si="53"/>
        <v>41</v>
      </c>
      <c r="BJ332" s="155">
        <f t="shared" si="53"/>
        <v>328</v>
      </c>
      <c r="BK332" s="312"/>
      <c r="BL332" s="155"/>
      <c r="BM332" s="200"/>
      <c r="BN332" s="141"/>
      <c r="BO332" s="141"/>
      <c r="BP332" s="141"/>
    </row>
    <row r="333" spans="1:68" ht="15.5">
      <c r="A333" s="141">
        <v>12</v>
      </c>
      <c r="B333" s="23" t="s">
        <v>809</v>
      </c>
      <c r="C333" s="368">
        <v>46291</v>
      </c>
      <c r="D333" s="174">
        <f t="shared" si="56"/>
        <v>-46291</v>
      </c>
      <c r="E333" s="38" t="s">
        <v>72</v>
      </c>
      <c r="F333" s="302"/>
      <c r="G333" s="303"/>
      <c r="H333" s="304">
        <v>46293</v>
      </c>
      <c r="I333" s="148">
        <v>42</v>
      </c>
      <c r="J333" s="155">
        <v>329</v>
      </c>
      <c r="K333" s="138">
        <v>6.6750000000000004E-2</v>
      </c>
      <c r="L333" s="8">
        <v>0.32250000000000001</v>
      </c>
      <c r="M333" s="366">
        <v>0.25</v>
      </c>
      <c r="N333" s="364">
        <v>34.5</v>
      </c>
      <c r="O333" s="139">
        <v>28.1175</v>
      </c>
      <c r="P333" s="364">
        <v>81.5</v>
      </c>
      <c r="Q333" s="365">
        <v>0.22</v>
      </c>
      <c r="R333" s="140">
        <v>64.5</v>
      </c>
      <c r="S333" s="141" t="s">
        <v>584</v>
      </c>
      <c r="T333" s="141" t="s">
        <v>458</v>
      </c>
      <c r="U333" s="141"/>
      <c r="V333" s="156"/>
      <c r="W333" s="133">
        <f t="shared" si="52"/>
        <v>42</v>
      </c>
      <c r="X333" s="155">
        <f t="shared" si="52"/>
        <v>329</v>
      </c>
      <c r="Y333" s="138"/>
      <c r="Z333" s="8"/>
      <c r="AA333" s="8"/>
      <c r="AB333" s="139"/>
      <c r="AC333" s="139"/>
      <c r="AD333" s="139"/>
      <c r="AE333" s="8"/>
      <c r="AF333" s="140"/>
      <c r="AG333" s="141"/>
      <c r="AH333" s="141"/>
      <c r="AI333" s="352">
        <v>46296</v>
      </c>
      <c r="AJ333" s="141"/>
      <c r="AK333" s="141"/>
      <c r="AL333" s="141"/>
      <c r="AM333" s="141"/>
      <c r="AN333" s="141"/>
      <c r="AO333" s="141"/>
      <c r="AP333" s="141"/>
      <c r="AQ333" s="141"/>
      <c r="AR333" s="141"/>
      <c r="AS333" s="141"/>
      <c r="AT333" s="141"/>
      <c r="AU333" s="476" t="str">
        <f t="shared" si="51"/>
        <v>Ok</v>
      </c>
      <c r="AV333" s="141"/>
      <c r="AW333" s="310">
        <f t="shared" si="54"/>
        <v>42</v>
      </c>
      <c r="AX333" s="155">
        <f t="shared" si="55"/>
        <v>329</v>
      </c>
      <c r="AY333" s="311"/>
      <c r="AZ333" s="311"/>
      <c r="BA333" s="311"/>
      <c r="BB333" s="311"/>
      <c r="BC333" s="311"/>
      <c r="BD333" s="141"/>
      <c r="BE333" s="141"/>
      <c r="BF333" s="141"/>
      <c r="BG333" s="141"/>
      <c r="BH333" s="23"/>
      <c r="BI333" s="133">
        <f t="shared" si="53"/>
        <v>42</v>
      </c>
      <c r="BJ333" s="155">
        <f t="shared" si="53"/>
        <v>329</v>
      </c>
      <c r="BK333" s="312"/>
      <c r="BL333" s="155"/>
      <c r="BM333" s="200"/>
      <c r="BN333" s="141"/>
      <c r="BO333" s="141"/>
      <c r="BP333" s="141"/>
    </row>
    <row r="334" spans="1:68" ht="15.5">
      <c r="A334" s="141">
        <v>12</v>
      </c>
      <c r="B334" s="23">
        <v>75</v>
      </c>
      <c r="C334" s="368">
        <v>46291</v>
      </c>
      <c r="D334" s="174">
        <f t="shared" si="56"/>
        <v>-46291</v>
      </c>
      <c r="E334" s="38" t="s">
        <v>72</v>
      </c>
      <c r="F334" s="302"/>
      <c r="G334" s="303"/>
      <c r="H334" s="304">
        <v>46293</v>
      </c>
      <c r="I334" s="148">
        <v>42</v>
      </c>
      <c r="J334" s="155">
        <v>330</v>
      </c>
      <c r="K334" s="138">
        <v>8.9499999999999996E-2</v>
      </c>
      <c r="L334" s="8">
        <v>0.32</v>
      </c>
      <c r="M334" s="366">
        <v>0.42</v>
      </c>
      <c r="N334" s="364">
        <v>35.25</v>
      </c>
      <c r="O334" s="139">
        <v>28.288125000000001</v>
      </c>
      <c r="P334" s="364">
        <v>80.25</v>
      </c>
      <c r="Q334" s="365">
        <v>0.22</v>
      </c>
      <c r="R334" s="140">
        <v>64.5</v>
      </c>
      <c r="S334" s="141" t="s">
        <v>584</v>
      </c>
      <c r="T334" s="141" t="s">
        <v>458</v>
      </c>
      <c r="U334" s="141"/>
      <c r="V334" s="156"/>
      <c r="W334" s="133">
        <f t="shared" si="52"/>
        <v>42</v>
      </c>
      <c r="X334" s="155">
        <f t="shared" si="52"/>
        <v>330</v>
      </c>
      <c r="Y334" s="138"/>
      <c r="Z334" s="8"/>
      <c r="AA334" s="8"/>
      <c r="AB334" s="139"/>
      <c r="AC334" s="139"/>
      <c r="AD334" s="139"/>
      <c r="AE334" s="8"/>
      <c r="AF334" s="140"/>
      <c r="AG334" s="141"/>
      <c r="AH334" s="141"/>
      <c r="AI334" s="352">
        <v>46302</v>
      </c>
      <c r="AJ334" s="141"/>
      <c r="AK334" s="141"/>
      <c r="AL334" s="141"/>
      <c r="AM334" s="141"/>
      <c r="AN334" s="141"/>
      <c r="AO334" s="141"/>
      <c r="AP334" s="141"/>
      <c r="AQ334" s="141"/>
      <c r="AR334" s="141"/>
      <c r="AS334" s="141"/>
      <c r="AT334" s="141"/>
      <c r="AU334" s="476" t="str">
        <f t="shared" si="51"/>
        <v>Ok</v>
      </c>
      <c r="AV334" s="141"/>
      <c r="AW334" s="310">
        <f t="shared" si="54"/>
        <v>42</v>
      </c>
      <c r="AX334" s="155">
        <f t="shared" si="55"/>
        <v>330</v>
      </c>
      <c r="AY334" s="311"/>
      <c r="AZ334" s="311"/>
      <c r="BA334" s="311"/>
      <c r="BB334" s="311"/>
      <c r="BC334" s="311"/>
      <c r="BD334" s="141"/>
      <c r="BE334" s="141"/>
      <c r="BF334" s="141"/>
      <c r="BG334" s="141"/>
      <c r="BH334" s="23"/>
      <c r="BI334" s="133">
        <f t="shared" si="53"/>
        <v>42</v>
      </c>
      <c r="BJ334" s="155">
        <f t="shared" si="53"/>
        <v>330</v>
      </c>
      <c r="BK334" s="312"/>
      <c r="BL334" s="155"/>
      <c r="BM334" s="200"/>
      <c r="BN334" s="141"/>
      <c r="BO334" s="141"/>
      <c r="BP334" s="141"/>
    </row>
    <row r="335" spans="1:68" ht="15.5">
      <c r="A335" s="141">
        <v>12</v>
      </c>
      <c r="B335" s="23">
        <v>75</v>
      </c>
      <c r="C335" s="368">
        <v>46291</v>
      </c>
      <c r="D335" s="174">
        <f t="shared" si="56"/>
        <v>-46291</v>
      </c>
      <c r="E335" s="38" t="s">
        <v>72</v>
      </c>
      <c r="F335" s="302"/>
      <c r="G335" s="303"/>
      <c r="H335" s="304">
        <v>46293</v>
      </c>
      <c r="I335" s="148">
        <v>42</v>
      </c>
      <c r="J335" s="155">
        <v>331</v>
      </c>
      <c r="K335" s="138">
        <v>0.12225</v>
      </c>
      <c r="L335" s="8">
        <v>0.31</v>
      </c>
      <c r="M335" s="366">
        <v>0.44</v>
      </c>
      <c r="N335" s="364">
        <v>34</v>
      </c>
      <c r="O335" s="139">
        <v>28.05</v>
      </c>
      <c r="P335" s="364">
        <v>82.5</v>
      </c>
      <c r="Q335" s="365">
        <v>0.22</v>
      </c>
      <c r="R335" s="140">
        <v>64.5</v>
      </c>
      <c r="S335" s="141" t="s">
        <v>584</v>
      </c>
      <c r="T335" s="141" t="s">
        <v>458</v>
      </c>
      <c r="U335" s="141"/>
      <c r="V335" s="156"/>
      <c r="W335" s="133">
        <f t="shared" si="52"/>
        <v>42</v>
      </c>
      <c r="X335" s="155">
        <f t="shared" si="52"/>
        <v>331</v>
      </c>
      <c r="Y335" s="138"/>
      <c r="Z335" s="8"/>
      <c r="AA335" s="8"/>
      <c r="AB335" s="139"/>
      <c r="AC335" s="139"/>
      <c r="AD335" s="139"/>
      <c r="AE335" s="8"/>
      <c r="AF335" s="140"/>
      <c r="AG335" s="141"/>
      <c r="AH335" s="141"/>
      <c r="AI335" s="352">
        <v>46296</v>
      </c>
      <c r="AJ335" s="141"/>
      <c r="AK335" s="141"/>
      <c r="AL335" s="141"/>
      <c r="AM335" s="141"/>
      <c r="AN335" s="141"/>
      <c r="AO335" s="141"/>
      <c r="AP335" s="141"/>
      <c r="AQ335" s="141"/>
      <c r="AR335" s="141"/>
      <c r="AS335" s="141"/>
      <c r="AT335" s="141"/>
      <c r="AU335" s="476" t="str">
        <f t="shared" si="51"/>
        <v>Ok</v>
      </c>
      <c r="AV335" s="141"/>
      <c r="AW335" s="310">
        <f t="shared" si="54"/>
        <v>42</v>
      </c>
      <c r="AX335" s="155">
        <f t="shared" si="55"/>
        <v>331</v>
      </c>
      <c r="AY335" s="311"/>
      <c r="AZ335" s="311"/>
      <c r="BA335" s="311"/>
      <c r="BB335" s="311"/>
      <c r="BC335" s="311"/>
      <c r="BD335" s="141"/>
      <c r="BE335" s="141"/>
      <c r="BF335" s="141"/>
      <c r="BG335" s="141"/>
      <c r="BH335" s="23"/>
      <c r="BI335" s="133">
        <f t="shared" si="53"/>
        <v>42</v>
      </c>
      <c r="BJ335" s="155">
        <f t="shared" si="53"/>
        <v>331</v>
      </c>
      <c r="BK335" s="312"/>
      <c r="BL335" s="155"/>
      <c r="BM335" s="200"/>
      <c r="BN335" s="141"/>
      <c r="BO335" s="141"/>
      <c r="BP335" s="141"/>
    </row>
    <row r="336" spans="1:68" ht="15.5">
      <c r="A336" s="141">
        <v>12</v>
      </c>
      <c r="B336" s="23">
        <v>75</v>
      </c>
      <c r="C336" s="368">
        <v>46291</v>
      </c>
      <c r="D336" s="174">
        <f t="shared" si="56"/>
        <v>-46291</v>
      </c>
      <c r="E336" s="38" t="s">
        <v>72</v>
      </c>
      <c r="F336" s="302"/>
      <c r="G336" s="303"/>
      <c r="H336" s="304">
        <v>46293</v>
      </c>
      <c r="I336" s="148">
        <v>42</v>
      </c>
      <c r="J336" s="155">
        <v>332</v>
      </c>
      <c r="K336" s="138">
        <v>9.8500000000000004E-2</v>
      </c>
      <c r="L336" s="8">
        <v>0.30499999999999999</v>
      </c>
      <c r="M336" s="366">
        <v>0.3</v>
      </c>
      <c r="N336" s="364">
        <v>32.25</v>
      </c>
      <c r="O336" s="139">
        <v>26.928750000000001</v>
      </c>
      <c r="P336" s="364">
        <v>83.5</v>
      </c>
      <c r="Q336" s="365">
        <v>0.22</v>
      </c>
      <c r="R336" s="140">
        <v>64.5</v>
      </c>
      <c r="S336" s="141" t="s">
        <v>584</v>
      </c>
      <c r="T336" s="141" t="s">
        <v>458</v>
      </c>
      <c r="U336" s="141"/>
      <c r="V336" s="156"/>
      <c r="W336" s="133">
        <f t="shared" si="52"/>
        <v>42</v>
      </c>
      <c r="X336" s="155">
        <f t="shared" si="52"/>
        <v>332</v>
      </c>
      <c r="Y336" s="138"/>
      <c r="Z336" s="8"/>
      <c r="AA336" s="8"/>
      <c r="AB336" s="139"/>
      <c r="AC336" s="139"/>
      <c r="AD336" s="139"/>
      <c r="AE336" s="8"/>
      <c r="AF336" s="140"/>
      <c r="AG336" s="141"/>
      <c r="AH336" s="141"/>
      <c r="AI336" s="352">
        <v>46296</v>
      </c>
      <c r="AJ336" s="141"/>
      <c r="AK336" s="141"/>
      <c r="AL336" s="141"/>
      <c r="AM336" s="141"/>
      <c r="AN336" s="141"/>
      <c r="AO336" s="141"/>
      <c r="AP336" s="141"/>
      <c r="AQ336" s="141"/>
      <c r="AR336" s="141"/>
      <c r="AS336" s="141"/>
      <c r="AT336" s="141"/>
      <c r="AU336" s="476" t="str">
        <f t="shared" si="51"/>
        <v>Ok</v>
      </c>
      <c r="AV336" s="141"/>
      <c r="AW336" s="310">
        <f t="shared" si="54"/>
        <v>42</v>
      </c>
      <c r="AX336" s="155">
        <f t="shared" si="55"/>
        <v>332</v>
      </c>
      <c r="AY336" s="311"/>
      <c r="AZ336" s="311"/>
      <c r="BA336" s="311"/>
      <c r="BB336" s="311"/>
      <c r="BC336" s="311"/>
      <c r="BD336" s="141"/>
      <c r="BE336" s="141"/>
      <c r="BF336" s="141"/>
      <c r="BG336" s="141"/>
      <c r="BH336" s="23"/>
      <c r="BI336" s="133">
        <f t="shared" si="53"/>
        <v>42</v>
      </c>
      <c r="BJ336" s="155">
        <f t="shared" si="53"/>
        <v>332</v>
      </c>
      <c r="BK336" s="312"/>
      <c r="BL336" s="155"/>
      <c r="BM336" s="200"/>
      <c r="BN336" s="141"/>
      <c r="BO336" s="141"/>
      <c r="BP336" s="141"/>
    </row>
    <row r="337" spans="1:68" ht="15.5">
      <c r="A337" s="141">
        <v>12</v>
      </c>
      <c r="B337" s="23">
        <v>75</v>
      </c>
      <c r="C337" s="368">
        <v>46291</v>
      </c>
      <c r="D337" s="174">
        <f t="shared" si="56"/>
        <v>-46291</v>
      </c>
      <c r="E337" s="38" t="s">
        <v>72</v>
      </c>
      <c r="F337" s="302"/>
      <c r="G337" s="303"/>
      <c r="H337" s="304">
        <v>46293</v>
      </c>
      <c r="I337" s="148">
        <v>42</v>
      </c>
      <c r="J337" s="155">
        <v>333</v>
      </c>
      <c r="K337" s="138">
        <v>0.13125000000000001</v>
      </c>
      <c r="L337" s="8">
        <v>0.3175</v>
      </c>
      <c r="M337" s="366">
        <v>0.32</v>
      </c>
      <c r="N337" s="364">
        <v>34</v>
      </c>
      <c r="O337" s="139">
        <v>28.475000000000001</v>
      </c>
      <c r="P337" s="364">
        <v>83.75</v>
      </c>
      <c r="Q337" s="365">
        <v>0.22</v>
      </c>
      <c r="R337" s="140">
        <v>69</v>
      </c>
      <c r="S337" s="141" t="s">
        <v>427</v>
      </c>
      <c r="T337" s="141" t="s">
        <v>458</v>
      </c>
      <c r="U337" s="141"/>
      <c r="V337" s="156"/>
      <c r="W337" s="133">
        <f t="shared" si="52"/>
        <v>42</v>
      </c>
      <c r="X337" s="155">
        <f t="shared" si="52"/>
        <v>333</v>
      </c>
      <c r="Y337" s="138"/>
      <c r="Z337" s="8"/>
      <c r="AA337" s="8"/>
      <c r="AB337" s="139"/>
      <c r="AC337" s="139"/>
      <c r="AD337" s="139"/>
      <c r="AE337" s="8"/>
      <c r="AF337" s="140"/>
      <c r="AG337" s="141"/>
      <c r="AH337" s="141"/>
      <c r="AI337" s="352">
        <v>46296</v>
      </c>
      <c r="AJ337" s="141"/>
      <c r="AK337" s="141"/>
      <c r="AL337" s="141"/>
      <c r="AM337" s="141"/>
      <c r="AN337" s="141"/>
      <c r="AO337" s="141"/>
      <c r="AP337" s="141"/>
      <c r="AQ337" s="141"/>
      <c r="AR337" s="141"/>
      <c r="AS337" s="141"/>
      <c r="AT337" s="141"/>
      <c r="AU337" s="476" t="str">
        <f t="shared" si="51"/>
        <v>Ok</v>
      </c>
      <c r="AV337" s="141"/>
      <c r="AW337" s="310">
        <f t="shared" si="54"/>
        <v>42</v>
      </c>
      <c r="AX337" s="155">
        <f t="shared" si="55"/>
        <v>333</v>
      </c>
      <c r="AY337" s="311"/>
      <c r="AZ337" s="311"/>
      <c r="BA337" s="311"/>
      <c r="BB337" s="311"/>
      <c r="BC337" s="311"/>
      <c r="BD337" s="141"/>
      <c r="BE337" s="141"/>
      <c r="BF337" s="141"/>
      <c r="BG337" s="141"/>
      <c r="BH337" s="23"/>
      <c r="BI337" s="133">
        <f t="shared" si="53"/>
        <v>42</v>
      </c>
      <c r="BJ337" s="155">
        <f t="shared" si="53"/>
        <v>333</v>
      </c>
      <c r="BK337" s="312"/>
      <c r="BL337" s="155"/>
      <c r="BM337" s="200"/>
      <c r="BN337" s="141"/>
      <c r="BO337" s="141"/>
      <c r="BP337" s="141"/>
    </row>
    <row r="338" spans="1:68" ht="15.5">
      <c r="A338" s="141">
        <v>12</v>
      </c>
      <c r="B338" s="23">
        <v>75</v>
      </c>
      <c r="C338" s="368">
        <v>46291</v>
      </c>
      <c r="D338" s="174">
        <f t="shared" si="56"/>
        <v>-46291</v>
      </c>
      <c r="E338" s="38" t="s">
        <v>72</v>
      </c>
      <c r="F338" s="302"/>
      <c r="G338" s="303"/>
      <c r="H338" s="304">
        <v>46293</v>
      </c>
      <c r="I338" s="148">
        <v>42</v>
      </c>
      <c r="J338" s="155">
        <v>334</v>
      </c>
      <c r="K338" s="138">
        <v>8.9249999999999996E-2</v>
      </c>
      <c r="L338" s="8">
        <v>0.35249999999999998</v>
      </c>
      <c r="M338" s="366">
        <v>0.38</v>
      </c>
      <c r="N338" s="364">
        <v>35.25</v>
      </c>
      <c r="O338" s="139">
        <v>28.816875</v>
      </c>
      <c r="P338" s="364">
        <v>81.75</v>
      </c>
      <c r="Q338" s="365">
        <v>0.22</v>
      </c>
      <c r="R338" s="140">
        <v>69</v>
      </c>
      <c r="S338" s="141" t="s">
        <v>584</v>
      </c>
      <c r="T338" s="141" t="s">
        <v>458</v>
      </c>
      <c r="U338" s="141"/>
      <c r="V338" s="156"/>
      <c r="W338" s="133">
        <f t="shared" si="52"/>
        <v>42</v>
      </c>
      <c r="X338" s="155">
        <f t="shared" si="52"/>
        <v>334</v>
      </c>
      <c r="Y338" s="138"/>
      <c r="Z338" s="8"/>
      <c r="AA338" s="8"/>
      <c r="AB338" s="139"/>
      <c r="AC338" s="139"/>
      <c r="AD338" s="139"/>
      <c r="AE338" s="8"/>
      <c r="AF338" s="140"/>
      <c r="AG338" s="141"/>
      <c r="AH338" s="141"/>
      <c r="AI338" s="352">
        <v>46295</v>
      </c>
      <c r="AJ338" s="141"/>
      <c r="AK338" s="141"/>
      <c r="AL338" s="141"/>
      <c r="AM338" s="141"/>
      <c r="AN338" s="141"/>
      <c r="AO338" s="141"/>
      <c r="AP338" s="141"/>
      <c r="AQ338" s="141"/>
      <c r="AR338" s="141"/>
      <c r="AS338" s="141"/>
      <c r="AT338" s="141"/>
      <c r="AU338" s="476" t="str">
        <f t="shared" ref="AU338:AU358" si="57">IF(OR(T338="Reject",AH338="Reject",AP338="Reject"),"Reject",IF(OR(T338="Hold",AH338="Hold",AP335="Hold"),"Hold","Ok"))</f>
        <v>Ok</v>
      </c>
      <c r="AV338" s="141"/>
      <c r="AW338" s="310">
        <f t="shared" si="54"/>
        <v>42</v>
      </c>
      <c r="AX338" s="155">
        <f t="shared" si="55"/>
        <v>334</v>
      </c>
      <c r="AY338" s="311"/>
      <c r="AZ338" s="311"/>
      <c r="BA338" s="311"/>
      <c r="BB338" s="311"/>
      <c r="BC338" s="311"/>
      <c r="BD338" s="141"/>
      <c r="BE338" s="141"/>
      <c r="BF338" s="141"/>
      <c r="BG338" s="141"/>
      <c r="BH338" s="23"/>
      <c r="BI338" s="133">
        <f t="shared" si="53"/>
        <v>42</v>
      </c>
      <c r="BJ338" s="155">
        <f t="shared" si="53"/>
        <v>334</v>
      </c>
      <c r="BK338" s="312"/>
      <c r="BL338" s="155"/>
      <c r="BM338" s="200"/>
      <c r="BN338" s="141"/>
      <c r="BO338" s="141"/>
      <c r="BP338" s="141"/>
    </row>
    <row r="339" spans="1:68" ht="15.5">
      <c r="A339" s="201">
        <v>12</v>
      </c>
      <c r="B339" s="219">
        <v>75</v>
      </c>
      <c r="C339" s="496">
        <v>46291</v>
      </c>
      <c r="D339" s="491">
        <f t="shared" si="56"/>
        <v>20</v>
      </c>
      <c r="E339" s="204" t="s">
        <v>72</v>
      </c>
      <c r="F339" s="205"/>
      <c r="G339" s="206"/>
      <c r="H339" s="207">
        <v>46293</v>
      </c>
      <c r="I339" s="494">
        <v>42</v>
      </c>
      <c r="J339" s="208">
        <v>335</v>
      </c>
      <c r="K339" s="209">
        <v>0.11475</v>
      </c>
      <c r="L339" s="210">
        <v>0.32500000000000001</v>
      </c>
      <c r="M339" s="354">
        <v>0.42</v>
      </c>
      <c r="N339" s="355">
        <v>33.25</v>
      </c>
      <c r="O339" s="211">
        <v>27.514375000000001</v>
      </c>
      <c r="P339" s="355">
        <v>82.75</v>
      </c>
      <c r="Q339" s="356">
        <v>0.22</v>
      </c>
      <c r="R339" s="212">
        <v>69</v>
      </c>
      <c r="S339" s="201" t="s">
        <v>584</v>
      </c>
      <c r="T339" s="201" t="s">
        <v>458</v>
      </c>
      <c r="U339" s="201"/>
      <c r="V339" s="343"/>
      <c r="W339" s="215">
        <f t="shared" si="52"/>
        <v>42</v>
      </c>
      <c r="X339" s="208">
        <f t="shared" si="52"/>
        <v>335</v>
      </c>
      <c r="Y339" s="209"/>
      <c r="Z339" s="210"/>
      <c r="AA339" s="210"/>
      <c r="AB339" s="211"/>
      <c r="AC339" s="211"/>
      <c r="AD339" s="211"/>
      <c r="AE339" s="210"/>
      <c r="AF339" s="212"/>
      <c r="AG339" s="201"/>
      <c r="AH339" s="201" t="s">
        <v>458</v>
      </c>
      <c r="AI339" s="346">
        <v>46296</v>
      </c>
      <c r="AJ339" s="201"/>
      <c r="AK339" s="201"/>
      <c r="AL339" s="201"/>
      <c r="AM339" s="201"/>
      <c r="AN339" s="201"/>
      <c r="AO339" s="201"/>
      <c r="AP339" s="201" t="s">
        <v>458</v>
      </c>
      <c r="AQ339" s="201"/>
      <c r="AR339" s="201"/>
      <c r="AS339" s="201"/>
      <c r="AT339" s="201"/>
      <c r="AU339" s="492" t="str">
        <f t="shared" si="57"/>
        <v>Ok</v>
      </c>
      <c r="AV339" s="201"/>
      <c r="AW339" s="221">
        <f t="shared" si="54"/>
        <v>42</v>
      </c>
      <c r="AX339" s="208">
        <f t="shared" si="55"/>
        <v>335</v>
      </c>
      <c r="AY339" s="222"/>
      <c r="AZ339" s="222"/>
      <c r="BA339" s="222"/>
      <c r="BB339" s="222"/>
      <c r="BC339" s="222"/>
      <c r="BD339" s="201"/>
      <c r="BE339" s="201"/>
      <c r="BF339" s="201"/>
      <c r="BG339" s="201"/>
      <c r="BH339" s="455">
        <v>46311</v>
      </c>
      <c r="BI339" s="215">
        <f t="shared" si="53"/>
        <v>42</v>
      </c>
      <c r="BJ339" s="208">
        <f t="shared" si="53"/>
        <v>335</v>
      </c>
      <c r="BK339" s="223"/>
      <c r="BL339" s="208"/>
      <c r="BM339" s="224"/>
      <c r="BN339" s="201"/>
      <c r="BO339" s="201"/>
      <c r="BP339" s="201"/>
    </row>
    <row r="340" spans="1:68" ht="15.5">
      <c r="A340" s="141">
        <v>12</v>
      </c>
      <c r="B340" s="23">
        <v>76</v>
      </c>
      <c r="C340" s="368">
        <v>46293</v>
      </c>
      <c r="D340" s="174">
        <f t="shared" si="56"/>
        <v>-46293</v>
      </c>
      <c r="E340" s="38" t="s">
        <v>72</v>
      </c>
      <c r="F340" s="302"/>
      <c r="G340" s="303"/>
      <c r="H340" s="304">
        <v>46293</v>
      </c>
      <c r="I340" s="148">
        <v>42</v>
      </c>
      <c r="J340" s="155">
        <v>336</v>
      </c>
      <c r="K340" s="138">
        <v>7.5499999999999998E-2</v>
      </c>
      <c r="L340" s="8">
        <v>0.34250000000000003</v>
      </c>
      <c r="M340" s="366">
        <v>0.4</v>
      </c>
      <c r="N340" s="364">
        <v>32.5</v>
      </c>
      <c r="O340" s="139">
        <v>26.243749999999999</v>
      </c>
      <c r="P340" s="364">
        <v>80.75</v>
      </c>
      <c r="Q340" s="365">
        <v>0.22</v>
      </c>
      <c r="R340" s="140">
        <v>69</v>
      </c>
      <c r="S340" s="141" t="s">
        <v>584</v>
      </c>
      <c r="T340" s="141" t="s">
        <v>458</v>
      </c>
      <c r="U340" s="141"/>
      <c r="V340" s="156"/>
      <c r="W340" s="133">
        <f t="shared" si="52"/>
        <v>42</v>
      </c>
      <c r="X340" s="155">
        <f t="shared" si="52"/>
        <v>336</v>
      </c>
      <c r="Y340" s="138"/>
      <c r="Z340" s="8"/>
      <c r="AA340" s="8"/>
      <c r="AB340" s="139"/>
      <c r="AC340" s="139"/>
      <c r="AD340" s="139"/>
      <c r="AE340" s="8"/>
      <c r="AF340" s="140"/>
      <c r="AG340" s="141"/>
      <c r="AH340" s="141"/>
      <c r="AI340" s="352">
        <v>46296</v>
      </c>
      <c r="AJ340" s="141"/>
      <c r="AK340" s="141"/>
      <c r="AL340" s="141"/>
      <c r="AM340" s="141"/>
      <c r="AN340" s="141"/>
      <c r="AO340" s="141"/>
      <c r="AP340" s="141"/>
      <c r="AQ340" s="141"/>
      <c r="AR340" s="141"/>
      <c r="AS340" s="141"/>
      <c r="AT340" s="141"/>
      <c r="AU340" s="476" t="str">
        <f t="shared" si="57"/>
        <v>Ok</v>
      </c>
      <c r="AV340" s="141"/>
      <c r="AW340" s="310">
        <f t="shared" si="54"/>
        <v>42</v>
      </c>
      <c r="AX340" s="155">
        <f t="shared" si="55"/>
        <v>336</v>
      </c>
      <c r="AY340" s="311"/>
      <c r="AZ340" s="311"/>
      <c r="BA340" s="311"/>
      <c r="BB340" s="311"/>
      <c r="BC340" s="311"/>
      <c r="BD340" s="141"/>
      <c r="BE340" s="141"/>
      <c r="BF340" s="141"/>
      <c r="BG340" s="141"/>
      <c r="BH340" s="23"/>
      <c r="BI340" s="133">
        <f t="shared" si="53"/>
        <v>42</v>
      </c>
      <c r="BJ340" s="155">
        <f t="shared" si="53"/>
        <v>336</v>
      </c>
      <c r="BK340" s="312"/>
      <c r="BL340" s="155"/>
      <c r="BM340" s="200"/>
      <c r="BN340" s="141"/>
      <c r="BO340" s="141"/>
      <c r="BP340" s="141"/>
    </row>
    <row r="341" spans="1:68" ht="15.5">
      <c r="A341" s="141">
        <v>12</v>
      </c>
      <c r="B341" s="23">
        <v>76</v>
      </c>
      <c r="C341" s="368">
        <v>46293</v>
      </c>
      <c r="D341" s="174">
        <f t="shared" si="56"/>
        <v>-46293</v>
      </c>
      <c r="E341" s="38" t="s">
        <v>72</v>
      </c>
      <c r="F341" s="302"/>
      <c r="G341" s="303"/>
      <c r="H341" s="304">
        <v>46294</v>
      </c>
      <c r="I341" s="148">
        <v>43</v>
      </c>
      <c r="J341" s="155">
        <v>337</v>
      </c>
      <c r="K341" s="138">
        <v>7.1000000000000008E-2</v>
      </c>
      <c r="L341" s="8">
        <v>0.34750000000000003</v>
      </c>
      <c r="M341" s="8">
        <v>0.37</v>
      </c>
      <c r="N341" s="139">
        <v>31.75</v>
      </c>
      <c r="O341" s="139">
        <f t="shared" ref="O341:O398" si="58">N341*P341/100</f>
        <v>25.55875</v>
      </c>
      <c r="P341" s="139">
        <v>80.5</v>
      </c>
      <c r="Q341" s="30">
        <v>0.25</v>
      </c>
      <c r="R341" s="140">
        <v>60.5</v>
      </c>
      <c r="S341" s="141" t="s">
        <v>427</v>
      </c>
      <c r="T341" s="141" t="s">
        <v>458</v>
      </c>
      <c r="U341" s="141"/>
      <c r="V341" s="156"/>
      <c r="W341" s="133">
        <f t="shared" ref="W341:X404" si="59">I341</f>
        <v>43</v>
      </c>
      <c r="X341" s="155">
        <f t="shared" si="59"/>
        <v>337</v>
      </c>
      <c r="Y341" s="138"/>
      <c r="Z341" s="8"/>
      <c r="AA341" s="8"/>
      <c r="AB341" s="139"/>
      <c r="AC341" s="139"/>
      <c r="AD341" s="139"/>
      <c r="AE341" s="8"/>
      <c r="AF341" s="140"/>
      <c r="AG341" s="141"/>
      <c r="AH341" s="141"/>
      <c r="AI341" s="352">
        <v>46302</v>
      </c>
      <c r="AJ341" s="141"/>
      <c r="AK341" s="141"/>
      <c r="AL341" s="141"/>
      <c r="AM341" s="141"/>
      <c r="AN341" s="141"/>
      <c r="AO341" s="141"/>
      <c r="AP341" s="141"/>
      <c r="AQ341" s="141"/>
      <c r="AR341" s="141"/>
      <c r="AS341" s="141"/>
      <c r="AT341" s="141"/>
      <c r="AU341" s="476" t="str">
        <f t="shared" si="57"/>
        <v>Ok</v>
      </c>
      <c r="AV341" s="141"/>
      <c r="AW341" s="310">
        <f t="shared" si="54"/>
        <v>43</v>
      </c>
      <c r="AX341" s="155">
        <f t="shared" si="55"/>
        <v>337</v>
      </c>
      <c r="AY341" s="311"/>
      <c r="AZ341" s="311"/>
      <c r="BA341" s="311"/>
      <c r="BB341" s="311"/>
      <c r="BC341" s="311"/>
      <c r="BD341" s="141"/>
      <c r="BE341" s="141"/>
      <c r="BF341" s="141"/>
      <c r="BG341" s="141"/>
      <c r="BH341" s="23"/>
      <c r="BI341" s="133">
        <f t="shared" ref="BI341:BJ396" si="60">AW341</f>
        <v>43</v>
      </c>
      <c r="BJ341" s="155">
        <f t="shared" si="60"/>
        <v>337</v>
      </c>
      <c r="BK341" s="312"/>
      <c r="BL341" s="155"/>
      <c r="BM341" s="200"/>
      <c r="BN341" s="141"/>
      <c r="BO341" s="141"/>
      <c r="BP341" s="141"/>
    </row>
    <row r="342" spans="1:68" ht="15.5">
      <c r="A342" s="141">
        <v>12</v>
      </c>
      <c r="B342" s="23">
        <v>76</v>
      </c>
      <c r="C342" s="368">
        <v>46293</v>
      </c>
      <c r="D342" s="174">
        <f t="shared" si="56"/>
        <v>-46293</v>
      </c>
      <c r="E342" s="38" t="s">
        <v>72</v>
      </c>
      <c r="F342" s="302"/>
      <c r="G342" s="303"/>
      <c r="H342" s="304">
        <v>46294</v>
      </c>
      <c r="I342" s="148">
        <v>43</v>
      </c>
      <c r="J342" s="155">
        <v>338</v>
      </c>
      <c r="K342" s="138">
        <v>5.8999999999999997E-2</v>
      </c>
      <c r="L342" s="8">
        <v>0.36249999999999993</v>
      </c>
      <c r="M342" s="8">
        <v>0.31</v>
      </c>
      <c r="N342" s="139">
        <v>32</v>
      </c>
      <c r="O342" s="139">
        <f t="shared" si="58"/>
        <v>26.8</v>
      </c>
      <c r="P342" s="139">
        <v>83.75</v>
      </c>
      <c r="Q342" s="30">
        <v>0.25</v>
      </c>
      <c r="R342" s="140">
        <v>60.5</v>
      </c>
      <c r="S342" s="141" t="s">
        <v>584</v>
      </c>
      <c r="T342" s="141" t="s">
        <v>458</v>
      </c>
      <c r="U342" s="141"/>
      <c r="V342" s="156"/>
      <c r="W342" s="133">
        <f t="shared" si="59"/>
        <v>43</v>
      </c>
      <c r="X342" s="155">
        <f t="shared" si="59"/>
        <v>338</v>
      </c>
      <c r="Y342" s="138"/>
      <c r="Z342" s="8"/>
      <c r="AA342" s="8"/>
      <c r="AB342" s="139"/>
      <c r="AC342" s="139"/>
      <c r="AD342" s="139"/>
      <c r="AE342" s="8"/>
      <c r="AF342" s="140"/>
      <c r="AG342" s="141"/>
      <c r="AH342" s="141"/>
      <c r="AI342" s="352">
        <v>46302</v>
      </c>
      <c r="AJ342" s="141"/>
      <c r="AK342" s="141"/>
      <c r="AL342" s="141"/>
      <c r="AM342" s="141"/>
      <c r="AN342" s="141"/>
      <c r="AO342" s="141"/>
      <c r="AP342" s="141"/>
      <c r="AQ342" s="141"/>
      <c r="AR342" s="141"/>
      <c r="AS342" s="141"/>
      <c r="AT342" s="141"/>
      <c r="AU342" s="476" t="str">
        <f t="shared" si="57"/>
        <v>Ok</v>
      </c>
      <c r="AV342" s="141"/>
      <c r="AW342" s="310">
        <f t="shared" si="54"/>
        <v>43</v>
      </c>
      <c r="AX342" s="155">
        <f t="shared" si="55"/>
        <v>338</v>
      </c>
      <c r="AY342" s="311"/>
      <c r="AZ342" s="311"/>
      <c r="BA342" s="311"/>
      <c r="BB342" s="311"/>
      <c r="BC342" s="311"/>
      <c r="BD342" s="141"/>
      <c r="BE342" s="141"/>
      <c r="BF342" s="141"/>
      <c r="BG342" s="141"/>
      <c r="BH342" s="23"/>
      <c r="BI342" s="133">
        <f t="shared" si="60"/>
        <v>43</v>
      </c>
      <c r="BJ342" s="155">
        <f t="shared" si="60"/>
        <v>338</v>
      </c>
      <c r="BK342" s="312"/>
      <c r="BL342" s="155"/>
      <c r="BM342" s="200"/>
      <c r="BN342" s="141"/>
      <c r="BO342" s="141"/>
      <c r="BP342" s="141"/>
    </row>
    <row r="343" spans="1:68" ht="15.5">
      <c r="A343" s="483" t="s">
        <v>811</v>
      </c>
      <c r="B343" s="23" t="s">
        <v>810</v>
      </c>
      <c r="C343" s="368">
        <v>46293</v>
      </c>
      <c r="D343" s="174">
        <f t="shared" si="56"/>
        <v>-46293</v>
      </c>
      <c r="E343" s="38" t="s">
        <v>72</v>
      </c>
      <c r="F343" s="302"/>
      <c r="G343" s="303"/>
      <c r="H343" s="304">
        <v>46294</v>
      </c>
      <c r="I343" s="148">
        <v>43</v>
      </c>
      <c r="J343" s="155">
        <v>339</v>
      </c>
      <c r="K343" s="138">
        <v>9.375E-2</v>
      </c>
      <c r="L343" s="8">
        <v>0.35499999999999998</v>
      </c>
      <c r="M343" s="8">
        <v>0.16</v>
      </c>
      <c r="N343" s="139">
        <v>31</v>
      </c>
      <c r="O343" s="139">
        <f t="shared" si="58"/>
        <v>25.032499999999999</v>
      </c>
      <c r="P343" s="139">
        <v>80.75</v>
      </c>
      <c r="Q343" s="30">
        <v>0.25</v>
      </c>
      <c r="R343" s="140">
        <v>60.5</v>
      </c>
      <c r="S343" s="141" t="s">
        <v>427</v>
      </c>
      <c r="T343" s="141" t="s">
        <v>458</v>
      </c>
      <c r="U343" s="141"/>
      <c r="V343" s="156"/>
      <c r="W343" s="133">
        <f t="shared" si="59"/>
        <v>43</v>
      </c>
      <c r="X343" s="155">
        <f t="shared" si="59"/>
        <v>339</v>
      </c>
      <c r="Y343" s="138"/>
      <c r="Z343" s="8"/>
      <c r="AA343" s="8"/>
      <c r="AB343" s="139"/>
      <c r="AC343" s="139"/>
      <c r="AD343" s="139"/>
      <c r="AE343" s="8"/>
      <c r="AF343" s="140"/>
      <c r="AG343" s="141"/>
      <c r="AH343" s="141"/>
      <c r="AI343" s="352">
        <v>46296</v>
      </c>
      <c r="AJ343" s="141"/>
      <c r="AK343" s="141"/>
      <c r="AL343" s="141"/>
      <c r="AM343" s="141"/>
      <c r="AN343" s="141"/>
      <c r="AO343" s="141"/>
      <c r="AP343" s="141"/>
      <c r="AQ343" s="141"/>
      <c r="AR343" s="141"/>
      <c r="AS343" s="141"/>
      <c r="AT343" s="141"/>
      <c r="AU343" s="476" t="str">
        <f t="shared" si="57"/>
        <v>Ok</v>
      </c>
      <c r="AV343" s="141"/>
      <c r="AW343" s="310">
        <f t="shared" si="54"/>
        <v>43</v>
      </c>
      <c r="AX343" s="155">
        <f t="shared" si="55"/>
        <v>339</v>
      </c>
      <c r="AY343" s="311"/>
      <c r="AZ343" s="311"/>
      <c r="BA343" s="311"/>
      <c r="BB343" s="311"/>
      <c r="BC343" s="311"/>
      <c r="BD343" s="141"/>
      <c r="BE343" s="141"/>
      <c r="BF343" s="141"/>
      <c r="BG343" s="141"/>
      <c r="BH343" s="23"/>
      <c r="BI343" s="133">
        <f t="shared" si="60"/>
        <v>43</v>
      </c>
      <c r="BJ343" s="155">
        <f t="shared" si="60"/>
        <v>339</v>
      </c>
      <c r="BK343" s="312"/>
      <c r="BL343" s="155"/>
      <c r="BM343" s="200"/>
      <c r="BN343" s="141"/>
      <c r="BO343" s="141"/>
      <c r="BP343" s="141"/>
    </row>
    <row r="344" spans="1:68" ht="15.5">
      <c r="A344" s="367" t="s">
        <v>120</v>
      </c>
      <c r="B344" s="23">
        <v>77</v>
      </c>
      <c r="C344" s="368">
        <v>46293</v>
      </c>
      <c r="D344" s="174">
        <f t="shared" si="56"/>
        <v>-46293</v>
      </c>
      <c r="E344" s="38" t="s">
        <v>72</v>
      </c>
      <c r="F344" s="302"/>
      <c r="G344" s="303"/>
      <c r="H344" s="304">
        <v>46294</v>
      </c>
      <c r="I344" s="148">
        <v>43</v>
      </c>
      <c r="J344" s="155">
        <v>340</v>
      </c>
      <c r="K344" s="138">
        <v>0.104</v>
      </c>
      <c r="L344" s="8">
        <v>0.32750000000000001</v>
      </c>
      <c r="M344" s="8">
        <v>0.27</v>
      </c>
      <c r="N344" s="139">
        <v>35.25</v>
      </c>
      <c r="O344" s="139">
        <f t="shared" si="58"/>
        <v>28.02375</v>
      </c>
      <c r="P344" s="139">
        <v>79.5</v>
      </c>
      <c r="Q344" s="30">
        <v>0.25</v>
      </c>
      <c r="R344" s="140">
        <v>60.5</v>
      </c>
      <c r="S344" s="141" t="s">
        <v>584</v>
      </c>
      <c r="T344" s="141" t="s">
        <v>458</v>
      </c>
      <c r="U344" s="141"/>
      <c r="V344" s="156"/>
      <c r="W344" s="133">
        <f t="shared" si="59"/>
        <v>43</v>
      </c>
      <c r="X344" s="155">
        <f t="shared" si="59"/>
        <v>340</v>
      </c>
      <c r="Y344" s="138"/>
      <c r="Z344" s="8"/>
      <c r="AA344" s="8"/>
      <c r="AB344" s="139"/>
      <c r="AC344" s="139"/>
      <c r="AD344" s="139"/>
      <c r="AE344" s="8"/>
      <c r="AF344" s="140"/>
      <c r="AG344" s="141"/>
      <c r="AH344" s="141"/>
      <c r="AI344" s="352">
        <v>46296</v>
      </c>
      <c r="AJ344" s="141"/>
      <c r="AK344" s="141"/>
      <c r="AL344" s="141"/>
      <c r="AM344" s="141"/>
      <c r="AN344" s="141"/>
      <c r="AO344" s="141"/>
      <c r="AP344" s="141"/>
      <c r="AQ344" s="141"/>
      <c r="AR344" s="141"/>
      <c r="AS344" s="141"/>
      <c r="AT344" s="141"/>
      <c r="AU344" s="476" t="str">
        <f t="shared" si="57"/>
        <v>Ok</v>
      </c>
      <c r="AV344" s="141"/>
      <c r="AW344" s="310">
        <f t="shared" si="54"/>
        <v>43</v>
      </c>
      <c r="AX344" s="155">
        <f t="shared" si="55"/>
        <v>340</v>
      </c>
      <c r="AY344" s="311"/>
      <c r="AZ344" s="311"/>
      <c r="BA344" s="311"/>
      <c r="BB344" s="311"/>
      <c r="BC344" s="311"/>
      <c r="BD344" s="141"/>
      <c r="BE344" s="141"/>
      <c r="BF344" s="141"/>
      <c r="BG344" s="141"/>
      <c r="BH344" s="23"/>
      <c r="BI344" s="133">
        <f t="shared" si="60"/>
        <v>43</v>
      </c>
      <c r="BJ344" s="155">
        <f t="shared" si="60"/>
        <v>340</v>
      </c>
      <c r="BK344" s="312"/>
      <c r="BL344" s="155"/>
      <c r="BM344" s="200"/>
      <c r="BN344" s="141"/>
      <c r="BO344" s="141"/>
      <c r="BP344" s="141"/>
    </row>
    <row r="345" spans="1:68" ht="15.5">
      <c r="A345" s="367" t="s">
        <v>120</v>
      </c>
      <c r="B345" s="23">
        <v>77</v>
      </c>
      <c r="C345" s="368">
        <v>46293</v>
      </c>
      <c r="D345" s="174">
        <f t="shared" si="56"/>
        <v>-46293</v>
      </c>
      <c r="E345" s="38" t="s">
        <v>72</v>
      </c>
      <c r="F345" s="302"/>
      <c r="G345" s="303"/>
      <c r="H345" s="304">
        <v>46294</v>
      </c>
      <c r="I345" s="148">
        <v>43</v>
      </c>
      <c r="J345" s="155">
        <v>341</v>
      </c>
      <c r="K345" s="138">
        <v>9.7750000000000004E-2</v>
      </c>
      <c r="L345" s="8">
        <v>0.32750000000000001</v>
      </c>
      <c r="M345" s="8">
        <v>0.17</v>
      </c>
      <c r="N345" s="139">
        <v>37.75</v>
      </c>
      <c r="O345" s="139">
        <f t="shared" si="58"/>
        <v>30.01125</v>
      </c>
      <c r="P345" s="139">
        <v>79.5</v>
      </c>
      <c r="Q345" s="30">
        <v>0.25</v>
      </c>
      <c r="R345" s="140">
        <v>66</v>
      </c>
      <c r="S345" s="141" t="s">
        <v>584</v>
      </c>
      <c r="T345" s="141" t="s">
        <v>458</v>
      </c>
      <c r="U345" s="141"/>
      <c r="V345" s="156"/>
      <c r="W345" s="133">
        <f t="shared" si="59"/>
        <v>43</v>
      </c>
      <c r="X345" s="155">
        <f t="shared" si="59"/>
        <v>341</v>
      </c>
      <c r="Y345" s="138"/>
      <c r="Z345" s="8"/>
      <c r="AA345" s="8"/>
      <c r="AB345" s="139"/>
      <c r="AC345" s="139"/>
      <c r="AD345" s="139"/>
      <c r="AE345" s="8"/>
      <c r="AF345" s="140"/>
      <c r="AG345" s="141"/>
      <c r="AH345" s="141"/>
      <c r="AI345" s="352">
        <v>46296</v>
      </c>
      <c r="AJ345" s="141"/>
      <c r="AK345" s="141"/>
      <c r="AL345" s="141"/>
      <c r="AM345" s="141"/>
      <c r="AN345" s="141"/>
      <c r="AO345" s="141"/>
      <c r="AP345" s="141"/>
      <c r="AQ345" s="141"/>
      <c r="AR345" s="141"/>
      <c r="AS345" s="141"/>
      <c r="AT345" s="141"/>
      <c r="AU345" s="476" t="str">
        <f t="shared" si="57"/>
        <v>Ok</v>
      </c>
      <c r="AV345" s="141"/>
      <c r="AW345" s="310">
        <f t="shared" si="54"/>
        <v>43</v>
      </c>
      <c r="AX345" s="155">
        <f t="shared" si="55"/>
        <v>341</v>
      </c>
      <c r="AY345" s="311"/>
      <c r="AZ345" s="311"/>
      <c r="BA345" s="311"/>
      <c r="BB345" s="311"/>
      <c r="BC345" s="311"/>
      <c r="BD345" s="141"/>
      <c r="BE345" s="141"/>
      <c r="BF345" s="141"/>
      <c r="BG345" s="141"/>
      <c r="BH345" s="23"/>
      <c r="BI345" s="133">
        <f t="shared" si="60"/>
        <v>43</v>
      </c>
      <c r="BJ345" s="155">
        <f t="shared" si="60"/>
        <v>341</v>
      </c>
      <c r="BK345" s="312"/>
      <c r="BL345" s="155"/>
      <c r="BM345" s="200"/>
      <c r="BN345" s="141"/>
      <c r="BO345" s="141"/>
      <c r="BP345" s="141"/>
    </row>
    <row r="346" spans="1:68" ht="15.5">
      <c r="A346" s="367" t="s">
        <v>120</v>
      </c>
      <c r="B346" s="23">
        <v>77</v>
      </c>
      <c r="C346" s="368">
        <v>46293</v>
      </c>
      <c r="D346" s="174">
        <f t="shared" si="56"/>
        <v>-46293</v>
      </c>
      <c r="E346" s="38" t="s">
        <v>72</v>
      </c>
      <c r="F346" s="302"/>
      <c r="G346" s="303"/>
      <c r="H346" s="304">
        <v>46294</v>
      </c>
      <c r="I346" s="148">
        <v>43</v>
      </c>
      <c r="J346" s="155">
        <v>342</v>
      </c>
      <c r="K346" s="138">
        <v>8.5750000000000007E-2</v>
      </c>
      <c r="L346" s="8">
        <v>0.32250000000000001</v>
      </c>
      <c r="M346" s="8">
        <v>0.17</v>
      </c>
      <c r="N346" s="139">
        <v>36.25</v>
      </c>
      <c r="O346" s="139">
        <f t="shared" si="58"/>
        <v>29.271875000000001</v>
      </c>
      <c r="P346" s="139">
        <v>80.75</v>
      </c>
      <c r="Q346" s="30">
        <v>0.25</v>
      </c>
      <c r="R346" s="140">
        <v>66</v>
      </c>
      <c r="S346" s="141" t="s">
        <v>584</v>
      </c>
      <c r="T346" s="141" t="s">
        <v>458</v>
      </c>
      <c r="U346" s="141"/>
      <c r="V346" s="156"/>
      <c r="W346" s="133">
        <f t="shared" si="59"/>
        <v>43</v>
      </c>
      <c r="X346" s="155">
        <f t="shared" si="59"/>
        <v>342</v>
      </c>
      <c r="Y346" s="138"/>
      <c r="Z346" s="8"/>
      <c r="AA346" s="8"/>
      <c r="AB346" s="139"/>
      <c r="AC346" s="139"/>
      <c r="AD346" s="139"/>
      <c r="AE346" s="8"/>
      <c r="AF346" s="140"/>
      <c r="AG346" s="141"/>
      <c r="AH346" s="141"/>
      <c r="AI346" s="352">
        <v>46296</v>
      </c>
      <c r="AJ346" s="141"/>
      <c r="AK346" s="141"/>
      <c r="AL346" s="141"/>
      <c r="AM346" s="141"/>
      <c r="AN346" s="141"/>
      <c r="AO346" s="141"/>
      <c r="AP346" s="141"/>
      <c r="AQ346" s="141"/>
      <c r="AR346" s="141"/>
      <c r="AS346" s="141"/>
      <c r="AT346" s="141"/>
      <c r="AU346" s="476" t="str">
        <f t="shared" si="57"/>
        <v>Ok</v>
      </c>
      <c r="AV346" s="141"/>
      <c r="AW346" s="310">
        <f t="shared" si="54"/>
        <v>43</v>
      </c>
      <c r="AX346" s="155">
        <f t="shared" si="55"/>
        <v>342</v>
      </c>
      <c r="AY346" s="311"/>
      <c r="AZ346" s="311"/>
      <c r="BA346" s="311"/>
      <c r="BB346" s="311"/>
      <c r="BC346" s="311"/>
      <c r="BD346" s="141"/>
      <c r="BE346" s="141"/>
      <c r="BF346" s="141"/>
      <c r="BG346" s="141"/>
      <c r="BH346" s="23"/>
      <c r="BI346" s="133">
        <f t="shared" si="60"/>
        <v>43</v>
      </c>
      <c r="BJ346" s="155">
        <f t="shared" si="60"/>
        <v>342</v>
      </c>
      <c r="BK346" s="312"/>
      <c r="BL346" s="155"/>
      <c r="BM346" s="200"/>
      <c r="BN346" s="141"/>
      <c r="BO346" s="141"/>
      <c r="BP346" s="141"/>
    </row>
    <row r="347" spans="1:68" ht="15.5">
      <c r="A347" s="367" t="s">
        <v>120</v>
      </c>
      <c r="B347" s="23">
        <v>77</v>
      </c>
      <c r="C347" s="368">
        <v>46293</v>
      </c>
      <c r="D347" s="174">
        <f t="shared" si="56"/>
        <v>-46293</v>
      </c>
      <c r="E347" s="38" t="s">
        <v>72</v>
      </c>
      <c r="F347" s="302"/>
      <c r="G347" s="303"/>
      <c r="H347" s="304">
        <v>46294</v>
      </c>
      <c r="I347" s="148">
        <v>43</v>
      </c>
      <c r="J347" s="155">
        <v>343</v>
      </c>
      <c r="K347" s="138">
        <v>8.7749999999999995E-2</v>
      </c>
      <c r="L347" s="8">
        <v>0.32250000000000001</v>
      </c>
      <c r="M347" s="8">
        <v>0.24</v>
      </c>
      <c r="N347" s="139">
        <v>35.25</v>
      </c>
      <c r="O347" s="139">
        <f t="shared" si="58"/>
        <v>28.552499999999998</v>
      </c>
      <c r="P347" s="139">
        <v>81</v>
      </c>
      <c r="Q347" s="30">
        <v>0.25</v>
      </c>
      <c r="R347" s="140">
        <v>66</v>
      </c>
      <c r="S347" s="141" t="s">
        <v>584</v>
      </c>
      <c r="T347" s="141" t="s">
        <v>458</v>
      </c>
      <c r="U347" s="141"/>
      <c r="V347" s="156"/>
      <c r="W347" s="133">
        <f t="shared" si="59"/>
        <v>43</v>
      </c>
      <c r="X347" s="155">
        <f t="shared" si="59"/>
        <v>343</v>
      </c>
      <c r="Y347" s="138"/>
      <c r="Z347" s="8"/>
      <c r="AA347" s="8"/>
      <c r="AB347" s="139"/>
      <c r="AC347" s="139"/>
      <c r="AD347" s="139"/>
      <c r="AE347" s="8"/>
      <c r="AF347" s="140"/>
      <c r="AG347" s="141"/>
      <c r="AH347" s="141"/>
      <c r="AI347" s="352">
        <v>46295</v>
      </c>
      <c r="AJ347" s="141"/>
      <c r="AK347" s="141"/>
      <c r="AL347" s="141"/>
      <c r="AM347" s="141"/>
      <c r="AN347" s="141"/>
      <c r="AO347" s="141"/>
      <c r="AP347" s="141"/>
      <c r="AQ347" s="141"/>
      <c r="AR347" s="141"/>
      <c r="AS347" s="141"/>
      <c r="AT347" s="141"/>
      <c r="AU347" s="476" t="str">
        <f t="shared" si="57"/>
        <v>Ok</v>
      </c>
      <c r="AV347" s="141"/>
      <c r="AW347" s="310">
        <f t="shared" si="54"/>
        <v>43</v>
      </c>
      <c r="AX347" s="155">
        <f t="shared" si="55"/>
        <v>343</v>
      </c>
      <c r="AY347" s="311"/>
      <c r="AZ347" s="311"/>
      <c r="BA347" s="311"/>
      <c r="BB347" s="311"/>
      <c r="BC347" s="311"/>
      <c r="BD347" s="141"/>
      <c r="BE347" s="141"/>
      <c r="BF347" s="141"/>
      <c r="BG347" s="141"/>
      <c r="BH347" s="23"/>
      <c r="BI347" s="133">
        <f t="shared" si="60"/>
        <v>43</v>
      </c>
      <c r="BJ347" s="155">
        <f t="shared" si="60"/>
        <v>343</v>
      </c>
      <c r="BK347" s="312"/>
      <c r="BL347" s="155"/>
      <c r="BM347" s="200"/>
      <c r="BN347" s="141"/>
      <c r="BO347" s="141"/>
      <c r="BP347" s="141"/>
    </row>
    <row r="348" spans="1:68" ht="15.5">
      <c r="A348" s="495" t="s">
        <v>120</v>
      </c>
      <c r="B348" s="219">
        <v>77</v>
      </c>
      <c r="C348" s="496">
        <v>46293</v>
      </c>
      <c r="D348" s="491">
        <f t="shared" si="56"/>
        <v>18</v>
      </c>
      <c r="E348" s="204" t="s">
        <v>72</v>
      </c>
      <c r="F348" s="205"/>
      <c r="G348" s="206"/>
      <c r="H348" s="207">
        <v>46294</v>
      </c>
      <c r="I348" s="494">
        <v>43</v>
      </c>
      <c r="J348" s="208">
        <v>344</v>
      </c>
      <c r="K348" s="209">
        <v>9.7750000000000004E-2</v>
      </c>
      <c r="L348" s="210">
        <v>0.32500000000000001</v>
      </c>
      <c r="M348" s="210">
        <v>0.24</v>
      </c>
      <c r="N348" s="211">
        <v>36</v>
      </c>
      <c r="O348" s="211">
        <f t="shared" si="58"/>
        <v>28.71</v>
      </c>
      <c r="P348" s="211">
        <v>79.75</v>
      </c>
      <c r="Q348" s="497">
        <v>0.25</v>
      </c>
      <c r="R348" s="212">
        <v>66</v>
      </c>
      <c r="S348" s="201" t="s">
        <v>584</v>
      </c>
      <c r="T348" s="201" t="s">
        <v>458</v>
      </c>
      <c r="U348" s="201"/>
      <c r="V348" s="343"/>
      <c r="W348" s="215">
        <f t="shared" si="59"/>
        <v>43</v>
      </c>
      <c r="X348" s="208">
        <f t="shared" si="59"/>
        <v>344</v>
      </c>
      <c r="Y348" s="209"/>
      <c r="Z348" s="210"/>
      <c r="AA348" s="210"/>
      <c r="AB348" s="211"/>
      <c r="AC348" s="211"/>
      <c r="AD348" s="211"/>
      <c r="AE348" s="210"/>
      <c r="AF348" s="212"/>
      <c r="AG348" s="201"/>
      <c r="AH348" s="201" t="s">
        <v>458</v>
      </c>
      <c r="AI348" s="346">
        <v>46295</v>
      </c>
      <c r="AJ348" s="201"/>
      <c r="AK348" s="201"/>
      <c r="AL348" s="201"/>
      <c r="AM348" s="201"/>
      <c r="AN348" s="201"/>
      <c r="AO348" s="201"/>
      <c r="AP348" s="201" t="s">
        <v>458</v>
      </c>
      <c r="AQ348" s="201"/>
      <c r="AR348" s="201"/>
      <c r="AS348" s="201"/>
      <c r="AT348" s="201"/>
      <c r="AU348" s="492" t="str">
        <f t="shared" si="57"/>
        <v>Ok</v>
      </c>
      <c r="AV348" s="201"/>
      <c r="AW348" s="221">
        <f t="shared" si="54"/>
        <v>43</v>
      </c>
      <c r="AX348" s="208">
        <f t="shared" si="55"/>
        <v>344</v>
      </c>
      <c r="AY348" s="222"/>
      <c r="AZ348" s="222"/>
      <c r="BA348" s="222"/>
      <c r="BB348" s="222"/>
      <c r="BC348" s="222"/>
      <c r="BD348" s="201"/>
      <c r="BE348" s="201"/>
      <c r="BF348" s="201"/>
      <c r="BG348" s="201"/>
      <c r="BH348" s="455">
        <v>46311</v>
      </c>
      <c r="BI348" s="215">
        <f t="shared" si="60"/>
        <v>43</v>
      </c>
      <c r="BJ348" s="208">
        <f t="shared" si="60"/>
        <v>344</v>
      </c>
      <c r="BK348" s="223"/>
      <c r="BL348" s="208"/>
      <c r="BM348" s="224"/>
      <c r="BN348" s="201"/>
      <c r="BO348" s="201"/>
      <c r="BP348" s="201"/>
    </row>
    <row r="349" spans="1:68" ht="15.5">
      <c r="A349" s="495" t="s">
        <v>120</v>
      </c>
      <c r="B349" s="219">
        <v>70</v>
      </c>
      <c r="C349" s="496">
        <v>46293</v>
      </c>
      <c r="D349" s="491">
        <f t="shared" si="56"/>
        <v>18</v>
      </c>
      <c r="E349" s="204" t="s">
        <v>72</v>
      </c>
      <c r="F349" s="205"/>
      <c r="G349" s="206"/>
      <c r="H349" s="207">
        <v>46295</v>
      </c>
      <c r="I349" s="494">
        <v>44</v>
      </c>
      <c r="J349" s="208">
        <v>345</v>
      </c>
      <c r="K349" s="209">
        <v>0.129</v>
      </c>
      <c r="L349" s="210">
        <v>0.32500000000000001</v>
      </c>
      <c r="M349" s="498">
        <v>0.21</v>
      </c>
      <c r="N349" s="211">
        <v>32.25</v>
      </c>
      <c r="O349" s="211">
        <f t="shared" si="58"/>
        <v>26.203125</v>
      </c>
      <c r="P349" s="211">
        <v>81.25</v>
      </c>
      <c r="Q349" s="497">
        <v>0.21</v>
      </c>
      <c r="R349" s="212">
        <v>71</v>
      </c>
      <c r="S349" s="201" t="s">
        <v>584</v>
      </c>
      <c r="T349" s="201" t="s">
        <v>458</v>
      </c>
      <c r="U349" s="201"/>
      <c r="V349" s="343"/>
      <c r="W349" s="215">
        <f t="shared" si="59"/>
        <v>44</v>
      </c>
      <c r="X349" s="208">
        <f t="shared" si="59"/>
        <v>345</v>
      </c>
      <c r="Y349" s="209"/>
      <c r="Z349" s="210"/>
      <c r="AA349" s="210"/>
      <c r="AB349" s="211"/>
      <c r="AC349" s="211"/>
      <c r="AD349" s="211"/>
      <c r="AE349" s="210"/>
      <c r="AF349" s="212"/>
      <c r="AG349" s="201"/>
      <c r="AH349" s="201" t="s">
        <v>458</v>
      </c>
      <c r="AI349" s="346">
        <v>46295</v>
      </c>
      <c r="AJ349" s="201"/>
      <c r="AK349" s="201"/>
      <c r="AL349" s="201"/>
      <c r="AM349" s="201"/>
      <c r="AN349" s="201"/>
      <c r="AO349" s="201"/>
      <c r="AP349" s="201" t="s">
        <v>458</v>
      </c>
      <c r="AQ349" s="201"/>
      <c r="AR349" s="201"/>
      <c r="AS349" s="201"/>
      <c r="AT349" s="201"/>
      <c r="AU349" s="492" t="str">
        <f t="shared" si="57"/>
        <v>Ok</v>
      </c>
      <c r="AV349" s="201"/>
      <c r="AW349" s="221">
        <f t="shared" si="54"/>
        <v>44</v>
      </c>
      <c r="AX349" s="208">
        <f t="shared" si="55"/>
        <v>345</v>
      </c>
      <c r="AY349" s="222"/>
      <c r="AZ349" s="222"/>
      <c r="BA349" s="222"/>
      <c r="BB349" s="222"/>
      <c r="BC349" s="222"/>
      <c r="BD349" s="201"/>
      <c r="BE349" s="201"/>
      <c r="BF349" s="201"/>
      <c r="BG349" s="201"/>
      <c r="BH349" s="455">
        <v>46311</v>
      </c>
      <c r="BI349" s="215">
        <f t="shared" si="60"/>
        <v>44</v>
      </c>
      <c r="BJ349" s="208">
        <f t="shared" si="60"/>
        <v>345</v>
      </c>
      <c r="BK349" s="223"/>
      <c r="BL349" s="208"/>
      <c r="BM349" s="224"/>
      <c r="BN349" s="201"/>
      <c r="BO349" s="201"/>
      <c r="BP349" s="201"/>
    </row>
    <row r="350" spans="1:68" ht="15.5">
      <c r="A350" s="367" t="s">
        <v>120</v>
      </c>
      <c r="B350" s="23">
        <v>71</v>
      </c>
      <c r="C350" s="368">
        <v>46294</v>
      </c>
      <c r="D350" s="174">
        <f t="shared" si="56"/>
        <v>-46294</v>
      </c>
      <c r="E350" s="38" t="s">
        <v>72</v>
      </c>
      <c r="F350" s="302"/>
      <c r="G350" s="303"/>
      <c r="H350" s="304">
        <v>46295</v>
      </c>
      <c r="I350" s="148">
        <v>44</v>
      </c>
      <c r="J350" s="155">
        <v>346</v>
      </c>
      <c r="K350" s="138">
        <v>9.8250000000000004E-2</v>
      </c>
      <c r="L350" s="8">
        <v>0.30249999999999999</v>
      </c>
      <c r="M350" s="369">
        <v>0.38</v>
      </c>
      <c r="N350" s="139">
        <v>35.5</v>
      </c>
      <c r="O350" s="139">
        <f t="shared" si="58"/>
        <v>28.311250000000001</v>
      </c>
      <c r="P350" s="139">
        <v>79.75</v>
      </c>
      <c r="Q350" s="30">
        <v>0.21</v>
      </c>
      <c r="R350" s="140">
        <v>71</v>
      </c>
      <c r="S350" s="141" t="s">
        <v>584</v>
      </c>
      <c r="T350" s="141" t="s">
        <v>458</v>
      </c>
      <c r="U350" s="141"/>
      <c r="V350" s="156"/>
      <c r="W350" s="133">
        <f t="shared" si="59"/>
        <v>44</v>
      </c>
      <c r="X350" s="155">
        <f t="shared" si="59"/>
        <v>346</v>
      </c>
      <c r="Y350" s="138"/>
      <c r="Z350" s="8"/>
      <c r="AA350" s="8"/>
      <c r="AB350" s="139"/>
      <c r="AC350" s="139"/>
      <c r="AD350" s="139"/>
      <c r="AE350" s="8"/>
      <c r="AF350" s="140"/>
      <c r="AG350" s="141"/>
      <c r="AH350" s="141"/>
      <c r="AI350" s="352">
        <v>46295</v>
      </c>
      <c r="AJ350" s="141"/>
      <c r="AK350" s="141"/>
      <c r="AL350" s="141"/>
      <c r="AM350" s="141"/>
      <c r="AN350" s="141"/>
      <c r="AO350" s="141"/>
      <c r="AP350" s="141"/>
      <c r="AQ350" s="141"/>
      <c r="AR350" s="141"/>
      <c r="AS350" s="141"/>
      <c r="AT350" s="141"/>
      <c r="AU350" s="476" t="str">
        <f t="shared" si="57"/>
        <v>Ok</v>
      </c>
      <c r="AV350" s="141"/>
      <c r="AW350" s="310">
        <f t="shared" si="54"/>
        <v>44</v>
      </c>
      <c r="AX350" s="155">
        <f t="shared" si="55"/>
        <v>346</v>
      </c>
      <c r="AY350" s="311"/>
      <c r="AZ350" s="311"/>
      <c r="BA350" s="311"/>
      <c r="BB350" s="311"/>
      <c r="BC350" s="311"/>
      <c r="BD350" s="141"/>
      <c r="BE350" s="141"/>
      <c r="BF350" s="141"/>
      <c r="BG350" s="141"/>
      <c r="BH350" s="23"/>
      <c r="BI350" s="133">
        <f t="shared" si="60"/>
        <v>44</v>
      </c>
      <c r="BJ350" s="155">
        <f t="shared" si="60"/>
        <v>346</v>
      </c>
      <c r="BK350" s="312"/>
      <c r="BL350" s="155"/>
      <c r="BM350" s="200"/>
      <c r="BN350" s="141"/>
      <c r="BO350" s="141"/>
      <c r="BP350" s="141"/>
    </row>
    <row r="351" spans="1:68" ht="15.5">
      <c r="A351" s="367" t="s">
        <v>120</v>
      </c>
      <c r="B351" s="23">
        <v>71</v>
      </c>
      <c r="C351" s="368">
        <v>46294</v>
      </c>
      <c r="D351" s="174">
        <f t="shared" si="56"/>
        <v>-46294</v>
      </c>
      <c r="E351" s="38" t="s">
        <v>72</v>
      </c>
      <c r="F351" s="302"/>
      <c r="G351" s="303"/>
      <c r="H351" s="304">
        <v>46295</v>
      </c>
      <c r="I351" s="148">
        <v>44</v>
      </c>
      <c r="J351" s="155">
        <v>347</v>
      </c>
      <c r="K351" s="138">
        <v>2.8749999999999998E-2</v>
      </c>
      <c r="L351" s="8">
        <v>0.30499999999999999</v>
      </c>
      <c r="M351" s="369">
        <v>0.36</v>
      </c>
      <c r="N351" s="139">
        <v>35.25</v>
      </c>
      <c r="O351" s="139">
        <f t="shared" si="58"/>
        <v>28.552499999999998</v>
      </c>
      <c r="P351" s="139">
        <v>81</v>
      </c>
      <c r="Q351" s="30">
        <v>0.21</v>
      </c>
      <c r="R351" s="140">
        <v>71</v>
      </c>
      <c r="S351" s="141" t="s">
        <v>584</v>
      </c>
      <c r="T351" s="141" t="s">
        <v>458</v>
      </c>
      <c r="U351" s="141"/>
      <c r="V351" s="156"/>
      <c r="W351" s="133">
        <f t="shared" si="59"/>
        <v>44</v>
      </c>
      <c r="X351" s="155">
        <f t="shared" si="59"/>
        <v>347</v>
      </c>
      <c r="Y351" s="138"/>
      <c r="Z351" s="8"/>
      <c r="AA351" s="8"/>
      <c r="AB351" s="139"/>
      <c r="AC351" s="139"/>
      <c r="AD351" s="139"/>
      <c r="AE351" s="8"/>
      <c r="AF351" s="140"/>
      <c r="AG351" s="141"/>
      <c r="AH351" s="141"/>
      <c r="AI351" s="352">
        <v>46295</v>
      </c>
      <c r="AJ351" s="141"/>
      <c r="AK351" s="141"/>
      <c r="AL351" s="141"/>
      <c r="AM351" s="141"/>
      <c r="AN351" s="141"/>
      <c r="AO351" s="141"/>
      <c r="AP351" s="141"/>
      <c r="AQ351" s="141"/>
      <c r="AR351" s="141"/>
      <c r="AS351" s="141"/>
      <c r="AT351" s="141"/>
      <c r="AU351" s="476" t="str">
        <f t="shared" si="57"/>
        <v>Ok</v>
      </c>
      <c r="AV351" s="141"/>
      <c r="AW351" s="310">
        <f t="shared" si="54"/>
        <v>44</v>
      </c>
      <c r="AX351" s="155">
        <f t="shared" si="55"/>
        <v>347</v>
      </c>
      <c r="AY351" s="311"/>
      <c r="AZ351" s="311"/>
      <c r="BA351" s="311"/>
      <c r="BB351" s="311"/>
      <c r="BC351" s="311"/>
      <c r="BD351" s="141"/>
      <c r="BE351" s="141"/>
      <c r="BF351" s="141"/>
      <c r="BG351" s="141"/>
      <c r="BH351" s="23"/>
      <c r="BI351" s="133">
        <f t="shared" si="60"/>
        <v>44</v>
      </c>
      <c r="BJ351" s="155">
        <f t="shared" si="60"/>
        <v>347</v>
      </c>
      <c r="BK351" s="312"/>
      <c r="BL351" s="155"/>
      <c r="BM351" s="200"/>
      <c r="BN351" s="141"/>
      <c r="BO351" s="141"/>
      <c r="BP351" s="141"/>
    </row>
    <row r="352" spans="1:68" ht="15.5">
      <c r="A352" s="367" t="s">
        <v>120</v>
      </c>
      <c r="B352" s="23">
        <v>71</v>
      </c>
      <c r="C352" s="368">
        <v>46294</v>
      </c>
      <c r="D352" s="174">
        <f t="shared" si="56"/>
        <v>-46294</v>
      </c>
      <c r="E352" s="38" t="s">
        <v>72</v>
      </c>
      <c r="F352" s="302"/>
      <c r="G352" s="303"/>
      <c r="H352" s="304">
        <v>46295</v>
      </c>
      <c r="I352" s="148">
        <v>44</v>
      </c>
      <c r="J352" s="155">
        <v>348</v>
      </c>
      <c r="K352" s="138">
        <v>3.6750000000000005E-2</v>
      </c>
      <c r="L352" s="8">
        <v>0.32250000000000001</v>
      </c>
      <c r="M352" s="366">
        <v>0.25</v>
      </c>
      <c r="N352" s="364">
        <v>37.75</v>
      </c>
      <c r="O352" s="139">
        <f t="shared" si="58"/>
        <v>30.294374999999999</v>
      </c>
      <c r="P352" s="364">
        <v>80.25</v>
      </c>
      <c r="Q352" s="30">
        <v>0.21</v>
      </c>
      <c r="R352" s="140">
        <v>71</v>
      </c>
      <c r="S352" s="141" t="s">
        <v>584</v>
      </c>
      <c r="T352" s="141" t="s">
        <v>458</v>
      </c>
      <c r="U352" s="141"/>
      <c r="V352" s="156"/>
      <c r="W352" s="133">
        <f t="shared" si="59"/>
        <v>44</v>
      </c>
      <c r="X352" s="155">
        <f t="shared" si="59"/>
        <v>348</v>
      </c>
      <c r="Y352" s="138"/>
      <c r="Z352" s="8"/>
      <c r="AA352" s="8"/>
      <c r="AB352" s="139"/>
      <c r="AC352" s="139"/>
      <c r="AD352" s="139"/>
      <c r="AE352" s="8"/>
      <c r="AF352" s="140"/>
      <c r="AG352" s="141"/>
      <c r="AH352" s="141"/>
      <c r="AI352" s="352">
        <v>46307</v>
      </c>
      <c r="AJ352" s="141"/>
      <c r="AK352" s="311" t="s">
        <v>222</v>
      </c>
      <c r="AL352" s="141"/>
      <c r="AM352" s="141"/>
      <c r="AN352" s="141"/>
      <c r="AO352" s="141"/>
      <c r="AP352" s="141"/>
      <c r="AQ352" s="141"/>
      <c r="AR352" s="141"/>
      <c r="AS352" s="141"/>
      <c r="AT352" s="141"/>
      <c r="AU352" s="476" t="str">
        <f t="shared" si="57"/>
        <v>Ok</v>
      </c>
      <c r="AV352" s="141"/>
      <c r="AW352" s="310">
        <f t="shared" si="54"/>
        <v>44</v>
      </c>
      <c r="AX352" s="155">
        <f t="shared" si="55"/>
        <v>348</v>
      </c>
      <c r="AY352" s="311"/>
      <c r="AZ352" s="311"/>
      <c r="BA352" s="311"/>
      <c r="BB352" s="311"/>
      <c r="BC352" s="311"/>
      <c r="BD352" s="141"/>
      <c r="BE352" s="141"/>
      <c r="BF352" s="141"/>
      <c r="BG352" s="141"/>
      <c r="BH352" s="23"/>
      <c r="BI352" s="133">
        <f t="shared" si="60"/>
        <v>44</v>
      </c>
      <c r="BJ352" s="155">
        <f t="shared" si="60"/>
        <v>348</v>
      </c>
      <c r="BK352" s="312"/>
      <c r="BL352" s="155"/>
      <c r="BM352" s="200"/>
      <c r="BN352" s="141"/>
      <c r="BO352" s="141"/>
      <c r="BP352" s="141"/>
    </row>
    <row r="353" spans="1:68" ht="15.5">
      <c r="A353" s="367" t="s">
        <v>120</v>
      </c>
      <c r="B353" s="23">
        <v>72</v>
      </c>
      <c r="C353" s="370">
        <v>46303</v>
      </c>
      <c r="D353" s="174">
        <f t="shared" si="56"/>
        <v>-46303</v>
      </c>
      <c r="E353" s="38" t="s">
        <v>75</v>
      </c>
      <c r="F353" s="302"/>
      <c r="G353" s="303"/>
      <c r="H353" s="304">
        <v>46304</v>
      </c>
      <c r="I353" s="148">
        <v>44</v>
      </c>
      <c r="J353" s="155">
        <v>349</v>
      </c>
      <c r="K353" s="138">
        <v>4.4249999999999998E-2</v>
      </c>
      <c r="L353" s="8">
        <v>0.34250000000000003</v>
      </c>
      <c r="M353" s="366">
        <v>0.52</v>
      </c>
      <c r="N353" s="364">
        <v>41.5</v>
      </c>
      <c r="O353" s="139">
        <f t="shared" si="58"/>
        <v>33.71875</v>
      </c>
      <c r="P353" s="364">
        <v>81.25</v>
      </c>
      <c r="Q353" s="30">
        <v>0.21</v>
      </c>
      <c r="R353" s="140">
        <v>77</v>
      </c>
      <c r="S353" s="141" t="s">
        <v>427</v>
      </c>
      <c r="T353" s="141" t="s">
        <v>458</v>
      </c>
      <c r="U353" s="141"/>
      <c r="V353" s="156"/>
      <c r="W353" s="133">
        <f t="shared" si="59"/>
        <v>44</v>
      </c>
      <c r="X353" s="155">
        <f t="shared" si="59"/>
        <v>349</v>
      </c>
      <c r="Y353" s="138"/>
      <c r="Z353" s="8"/>
      <c r="AA353" s="8"/>
      <c r="AB353" s="139"/>
      <c r="AC353" s="139"/>
      <c r="AD353" s="139"/>
      <c r="AE353" s="8"/>
      <c r="AF353" s="140"/>
      <c r="AG353" s="141"/>
      <c r="AH353" s="141"/>
      <c r="AI353" s="352">
        <v>46307</v>
      </c>
      <c r="AJ353" s="141"/>
      <c r="AK353" s="311" t="s">
        <v>222</v>
      </c>
      <c r="AL353" s="141"/>
      <c r="AM353" s="141"/>
      <c r="AN353" s="141"/>
      <c r="AO353" s="141"/>
      <c r="AP353" s="141"/>
      <c r="AQ353" s="141"/>
      <c r="AR353" s="141"/>
      <c r="AS353" s="141"/>
      <c r="AT353" s="141"/>
      <c r="AU353" s="476" t="str">
        <f t="shared" si="57"/>
        <v>Ok</v>
      </c>
      <c r="AV353" s="141"/>
      <c r="AW353" s="310">
        <f t="shared" si="54"/>
        <v>44</v>
      </c>
      <c r="AX353" s="155">
        <f t="shared" si="55"/>
        <v>349</v>
      </c>
      <c r="AY353" s="311"/>
      <c r="AZ353" s="311"/>
      <c r="BA353" s="311"/>
      <c r="BB353" s="311"/>
      <c r="BC353" s="311"/>
      <c r="BD353" s="141"/>
      <c r="BE353" s="141"/>
      <c r="BF353" s="141"/>
      <c r="BG353" s="141"/>
      <c r="BH353" s="23"/>
      <c r="BI353" s="133">
        <f t="shared" si="60"/>
        <v>44</v>
      </c>
      <c r="BJ353" s="155">
        <f t="shared" si="60"/>
        <v>349</v>
      </c>
      <c r="BK353" s="312"/>
      <c r="BL353" s="155"/>
      <c r="BM353" s="200"/>
      <c r="BN353" s="141"/>
      <c r="BO353" s="141"/>
      <c r="BP353" s="141"/>
    </row>
    <row r="354" spans="1:68" ht="15.5">
      <c r="A354" s="367" t="s">
        <v>120</v>
      </c>
      <c r="B354" s="23">
        <v>73</v>
      </c>
      <c r="C354" s="370">
        <v>46304</v>
      </c>
      <c r="D354" s="174">
        <f t="shared" si="56"/>
        <v>-46304</v>
      </c>
      <c r="E354" s="38" t="s">
        <v>75</v>
      </c>
      <c r="F354" s="302"/>
      <c r="G354" s="303"/>
      <c r="H354" s="304">
        <v>46305</v>
      </c>
      <c r="I354" s="148">
        <v>44</v>
      </c>
      <c r="J354" s="155">
        <v>350</v>
      </c>
      <c r="K354" s="138">
        <v>4.0250000000000001E-2</v>
      </c>
      <c r="L354" s="8">
        <v>0.31</v>
      </c>
      <c r="M354" s="366">
        <v>0.45</v>
      </c>
      <c r="N354" s="364">
        <v>42.75</v>
      </c>
      <c r="O354" s="139">
        <f t="shared" si="58"/>
        <v>34.306874999999998</v>
      </c>
      <c r="P354" s="364">
        <v>80.25</v>
      </c>
      <c r="Q354" s="30">
        <v>0.21</v>
      </c>
      <c r="R354" s="140">
        <v>77</v>
      </c>
      <c r="S354" s="141" t="s">
        <v>427</v>
      </c>
      <c r="T354" s="141" t="s">
        <v>458</v>
      </c>
      <c r="U354" s="141"/>
      <c r="V354" s="156"/>
      <c r="W354" s="133">
        <f t="shared" si="59"/>
        <v>44</v>
      </c>
      <c r="X354" s="155">
        <f t="shared" si="59"/>
        <v>350</v>
      </c>
      <c r="Y354" s="138"/>
      <c r="Z354" s="8"/>
      <c r="AA354" s="8"/>
      <c r="AB354" s="139"/>
      <c r="AC354" s="139"/>
      <c r="AD354" s="139"/>
      <c r="AE354" s="8"/>
      <c r="AF354" s="140"/>
      <c r="AG354" s="141"/>
      <c r="AH354" s="141"/>
      <c r="AI354" s="352">
        <v>46307</v>
      </c>
      <c r="AJ354" s="141"/>
      <c r="AK354" s="311" t="s">
        <v>222</v>
      </c>
      <c r="AL354" s="141"/>
      <c r="AM354" s="141"/>
      <c r="AN354" s="141"/>
      <c r="AO354" s="141"/>
      <c r="AP354" s="141"/>
      <c r="AQ354" s="141"/>
      <c r="AR354" s="141"/>
      <c r="AS354" s="141"/>
      <c r="AT354" s="141"/>
      <c r="AU354" s="476" t="str">
        <f t="shared" si="57"/>
        <v>Ok</v>
      </c>
      <c r="AV354" s="141"/>
      <c r="AW354" s="310">
        <f t="shared" si="54"/>
        <v>44</v>
      </c>
      <c r="AX354" s="155">
        <f t="shared" si="55"/>
        <v>350</v>
      </c>
      <c r="AY354" s="311"/>
      <c r="AZ354" s="311"/>
      <c r="BA354" s="311"/>
      <c r="BB354" s="311"/>
      <c r="BC354" s="311"/>
      <c r="BD354" s="141"/>
      <c r="BE354" s="141"/>
      <c r="BF354" s="141"/>
      <c r="BG354" s="141"/>
      <c r="BH354" s="23"/>
      <c r="BI354" s="133">
        <f t="shared" si="60"/>
        <v>44</v>
      </c>
      <c r="BJ354" s="155">
        <f t="shared" si="60"/>
        <v>350</v>
      </c>
      <c r="BK354" s="312"/>
      <c r="BL354" s="155"/>
      <c r="BM354" s="200"/>
      <c r="BN354" s="141"/>
      <c r="BO354" s="141"/>
      <c r="BP354" s="141"/>
    </row>
    <row r="355" spans="1:68" ht="15.5">
      <c r="A355" s="367" t="s">
        <v>120</v>
      </c>
      <c r="B355" s="23">
        <v>73</v>
      </c>
      <c r="C355" s="370">
        <v>46304</v>
      </c>
      <c r="D355" s="174">
        <f t="shared" si="56"/>
        <v>-46304</v>
      </c>
      <c r="E355" s="38" t="s">
        <v>75</v>
      </c>
      <c r="F355" s="302"/>
      <c r="G355" s="303"/>
      <c r="H355" s="304">
        <v>46305</v>
      </c>
      <c r="I355" s="148">
        <v>44</v>
      </c>
      <c r="J355" s="155">
        <v>351</v>
      </c>
      <c r="K355" s="138">
        <v>8.1749999999999989E-2</v>
      </c>
      <c r="L355" s="8">
        <v>0.36</v>
      </c>
      <c r="M355" s="366">
        <v>0.34</v>
      </c>
      <c r="N355" s="364">
        <v>40.5</v>
      </c>
      <c r="O355" s="139">
        <f t="shared" si="58"/>
        <v>31.59</v>
      </c>
      <c r="P355" s="364">
        <v>78</v>
      </c>
      <c r="Q355" s="30">
        <v>0.21</v>
      </c>
      <c r="R355" s="140">
        <v>77</v>
      </c>
      <c r="S355" s="141" t="s">
        <v>427</v>
      </c>
      <c r="T355" s="141" t="s">
        <v>458</v>
      </c>
      <c r="U355" s="141"/>
      <c r="V355" s="156"/>
      <c r="W355" s="133">
        <f t="shared" si="59"/>
        <v>44</v>
      </c>
      <c r="X355" s="155">
        <f t="shared" si="59"/>
        <v>351</v>
      </c>
      <c r="Y355" s="138"/>
      <c r="Z355" s="8"/>
      <c r="AA355" s="8"/>
      <c r="AB355" s="139"/>
      <c r="AC355" s="139"/>
      <c r="AD355" s="139"/>
      <c r="AE355" s="8"/>
      <c r="AF355" s="140"/>
      <c r="AG355" s="141"/>
      <c r="AH355" s="141"/>
      <c r="AI355" s="352">
        <v>46307</v>
      </c>
      <c r="AJ355" s="141"/>
      <c r="AK355" s="311" t="s">
        <v>222</v>
      </c>
      <c r="AL355" s="141"/>
      <c r="AM355" s="141"/>
      <c r="AN355" s="141"/>
      <c r="AO355" s="141"/>
      <c r="AP355" s="141"/>
      <c r="AQ355" s="141"/>
      <c r="AR355" s="141"/>
      <c r="AS355" s="141"/>
      <c r="AT355" s="141"/>
      <c r="AU355" s="476" t="str">
        <f t="shared" si="57"/>
        <v>Ok</v>
      </c>
      <c r="AV355" s="141"/>
      <c r="AW355" s="310">
        <f t="shared" si="54"/>
        <v>44</v>
      </c>
      <c r="AX355" s="155">
        <f t="shared" si="55"/>
        <v>351</v>
      </c>
      <c r="AY355" s="311"/>
      <c r="AZ355" s="311"/>
      <c r="BA355" s="311"/>
      <c r="BB355" s="311"/>
      <c r="BC355" s="311"/>
      <c r="BD355" s="141"/>
      <c r="BE355" s="141"/>
      <c r="BF355" s="141"/>
      <c r="BG355" s="141"/>
      <c r="BH355" s="23"/>
      <c r="BI355" s="133">
        <f t="shared" si="60"/>
        <v>44</v>
      </c>
      <c r="BJ355" s="155">
        <f t="shared" si="60"/>
        <v>351</v>
      </c>
      <c r="BK355" s="312"/>
      <c r="BL355" s="155"/>
      <c r="BM355" s="200"/>
      <c r="BN355" s="141"/>
      <c r="BO355" s="141"/>
      <c r="BP355" s="141"/>
    </row>
    <row r="356" spans="1:68" ht="15.5">
      <c r="A356" s="495" t="s">
        <v>120</v>
      </c>
      <c r="B356" s="219">
        <v>73</v>
      </c>
      <c r="C356" s="353">
        <v>46304</v>
      </c>
      <c r="D356" s="491">
        <f t="shared" si="56"/>
        <v>7</v>
      </c>
      <c r="E356" s="204" t="s">
        <v>75</v>
      </c>
      <c r="F356" s="205"/>
      <c r="G356" s="206"/>
      <c r="H356" s="207">
        <v>46305</v>
      </c>
      <c r="I356" s="494">
        <v>44</v>
      </c>
      <c r="J356" s="208">
        <v>352</v>
      </c>
      <c r="K356" s="209">
        <v>3.4250000000000003E-2</v>
      </c>
      <c r="L356" s="210">
        <v>0.32250000000000001</v>
      </c>
      <c r="M356" s="354">
        <v>0.27</v>
      </c>
      <c r="N356" s="355">
        <v>40.5</v>
      </c>
      <c r="O356" s="211">
        <f t="shared" si="58"/>
        <v>31.387499999999999</v>
      </c>
      <c r="P356" s="355">
        <v>77.5</v>
      </c>
      <c r="Q356" s="497">
        <v>0.21</v>
      </c>
      <c r="R356" s="212">
        <v>77</v>
      </c>
      <c r="S356" s="201" t="s">
        <v>427</v>
      </c>
      <c r="T356" s="201" t="s">
        <v>458</v>
      </c>
      <c r="U356" s="201"/>
      <c r="V356" s="343"/>
      <c r="W356" s="215">
        <f t="shared" si="59"/>
        <v>44</v>
      </c>
      <c r="X356" s="208">
        <f t="shared" si="59"/>
        <v>352</v>
      </c>
      <c r="Y356" s="209"/>
      <c r="Z356" s="210"/>
      <c r="AA356" s="210"/>
      <c r="AB356" s="211"/>
      <c r="AC356" s="211"/>
      <c r="AD356" s="211"/>
      <c r="AE356" s="210"/>
      <c r="AF356" s="212"/>
      <c r="AG356" s="201"/>
      <c r="AH356" s="201" t="s">
        <v>458</v>
      </c>
      <c r="AI356" s="346">
        <v>46307</v>
      </c>
      <c r="AJ356" s="201"/>
      <c r="AK356" s="201"/>
      <c r="AL356" s="201"/>
      <c r="AM356" s="201"/>
      <c r="AN356" s="201"/>
      <c r="AO356" s="201"/>
      <c r="AP356" s="201" t="s">
        <v>458</v>
      </c>
      <c r="AQ356" s="201"/>
      <c r="AR356" s="201"/>
      <c r="AS356" s="201"/>
      <c r="AT356" s="201"/>
      <c r="AU356" s="492" t="str">
        <f t="shared" si="57"/>
        <v>Ok</v>
      </c>
      <c r="AV356" s="201"/>
      <c r="AW356" s="221">
        <f t="shared" si="54"/>
        <v>44</v>
      </c>
      <c r="AX356" s="208">
        <f t="shared" si="55"/>
        <v>352</v>
      </c>
      <c r="AY356" s="222"/>
      <c r="AZ356" s="222"/>
      <c r="BA356" s="222"/>
      <c r="BB356" s="222"/>
      <c r="BC356" s="222"/>
      <c r="BD356" s="201"/>
      <c r="BE356" s="201"/>
      <c r="BF356" s="201"/>
      <c r="BG356" s="201"/>
      <c r="BH356" s="455">
        <v>46311</v>
      </c>
      <c r="BI356" s="215">
        <f t="shared" si="60"/>
        <v>44</v>
      </c>
      <c r="BJ356" s="208">
        <f t="shared" si="60"/>
        <v>352</v>
      </c>
      <c r="BK356" s="223"/>
      <c r="BL356" s="208"/>
      <c r="BM356" s="224"/>
      <c r="BN356" s="201"/>
      <c r="BO356" s="201"/>
      <c r="BP356" s="201"/>
    </row>
    <row r="357" spans="1:68" ht="15.5">
      <c r="A357" s="201" t="s">
        <v>120</v>
      </c>
      <c r="B357" s="219">
        <v>73</v>
      </c>
      <c r="C357" s="353">
        <v>46304</v>
      </c>
      <c r="D357" s="491">
        <f t="shared" si="56"/>
        <v>7</v>
      </c>
      <c r="E357" s="204" t="s">
        <v>75</v>
      </c>
      <c r="F357" s="205"/>
      <c r="G357" s="206"/>
      <c r="H357" s="207">
        <v>46305</v>
      </c>
      <c r="I357" s="494">
        <v>45</v>
      </c>
      <c r="J357" s="208">
        <v>353</v>
      </c>
      <c r="K357" s="209">
        <v>3.7500000000000006E-2</v>
      </c>
      <c r="L357" s="210">
        <v>0.25750000000000001</v>
      </c>
      <c r="M357" s="354">
        <v>0.23</v>
      </c>
      <c r="N357" s="355">
        <v>39</v>
      </c>
      <c r="O357" s="211">
        <f t="shared" si="58"/>
        <v>30.42</v>
      </c>
      <c r="P357" s="355">
        <v>78</v>
      </c>
      <c r="Q357" s="497">
        <v>0.21</v>
      </c>
      <c r="R357" s="212">
        <v>78.5</v>
      </c>
      <c r="S357" s="201" t="s">
        <v>427</v>
      </c>
      <c r="T357" s="201" t="s">
        <v>458</v>
      </c>
      <c r="U357" s="201"/>
      <c r="V357" s="343"/>
      <c r="W357" s="215">
        <f t="shared" si="59"/>
        <v>45</v>
      </c>
      <c r="X357" s="208">
        <f t="shared" si="59"/>
        <v>353</v>
      </c>
      <c r="Y357" s="209"/>
      <c r="Z357" s="210"/>
      <c r="AA357" s="210"/>
      <c r="AB357" s="211"/>
      <c r="AC357" s="211"/>
      <c r="AD357" s="211"/>
      <c r="AE357" s="210"/>
      <c r="AF357" s="212"/>
      <c r="AG357" s="201"/>
      <c r="AH357" s="201" t="s">
        <v>458</v>
      </c>
      <c r="AI357" s="346">
        <v>46307</v>
      </c>
      <c r="AJ357" s="201"/>
      <c r="AK357" s="201"/>
      <c r="AL357" s="201"/>
      <c r="AM357" s="201"/>
      <c r="AN357" s="201"/>
      <c r="AO357" s="201"/>
      <c r="AP357" s="201" t="s">
        <v>458</v>
      </c>
      <c r="AQ357" s="201"/>
      <c r="AR357" s="201"/>
      <c r="AS357" s="201"/>
      <c r="AT357" s="201"/>
      <c r="AU357" s="492" t="str">
        <f t="shared" si="57"/>
        <v>Ok</v>
      </c>
      <c r="AV357" s="201"/>
      <c r="AW357" s="221">
        <f t="shared" si="54"/>
        <v>45</v>
      </c>
      <c r="AX357" s="208">
        <f t="shared" si="55"/>
        <v>353</v>
      </c>
      <c r="AY357" s="222"/>
      <c r="AZ357" s="222"/>
      <c r="BA357" s="222"/>
      <c r="BB357" s="222"/>
      <c r="BC357" s="222"/>
      <c r="BD357" s="201"/>
      <c r="BE357" s="201"/>
      <c r="BF357" s="201"/>
      <c r="BG357" s="201"/>
      <c r="BH357" s="455">
        <v>46311</v>
      </c>
      <c r="BI357" s="215">
        <f t="shared" si="60"/>
        <v>45</v>
      </c>
      <c r="BJ357" s="208">
        <f t="shared" si="60"/>
        <v>353</v>
      </c>
      <c r="BK357" s="223"/>
      <c r="BL357" s="208"/>
      <c r="BM357" s="224"/>
      <c r="BN357" s="201"/>
      <c r="BO357" s="201"/>
      <c r="BP357" s="201"/>
    </row>
    <row r="358" spans="1:68" ht="15.5">
      <c r="A358" s="201" t="s">
        <v>120</v>
      </c>
      <c r="B358" s="219">
        <v>73</v>
      </c>
      <c r="C358" s="353">
        <v>46304</v>
      </c>
      <c r="D358" s="491">
        <f t="shared" si="56"/>
        <v>7</v>
      </c>
      <c r="E358" s="204" t="s">
        <v>75</v>
      </c>
      <c r="F358" s="205"/>
      <c r="G358" s="206"/>
      <c r="H358" s="207">
        <v>46305</v>
      </c>
      <c r="I358" s="494">
        <v>45</v>
      </c>
      <c r="J358" s="208">
        <v>354</v>
      </c>
      <c r="K358" s="209">
        <v>6.3750000000000001E-2</v>
      </c>
      <c r="L358" s="210">
        <v>0.36749999999999994</v>
      </c>
      <c r="M358" s="354">
        <v>0.15</v>
      </c>
      <c r="N358" s="355">
        <v>38.75</v>
      </c>
      <c r="O358" s="211">
        <f t="shared" si="58"/>
        <v>30.418749999999999</v>
      </c>
      <c r="P358" s="355">
        <v>78.5</v>
      </c>
      <c r="Q358" s="497">
        <v>0.21</v>
      </c>
      <c r="R358" s="212">
        <v>78.5</v>
      </c>
      <c r="S358" s="201" t="s">
        <v>427</v>
      </c>
      <c r="T358" s="201" t="s">
        <v>458</v>
      </c>
      <c r="U358" s="201"/>
      <c r="V358" s="343"/>
      <c r="W358" s="215">
        <f t="shared" si="59"/>
        <v>45</v>
      </c>
      <c r="X358" s="208">
        <f t="shared" si="59"/>
        <v>354</v>
      </c>
      <c r="Y358" s="209"/>
      <c r="Z358" s="210"/>
      <c r="AA358" s="210"/>
      <c r="AB358" s="211"/>
      <c r="AC358" s="211"/>
      <c r="AD358" s="211"/>
      <c r="AE358" s="210"/>
      <c r="AF358" s="212"/>
      <c r="AG358" s="201"/>
      <c r="AH358" s="201" t="s">
        <v>458</v>
      </c>
      <c r="AI358" s="346">
        <v>46307</v>
      </c>
      <c r="AJ358" s="201"/>
      <c r="AK358" s="201"/>
      <c r="AL358" s="201"/>
      <c r="AM358" s="201"/>
      <c r="AN358" s="201"/>
      <c r="AO358" s="201"/>
      <c r="AP358" s="201" t="s">
        <v>458</v>
      </c>
      <c r="AQ358" s="201"/>
      <c r="AR358" s="201"/>
      <c r="AS358" s="201"/>
      <c r="AT358" s="201"/>
      <c r="AU358" s="492" t="str">
        <f t="shared" si="57"/>
        <v>Ok</v>
      </c>
      <c r="AV358" s="201"/>
      <c r="AW358" s="221">
        <f t="shared" si="54"/>
        <v>45</v>
      </c>
      <c r="AX358" s="208">
        <f t="shared" si="55"/>
        <v>354</v>
      </c>
      <c r="AY358" s="222"/>
      <c r="AZ358" s="222"/>
      <c r="BA358" s="222"/>
      <c r="BB358" s="222"/>
      <c r="BC358" s="222"/>
      <c r="BD358" s="201"/>
      <c r="BE358" s="201"/>
      <c r="BF358" s="201"/>
      <c r="BG358" s="201"/>
      <c r="BH358" s="455">
        <v>46311</v>
      </c>
      <c r="BI358" s="215">
        <f t="shared" si="60"/>
        <v>45</v>
      </c>
      <c r="BJ358" s="208">
        <f t="shared" si="60"/>
        <v>354</v>
      </c>
      <c r="BK358" s="223"/>
      <c r="BL358" s="208"/>
      <c r="BM358" s="224"/>
      <c r="BN358" s="201"/>
      <c r="BO358" s="201"/>
      <c r="BP358" s="201"/>
    </row>
    <row r="359" spans="1:68" ht="15.5">
      <c r="A359" s="141" t="s">
        <v>120</v>
      </c>
      <c r="B359" s="23">
        <v>74</v>
      </c>
      <c r="C359" s="370">
        <v>46307</v>
      </c>
      <c r="D359" s="174">
        <f t="shared" si="56"/>
        <v>-46307</v>
      </c>
      <c r="E359" s="38" t="s">
        <v>75</v>
      </c>
      <c r="F359" s="302"/>
      <c r="G359" s="303"/>
      <c r="H359" s="304">
        <v>46308</v>
      </c>
      <c r="I359" s="148">
        <v>45</v>
      </c>
      <c r="J359" s="155">
        <v>355</v>
      </c>
      <c r="K359" s="138">
        <v>0.10425</v>
      </c>
      <c r="L359" s="8">
        <v>0.32500000000000001</v>
      </c>
      <c r="M359" s="366">
        <v>0.28000000000000003</v>
      </c>
      <c r="N359" s="364">
        <v>38.5</v>
      </c>
      <c r="O359" s="139">
        <f t="shared" si="58"/>
        <v>30.703749999999999</v>
      </c>
      <c r="P359" s="364">
        <v>79.75</v>
      </c>
      <c r="Q359" s="30">
        <v>0.21</v>
      </c>
      <c r="R359" s="140">
        <v>78.5</v>
      </c>
      <c r="S359" s="141" t="s">
        <v>427</v>
      </c>
      <c r="T359" s="141" t="s">
        <v>458</v>
      </c>
      <c r="U359" s="141"/>
      <c r="V359" s="156"/>
      <c r="W359" s="133">
        <f t="shared" si="59"/>
        <v>45</v>
      </c>
      <c r="X359" s="155">
        <f t="shared" si="59"/>
        <v>355</v>
      </c>
      <c r="Y359" s="138"/>
      <c r="Z359" s="8"/>
      <c r="AA359" s="8"/>
      <c r="AB359" s="139"/>
      <c r="AC359" s="139"/>
      <c r="AD359" s="139"/>
      <c r="AE359" s="8"/>
      <c r="AF359" s="140"/>
      <c r="AG359" s="141"/>
      <c r="AH359" s="141"/>
      <c r="AI359" s="352">
        <v>46309</v>
      </c>
      <c r="AJ359" s="141"/>
      <c r="AK359" s="141"/>
      <c r="AL359" s="141"/>
      <c r="AM359" s="141"/>
      <c r="AN359" s="141"/>
      <c r="AO359" s="141"/>
      <c r="AP359" s="141"/>
      <c r="AQ359" s="141"/>
      <c r="AR359" s="141"/>
      <c r="AS359" s="141"/>
      <c r="AT359" s="141"/>
      <c r="AU359" s="23"/>
      <c r="AV359" s="141"/>
      <c r="AW359" s="310">
        <f t="shared" si="54"/>
        <v>45</v>
      </c>
      <c r="AX359" s="155">
        <f t="shared" si="55"/>
        <v>355</v>
      </c>
      <c r="AY359" s="311"/>
      <c r="AZ359" s="311"/>
      <c r="BA359" s="311"/>
      <c r="BB359" s="311"/>
      <c r="BC359" s="311"/>
      <c r="BD359" s="141"/>
      <c r="BE359" s="141"/>
      <c r="BF359" s="141"/>
      <c r="BG359" s="141"/>
      <c r="BH359" s="23"/>
      <c r="BI359" s="133">
        <f t="shared" si="60"/>
        <v>45</v>
      </c>
      <c r="BJ359" s="155">
        <f t="shared" si="60"/>
        <v>355</v>
      </c>
      <c r="BK359" s="312"/>
      <c r="BL359" s="155"/>
      <c r="BM359" s="200"/>
      <c r="BN359" s="141"/>
      <c r="BO359" s="141"/>
      <c r="BP359" s="141"/>
    </row>
    <row r="360" spans="1:68" ht="15.5">
      <c r="A360" s="141" t="s">
        <v>120</v>
      </c>
      <c r="B360" s="23">
        <v>74</v>
      </c>
      <c r="C360" s="370">
        <v>46307</v>
      </c>
      <c r="D360" s="174">
        <f t="shared" si="56"/>
        <v>-46307</v>
      </c>
      <c r="E360" s="38" t="s">
        <v>75</v>
      </c>
      <c r="F360" s="302"/>
      <c r="G360" s="303"/>
      <c r="H360" s="304">
        <v>46308</v>
      </c>
      <c r="I360" s="148">
        <v>45</v>
      </c>
      <c r="J360" s="155">
        <v>356</v>
      </c>
      <c r="K360" s="138">
        <v>6.7750000000000005E-2</v>
      </c>
      <c r="L360" s="8">
        <v>0.33750000000000002</v>
      </c>
      <c r="M360" s="366">
        <v>0.44</v>
      </c>
      <c r="N360" s="364">
        <v>39</v>
      </c>
      <c r="O360" s="139">
        <f t="shared" si="58"/>
        <v>30.225000000000001</v>
      </c>
      <c r="P360" s="364">
        <v>77.5</v>
      </c>
      <c r="Q360" s="30">
        <v>0.21</v>
      </c>
      <c r="R360" s="140">
        <v>78.5</v>
      </c>
      <c r="S360" s="141" t="s">
        <v>427</v>
      </c>
      <c r="T360" s="141" t="s">
        <v>458</v>
      </c>
      <c r="U360" s="141"/>
      <c r="V360" s="156"/>
      <c r="W360" s="133">
        <f t="shared" si="59"/>
        <v>45</v>
      </c>
      <c r="X360" s="155">
        <f t="shared" si="59"/>
        <v>356</v>
      </c>
      <c r="Y360" s="138"/>
      <c r="Z360" s="8"/>
      <c r="AA360" s="8"/>
      <c r="AB360" s="139"/>
      <c r="AC360" s="139"/>
      <c r="AD360" s="139"/>
      <c r="AE360" s="8"/>
      <c r="AF360" s="140"/>
      <c r="AG360" s="141"/>
      <c r="AH360" s="141"/>
      <c r="AI360" s="352">
        <v>46309</v>
      </c>
      <c r="AJ360" s="141"/>
      <c r="AK360" s="141"/>
      <c r="AL360" s="141"/>
      <c r="AM360" s="141"/>
      <c r="AN360" s="141"/>
      <c r="AO360" s="141"/>
      <c r="AP360" s="141"/>
      <c r="AQ360" s="141"/>
      <c r="AR360" s="141"/>
      <c r="AS360" s="141"/>
      <c r="AT360" s="141"/>
      <c r="AU360" s="23"/>
      <c r="AV360" s="141"/>
      <c r="AW360" s="310">
        <f t="shared" si="54"/>
        <v>45</v>
      </c>
      <c r="AX360" s="155">
        <f t="shared" si="55"/>
        <v>356</v>
      </c>
      <c r="AY360" s="311"/>
      <c r="AZ360" s="311"/>
      <c r="BA360" s="311"/>
      <c r="BB360" s="311"/>
      <c r="BC360" s="311"/>
      <c r="BD360" s="141"/>
      <c r="BE360" s="141"/>
      <c r="BF360" s="141"/>
      <c r="BG360" s="141"/>
      <c r="BH360" s="23"/>
      <c r="BI360" s="133">
        <f t="shared" si="60"/>
        <v>45</v>
      </c>
      <c r="BJ360" s="155">
        <f t="shared" si="60"/>
        <v>356</v>
      </c>
      <c r="BK360" s="312"/>
      <c r="BL360" s="155"/>
      <c r="BM360" s="200"/>
      <c r="BN360" s="141"/>
      <c r="BO360" s="141"/>
      <c r="BP360" s="141"/>
    </row>
    <row r="361" spans="1:68" ht="15.5">
      <c r="A361" s="141" t="s">
        <v>120</v>
      </c>
      <c r="B361" s="23">
        <v>74</v>
      </c>
      <c r="C361" s="370">
        <v>46307</v>
      </c>
      <c r="D361" s="174">
        <f t="shared" si="56"/>
        <v>-46307</v>
      </c>
      <c r="E361" s="38" t="s">
        <v>75</v>
      </c>
      <c r="F361" s="302"/>
      <c r="G361" s="303"/>
      <c r="H361" s="304">
        <v>46308</v>
      </c>
      <c r="I361" s="148">
        <v>45</v>
      </c>
      <c r="J361" s="155">
        <v>357</v>
      </c>
      <c r="K361" s="138">
        <v>3.875E-2</v>
      </c>
      <c r="L361" s="8">
        <v>0.3</v>
      </c>
      <c r="M361" s="366">
        <v>0.26</v>
      </c>
      <c r="N361" s="364">
        <v>37.75</v>
      </c>
      <c r="O361" s="139">
        <f t="shared" si="58"/>
        <v>29.633749999999999</v>
      </c>
      <c r="P361" s="364">
        <v>78.5</v>
      </c>
      <c r="Q361" s="30">
        <v>0.21</v>
      </c>
      <c r="R361" s="140">
        <v>75.5</v>
      </c>
      <c r="S361" s="141" t="s">
        <v>584</v>
      </c>
      <c r="T361" s="141" t="s">
        <v>458</v>
      </c>
      <c r="U361" s="141"/>
      <c r="V361" s="156"/>
      <c r="W361" s="133">
        <f t="shared" si="59"/>
        <v>45</v>
      </c>
      <c r="X361" s="155">
        <f t="shared" si="59"/>
        <v>357</v>
      </c>
      <c r="Y361" s="138"/>
      <c r="Z361" s="8"/>
      <c r="AA361" s="8"/>
      <c r="AB361" s="139"/>
      <c r="AC361" s="139"/>
      <c r="AD361" s="139"/>
      <c r="AE361" s="8"/>
      <c r="AF361" s="140"/>
      <c r="AG361" s="141"/>
      <c r="AH361" s="141"/>
      <c r="AI361" s="352">
        <v>46309</v>
      </c>
      <c r="AJ361" s="141"/>
      <c r="AK361" s="141"/>
      <c r="AL361" s="141"/>
      <c r="AM361" s="141"/>
      <c r="AN361" s="141"/>
      <c r="AO361" s="141"/>
      <c r="AP361" s="141"/>
      <c r="AQ361" s="141"/>
      <c r="AR361" s="141"/>
      <c r="AS361" s="141"/>
      <c r="AT361" s="141"/>
      <c r="AU361" s="23"/>
      <c r="AV361" s="141"/>
      <c r="AW361" s="310">
        <f t="shared" si="54"/>
        <v>45</v>
      </c>
      <c r="AX361" s="155">
        <f t="shared" si="55"/>
        <v>357</v>
      </c>
      <c r="AY361" s="311"/>
      <c r="AZ361" s="311"/>
      <c r="BA361" s="311"/>
      <c r="BB361" s="311"/>
      <c r="BC361" s="311"/>
      <c r="BD361" s="141"/>
      <c r="BE361" s="141"/>
      <c r="BF361" s="141"/>
      <c r="BG361" s="141"/>
      <c r="BH361" s="23"/>
      <c r="BI361" s="133">
        <f t="shared" si="60"/>
        <v>45</v>
      </c>
      <c r="BJ361" s="155">
        <f t="shared" si="60"/>
        <v>357</v>
      </c>
      <c r="BK361" s="312"/>
      <c r="BL361" s="155"/>
      <c r="BM361" s="200"/>
      <c r="BN361" s="141"/>
      <c r="BO361" s="141"/>
      <c r="BP361" s="141"/>
    </row>
    <row r="362" spans="1:68" ht="15.5">
      <c r="A362" s="141" t="s">
        <v>120</v>
      </c>
      <c r="B362" s="23">
        <v>74</v>
      </c>
      <c r="C362" s="370">
        <v>46307</v>
      </c>
      <c r="D362" s="174">
        <f t="shared" si="56"/>
        <v>-46307</v>
      </c>
      <c r="E362" s="38" t="s">
        <v>75</v>
      </c>
      <c r="F362" s="302"/>
      <c r="G362" s="303"/>
      <c r="H362" s="304">
        <v>46308</v>
      </c>
      <c r="I362" s="148">
        <v>45</v>
      </c>
      <c r="J362" s="155">
        <v>358</v>
      </c>
      <c r="K362" s="138">
        <v>3.3250000000000002E-2</v>
      </c>
      <c r="L362" s="8">
        <v>0.29749999999999999</v>
      </c>
      <c r="M362" s="366">
        <v>0.26</v>
      </c>
      <c r="N362" s="364">
        <v>39.25</v>
      </c>
      <c r="O362" s="139">
        <f t="shared" si="58"/>
        <v>31.105625</v>
      </c>
      <c r="P362" s="364">
        <v>79.25</v>
      </c>
      <c r="Q362" s="30">
        <v>0.21</v>
      </c>
      <c r="R362" s="140">
        <v>75.5</v>
      </c>
      <c r="S362" s="141" t="s">
        <v>427</v>
      </c>
      <c r="T362" s="141" t="s">
        <v>458</v>
      </c>
      <c r="U362" s="141"/>
      <c r="V362" s="156"/>
      <c r="W362" s="133">
        <f t="shared" si="59"/>
        <v>45</v>
      </c>
      <c r="X362" s="155">
        <f t="shared" si="59"/>
        <v>358</v>
      </c>
      <c r="Y362" s="138"/>
      <c r="Z362" s="8"/>
      <c r="AA362" s="8"/>
      <c r="AB362" s="139"/>
      <c r="AC362" s="139"/>
      <c r="AD362" s="139"/>
      <c r="AE362" s="8"/>
      <c r="AF362" s="140"/>
      <c r="AG362" s="141"/>
      <c r="AH362" s="141"/>
      <c r="AI362" s="352">
        <v>46309</v>
      </c>
      <c r="AJ362" s="141"/>
      <c r="AK362" s="141"/>
      <c r="AL362" s="141"/>
      <c r="AM362" s="141"/>
      <c r="AN362" s="141"/>
      <c r="AO362" s="141"/>
      <c r="AP362" s="141"/>
      <c r="AQ362" s="141"/>
      <c r="AR362" s="141"/>
      <c r="AS362" s="141"/>
      <c r="AT362" s="141"/>
      <c r="AU362" s="23"/>
      <c r="AV362" s="141"/>
      <c r="AW362" s="310">
        <f t="shared" si="54"/>
        <v>45</v>
      </c>
      <c r="AX362" s="155">
        <f t="shared" si="55"/>
        <v>358</v>
      </c>
      <c r="AY362" s="311"/>
      <c r="AZ362" s="311"/>
      <c r="BA362" s="311"/>
      <c r="BB362" s="311"/>
      <c r="BC362" s="311"/>
      <c r="BD362" s="141"/>
      <c r="BE362" s="141"/>
      <c r="BF362" s="141"/>
      <c r="BG362" s="141"/>
      <c r="BH362" s="23"/>
      <c r="BI362" s="133">
        <f t="shared" si="60"/>
        <v>45</v>
      </c>
      <c r="BJ362" s="155">
        <f t="shared" si="60"/>
        <v>358</v>
      </c>
      <c r="BK362" s="312"/>
      <c r="BL362" s="155"/>
      <c r="BM362" s="200"/>
      <c r="BN362" s="141"/>
      <c r="BO362" s="141"/>
      <c r="BP362" s="141"/>
    </row>
    <row r="363" spans="1:68" ht="15.5">
      <c r="A363" s="141" t="s">
        <v>120</v>
      </c>
      <c r="B363" s="23">
        <v>74</v>
      </c>
      <c r="C363" s="370">
        <v>46307</v>
      </c>
      <c r="D363" s="174">
        <f t="shared" si="56"/>
        <v>-46307</v>
      </c>
      <c r="E363" s="38" t="s">
        <v>75</v>
      </c>
      <c r="F363" s="302"/>
      <c r="G363" s="303"/>
      <c r="H363" s="304">
        <v>46308</v>
      </c>
      <c r="I363" s="148">
        <v>45</v>
      </c>
      <c r="J363" s="155">
        <v>359</v>
      </c>
      <c r="K363" s="138">
        <v>3.95E-2</v>
      </c>
      <c r="L363" s="8">
        <v>0.34500000000000003</v>
      </c>
      <c r="M363" s="366">
        <v>0.31</v>
      </c>
      <c r="N363" s="364">
        <v>38</v>
      </c>
      <c r="O363" s="139">
        <f t="shared" si="58"/>
        <v>31.065000000000001</v>
      </c>
      <c r="P363" s="364">
        <v>81.75</v>
      </c>
      <c r="Q363" s="30">
        <v>0.21</v>
      </c>
      <c r="R363" s="140">
        <v>75.5</v>
      </c>
      <c r="S363" s="141" t="s">
        <v>584</v>
      </c>
      <c r="T363" s="141" t="s">
        <v>458</v>
      </c>
      <c r="U363" s="141"/>
      <c r="V363" s="156"/>
      <c r="W363" s="133">
        <f t="shared" si="59"/>
        <v>45</v>
      </c>
      <c r="X363" s="155">
        <f t="shared" si="59"/>
        <v>359</v>
      </c>
      <c r="Y363" s="138"/>
      <c r="Z363" s="8"/>
      <c r="AA363" s="8"/>
      <c r="AB363" s="139"/>
      <c r="AC363" s="139"/>
      <c r="AD363" s="139"/>
      <c r="AE363" s="8"/>
      <c r="AF363" s="140"/>
      <c r="AG363" s="141"/>
      <c r="AH363" s="141"/>
      <c r="AI363" s="352">
        <v>46309</v>
      </c>
      <c r="AJ363" s="141"/>
      <c r="AK363" s="311" t="s">
        <v>222</v>
      </c>
      <c r="AL363" s="141"/>
      <c r="AM363" s="141"/>
      <c r="AN363" s="141"/>
      <c r="AO363" s="141"/>
      <c r="AP363" s="141"/>
      <c r="AQ363" s="141"/>
      <c r="AR363" s="141"/>
      <c r="AS363" s="141"/>
      <c r="AT363" s="141"/>
      <c r="AU363" s="23"/>
      <c r="AV363" s="141"/>
      <c r="AW363" s="310">
        <f t="shared" si="54"/>
        <v>45</v>
      </c>
      <c r="AX363" s="155">
        <f t="shared" si="55"/>
        <v>359</v>
      </c>
      <c r="AY363" s="311"/>
      <c r="AZ363" s="311"/>
      <c r="BA363" s="311"/>
      <c r="BB363" s="311"/>
      <c r="BC363" s="311"/>
      <c r="BD363" s="141"/>
      <c r="BE363" s="141"/>
      <c r="BF363" s="141"/>
      <c r="BG363" s="141"/>
      <c r="BH363" s="23"/>
      <c r="BI363" s="133">
        <f t="shared" si="60"/>
        <v>45</v>
      </c>
      <c r="BJ363" s="155">
        <f t="shared" si="60"/>
        <v>359</v>
      </c>
      <c r="BK363" s="312"/>
      <c r="BL363" s="155"/>
      <c r="BM363" s="200"/>
      <c r="BN363" s="141"/>
      <c r="BO363" s="141"/>
      <c r="BP363" s="141"/>
    </row>
    <row r="364" spans="1:68" ht="15.5">
      <c r="A364" s="141" t="s">
        <v>120</v>
      </c>
      <c r="B364" s="23">
        <v>74</v>
      </c>
      <c r="C364" s="370">
        <v>46307</v>
      </c>
      <c r="D364" s="174">
        <f t="shared" si="56"/>
        <v>-46307</v>
      </c>
      <c r="E364" s="38" t="s">
        <v>75</v>
      </c>
      <c r="F364" s="302"/>
      <c r="G364" s="303"/>
      <c r="H364" s="304">
        <v>46308</v>
      </c>
      <c r="I364" s="148">
        <v>45</v>
      </c>
      <c r="J364" s="155">
        <v>360</v>
      </c>
      <c r="K364" s="138">
        <v>3.7250000000000005E-2</v>
      </c>
      <c r="L364" s="8">
        <v>0.32750000000000001</v>
      </c>
      <c r="M364" s="366">
        <v>0.18</v>
      </c>
      <c r="N364" s="364">
        <v>37.75</v>
      </c>
      <c r="O364" s="139">
        <f t="shared" si="58"/>
        <v>30.01125</v>
      </c>
      <c r="P364" s="364">
        <v>79.5</v>
      </c>
      <c r="Q364" s="30">
        <v>0.21</v>
      </c>
      <c r="R364" s="140">
        <v>75.5</v>
      </c>
      <c r="S364" s="141" t="s">
        <v>584</v>
      </c>
      <c r="T364" s="141" t="s">
        <v>458</v>
      </c>
      <c r="U364" s="141"/>
      <c r="V364" s="156"/>
      <c r="W364" s="133">
        <f t="shared" si="59"/>
        <v>45</v>
      </c>
      <c r="X364" s="155">
        <f t="shared" si="59"/>
        <v>360</v>
      </c>
      <c r="Y364" s="138"/>
      <c r="Z364" s="8"/>
      <c r="AA364" s="8"/>
      <c r="AB364" s="139"/>
      <c r="AC364" s="139"/>
      <c r="AD364" s="139"/>
      <c r="AE364" s="8"/>
      <c r="AF364" s="140"/>
      <c r="AG364" s="141"/>
      <c r="AH364" s="141"/>
      <c r="AI364" s="352">
        <v>46309</v>
      </c>
      <c r="AJ364" s="141"/>
      <c r="AK364" s="311" t="s">
        <v>222</v>
      </c>
      <c r="AL364" s="141"/>
      <c r="AM364" s="141"/>
      <c r="AN364" s="141"/>
      <c r="AO364" s="141"/>
      <c r="AP364" s="141"/>
      <c r="AQ364" s="141"/>
      <c r="AR364" s="141"/>
      <c r="AS364" s="141"/>
      <c r="AT364" s="141"/>
      <c r="AU364" s="23"/>
      <c r="AV364" s="141"/>
      <c r="AW364" s="310">
        <f t="shared" si="54"/>
        <v>45</v>
      </c>
      <c r="AX364" s="155">
        <f t="shared" si="55"/>
        <v>360</v>
      </c>
      <c r="AY364" s="311"/>
      <c r="AZ364" s="311"/>
      <c r="BA364" s="311"/>
      <c r="BB364" s="311"/>
      <c r="BC364" s="311"/>
      <c r="BD364" s="141"/>
      <c r="BE364" s="141"/>
      <c r="BF364" s="141"/>
      <c r="BG364" s="141"/>
      <c r="BH364" s="23"/>
      <c r="BI364" s="133">
        <f t="shared" si="60"/>
        <v>45</v>
      </c>
      <c r="BJ364" s="155">
        <f t="shared" si="60"/>
        <v>360</v>
      </c>
      <c r="BK364" s="312"/>
      <c r="BL364" s="155"/>
      <c r="BM364" s="200"/>
      <c r="BN364" s="141"/>
      <c r="BO364" s="141"/>
      <c r="BP364" s="141"/>
    </row>
    <row r="365" spans="1:68" ht="15.5">
      <c r="A365" s="141" t="s">
        <v>120</v>
      </c>
      <c r="B365" s="23">
        <v>74</v>
      </c>
      <c r="C365" s="370">
        <v>46307</v>
      </c>
      <c r="D365" s="174">
        <f t="shared" si="56"/>
        <v>-46307</v>
      </c>
      <c r="E365" s="38" t="s">
        <v>75</v>
      </c>
      <c r="F365" s="302"/>
      <c r="G365" s="303"/>
      <c r="H365" s="304">
        <v>46308</v>
      </c>
      <c r="I365" s="148">
        <v>46</v>
      </c>
      <c r="J365" s="155">
        <v>361</v>
      </c>
      <c r="K365" s="138">
        <v>5.7999999999999996E-2</v>
      </c>
      <c r="L365" s="8">
        <v>0.28000000000000003</v>
      </c>
      <c r="M365" s="366">
        <v>0.15</v>
      </c>
      <c r="N365" s="364">
        <v>38.5</v>
      </c>
      <c r="O365" s="139">
        <f t="shared" si="58"/>
        <v>30.414999999999999</v>
      </c>
      <c r="P365" s="364">
        <v>79</v>
      </c>
      <c r="Q365" s="30">
        <v>0.21</v>
      </c>
      <c r="R365" s="140">
        <v>72.5</v>
      </c>
      <c r="S365" s="141" t="s">
        <v>427</v>
      </c>
      <c r="T365" s="141" t="s">
        <v>458</v>
      </c>
      <c r="U365" s="141"/>
      <c r="V365" s="156"/>
      <c r="W365" s="133">
        <f t="shared" si="59"/>
        <v>46</v>
      </c>
      <c r="X365" s="155">
        <f t="shared" si="59"/>
        <v>361</v>
      </c>
      <c r="Y365" s="138"/>
      <c r="Z365" s="8"/>
      <c r="AA365" s="8"/>
      <c r="AB365" s="139"/>
      <c r="AC365" s="139"/>
      <c r="AD365" s="139"/>
      <c r="AE365" s="8"/>
      <c r="AF365" s="140"/>
      <c r="AG365" s="141"/>
      <c r="AH365" s="141"/>
      <c r="AI365" s="352">
        <v>46309</v>
      </c>
      <c r="AJ365" s="141"/>
      <c r="AK365" s="311" t="s">
        <v>222</v>
      </c>
      <c r="AL365" s="141"/>
      <c r="AM365" s="141"/>
      <c r="AN365" s="141"/>
      <c r="AO365" s="141"/>
      <c r="AP365" s="141"/>
      <c r="AQ365" s="141"/>
      <c r="AR365" s="141"/>
      <c r="AS365" s="141"/>
      <c r="AT365" s="141"/>
      <c r="AU365" s="23"/>
      <c r="AV365" s="141"/>
      <c r="AW365" s="310">
        <f t="shared" si="54"/>
        <v>46</v>
      </c>
      <c r="AX365" s="155">
        <f t="shared" si="55"/>
        <v>361</v>
      </c>
      <c r="AY365" s="311"/>
      <c r="AZ365" s="311"/>
      <c r="BA365" s="311"/>
      <c r="BB365" s="311"/>
      <c r="BC365" s="311"/>
      <c r="BD365" s="141"/>
      <c r="BE365" s="141"/>
      <c r="BF365" s="141"/>
      <c r="BG365" s="141"/>
      <c r="BH365" s="23"/>
      <c r="BI365" s="133">
        <f t="shared" si="60"/>
        <v>46</v>
      </c>
      <c r="BJ365" s="155">
        <f t="shared" si="60"/>
        <v>361</v>
      </c>
      <c r="BK365" s="312"/>
      <c r="BL365" s="155"/>
      <c r="BM365" s="200"/>
      <c r="BN365" s="141"/>
      <c r="BO365" s="141"/>
      <c r="BP365" s="141"/>
    </row>
    <row r="366" spans="1:68" ht="15.5">
      <c r="A366" s="141" t="s">
        <v>120</v>
      </c>
      <c r="B366" s="23">
        <v>74</v>
      </c>
      <c r="C366" s="370">
        <v>46307</v>
      </c>
      <c r="D366" s="174">
        <f t="shared" si="56"/>
        <v>-46307</v>
      </c>
      <c r="E366" s="38" t="s">
        <v>75</v>
      </c>
      <c r="F366" s="302"/>
      <c r="G366" s="303"/>
      <c r="H366" s="304">
        <v>46308</v>
      </c>
      <c r="I366" s="148">
        <v>46</v>
      </c>
      <c r="J366" s="155">
        <v>362</v>
      </c>
      <c r="K366" s="138">
        <v>5.7249999999999995E-2</v>
      </c>
      <c r="L366" s="8">
        <v>0.30249999999999999</v>
      </c>
      <c r="M366" s="366">
        <v>0.18</v>
      </c>
      <c r="N366" s="364">
        <v>38.75</v>
      </c>
      <c r="O366" s="139">
        <f t="shared" si="58"/>
        <v>31.290624999999999</v>
      </c>
      <c r="P366" s="364">
        <v>80.75</v>
      </c>
      <c r="Q366" s="30">
        <v>0.21</v>
      </c>
      <c r="R366" s="140">
        <v>72.5</v>
      </c>
      <c r="S366" s="141" t="s">
        <v>427</v>
      </c>
      <c r="T366" s="141" t="s">
        <v>458</v>
      </c>
      <c r="U366" s="141"/>
      <c r="V366" s="156"/>
      <c r="W366" s="133">
        <f t="shared" si="59"/>
        <v>46</v>
      </c>
      <c r="X366" s="155">
        <f t="shared" si="59"/>
        <v>362</v>
      </c>
      <c r="Y366" s="138"/>
      <c r="Z366" s="8"/>
      <c r="AA366" s="8"/>
      <c r="AB366" s="139"/>
      <c r="AC366" s="139"/>
      <c r="AD366" s="139"/>
      <c r="AE366" s="8"/>
      <c r="AF366" s="140"/>
      <c r="AG366" s="141"/>
      <c r="AH366" s="141"/>
      <c r="AI366" s="352">
        <v>46310</v>
      </c>
      <c r="AJ366" s="141"/>
      <c r="AK366" s="311" t="s">
        <v>222</v>
      </c>
      <c r="AL366" s="141"/>
      <c r="AM366" s="141"/>
      <c r="AN366" s="141"/>
      <c r="AO366" s="141"/>
      <c r="AP366" s="141"/>
      <c r="AQ366" s="141"/>
      <c r="AR366" s="141"/>
      <c r="AS366" s="141"/>
      <c r="AT366" s="141"/>
      <c r="AU366" s="23"/>
      <c r="AV366" s="141"/>
      <c r="AW366" s="310">
        <f t="shared" si="54"/>
        <v>46</v>
      </c>
      <c r="AX366" s="155">
        <f t="shared" si="55"/>
        <v>362</v>
      </c>
      <c r="AY366" s="311"/>
      <c r="AZ366" s="311"/>
      <c r="BA366" s="311"/>
      <c r="BB366" s="311"/>
      <c r="BC366" s="311"/>
      <c r="BD366" s="141"/>
      <c r="BE366" s="141"/>
      <c r="BF366" s="141"/>
      <c r="BG366" s="141"/>
      <c r="BH366" s="23"/>
      <c r="BI366" s="133">
        <f t="shared" si="60"/>
        <v>46</v>
      </c>
      <c r="BJ366" s="155">
        <f t="shared" si="60"/>
        <v>362</v>
      </c>
      <c r="BK366" s="312"/>
      <c r="BL366" s="155"/>
      <c r="BM366" s="200"/>
      <c r="BN366" s="141"/>
      <c r="BO366" s="141"/>
      <c r="BP366" s="141"/>
    </row>
    <row r="367" spans="1:68" ht="15.5">
      <c r="A367" s="141" t="s">
        <v>120</v>
      </c>
      <c r="B367" s="23">
        <v>74</v>
      </c>
      <c r="C367" s="370">
        <v>46307</v>
      </c>
      <c r="D367" s="174">
        <f t="shared" si="56"/>
        <v>-46307</v>
      </c>
      <c r="E367" s="38" t="s">
        <v>75</v>
      </c>
      <c r="F367" s="302"/>
      <c r="G367" s="303"/>
      <c r="H367" s="304">
        <v>46308</v>
      </c>
      <c r="I367" s="148">
        <v>46</v>
      </c>
      <c r="J367" s="155">
        <v>363</v>
      </c>
      <c r="K367" s="138">
        <v>0.08</v>
      </c>
      <c r="L367" s="8">
        <v>0.30499999999999999</v>
      </c>
      <c r="M367" s="366">
        <v>0.21</v>
      </c>
      <c r="N367" s="364">
        <v>39.75</v>
      </c>
      <c r="O367" s="139">
        <f t="shared" si="58"/>
        <v>30.706875</v>
      </c>
      <c r="P367" s="364">
        <v>77.25</v>
      </c>
      <c r="Q367" s="30">
        <v>0.21</v>
      </c>
      <c r="R367" s="140">
        <v>72.5</v>
      </c>
      <c r="S367" s="141" t="s">
        <v>427</v>
      </c>
      <c r="T367" s="141" t="s">
        <v>458</v>
      </c>
      <c r="U367" s="141"/>
      <c r="V367" s="156"/>
      <c r="W367" s="133">
        <f t="shared" si="59"/>
        <v>46</v>
      </c>
      <c r="X367" s="155">
        <f t="shared" si="59"/>
        <v>363</v>
      </c>
      <c r="Y367" s="138"/>
      <c r="Z367" s="8"/>
      <c r="AA367" s="8"/>
      <c r="AB367" s="139"/>
      <c r="AC367" s="139"/>
      <c r="AD367" s="139"/>
      <c r="AE367" s="8"/>
      <c r="AF367" s="140"/>
      <c r="AG367" s="141"/>
      <c r="AH367" s="141"/>
      <c r="AI367" s="352">
        <v>46310</v>
      </c>
      <c r="AJ367" s="141"/>
      <c r="AK367" s="311" t="s">
        <v>222</v>
      </c>
      <c r="AL367" s="141"/>
      <c r="AM367" s="141"/>
      <c r="AN367" s="141"/>
      <c r="AO367" s="141"/>
      <c r="AP367" s="141"/>
      <c r="AQ367" s="141"/>
      <c r="AR367" s="141"/>
      <c r="AS367" s="141"/>
      <c r="AT367" s="141"/>
      <c r="AU367" s="23"/>
      <c r="AV367" s="141"/>
      <c r="AW367" s="310">
        <f t="shared" si="54"/>
        <v>46</v>
      </c>
      <c r="AX367" s="155">
        <f t="shared" si="55"/>
        <v>363</v>
      </c>
      <c r="AY367" s="311"/>
      <c r="AZ367" s="311"/>
      <c r="BA367" s="311"/>
      <c r="BB367" s="311"/>
      <c r="BC367" s="311"/>
      <c r="BD367" s="141"/>
      <c r="BE367" s="141"/>
      <c r="BF367" s="141"/>
      <c r="BG367" s="141"/>
      <c r="BH367" s="23"/>
      <c r="BI367" s="133">
        <f t="shared" si="60"/>
        <v>46</v>
      </c>
      <c r="BJ367" s="155">
        <f t="shared" si="60"/>
        <v>363</v>
      </c>
      <c r="BK367" s="312"/>
      <c r="BL367" s="155"/>
      <c r="BM367" s="200"/>
      <c r="BN367" s="141"/>
      <c r="BO367" s="141"/>
      <c r="BP367" s="141"/>
    </row>
    <row r="368" spans="1:68" ht="15.5">
      <c r="A368" s="141" t="s">
        <v>120</v>
      </c>
      <c r="B368" s="23">
        <v>74</v>
      </c>
      <c r="C368" s="370">
        <v>46307</v>
      </c>
      <c r="D368" s="174">
        <f t="shared" si="56"/>
        <v>-46307</v>
      </c>
      <c r="E368" s="38" t="s">
        <v>75</v>
      </c>
      <c r="F368" s="302"/>
      <c r="G368" s="303"/>
      <c r="H368" s="304">
        <v>46308</v>
      </c>
      <c r="I368" s="148">
        <v>46</v>
      </c>
      <c r="J368" s="155">
        <v>364</v>
      </c>
      <c r="K368" s="138">
        <v>9.2499999999999999E-2</v>
      </c>
      <c r="L368" s="8">
        <v>0.34250000000000003</v>
      </c>
      <c r="M368" s="366">
        <v>0.21</v>
      </c>
      <c r="N368" s="364">
        <v>38.75</v>
      </c>
      <c r="O368" s="139">
        <f t="shared" si="58"/>
        <v>30.709375000000001</v>
      </c>
      <c r="P368" s="364">
        <v>79.25</v>
      </c>
      <c r="Q368" s="30">
        <v>0.21</v>
      </c>
      <c r="R368" s="140">
        <v>72.5</v>
      </c>
      <c r="S368" s="141" t="s">
        <v>427</v>
      </c>
      <c r="T368" s="141" t="s">
        <v>458</v>
      </c>
      <c r="U368" s="141"/>
      <c r="V368" s="156"/>
      <c r="W368" s="133">
        <f t="shared" si="59"/>
        <v>46</v>
      </c>
      <c r="X368" s="155">
        <f t="shared" si="59"/>
        <v>364</v>
      </c>
      <c r="Y368" s="138"/>
      <c r="Z368" s="8"/>
      <c r="AA368" s="8"/>
      <c r="AB368" s="139"/>
      <c r="AC368" s="139"/>
      <c r="AD368" s="139"/>
      <c r="AE368" s="8"/>
      <c r="AF368" s="140"/>
      <c r="AG368" s="141"/>
      <c r="AH368" s="141"/>
      <c r="AI368" s="352">
        <v>46310</v>
      </c>
      <c r="AJ368" s="141"/>
      <c r="AK368" s="311" t="s">
        <v>222</v>
      </c>
      <c r="AL368" s="141"/>
      <c r="AM368" s="141"/>
      <c r="AN368" s="141"/>
      <c r="AO368" s="141"/>
      <c r="AP368" s="141"/>
      <c r="AQ368" s="141"/>
      <c r="AR368" s="141"/>
      <c r="AS368" s="141"/>
      <c r="AT368" s="141"/>
      <c r="AU368" s="23"/>
      <c r="AV368" s="141"/>
      <c r="AW368" s="310">
        <f t="shared" si="54"/>
        <v>46</v>
      </c>
      <c r="AX368" s="155">
        <f t="shared" si="55"/>
        <v>364</v>
      </c>
      <c r="AY368" s="311"/>
      <c r="AZ368" s="311"/>
      <c r="BA368" s="311"/>
      <c r="BB368" s="311"/>
      <c r="BC368" s="311"/>
      <c r="BD368" s="141"/>
      <c r="BE368" s="141"/>
      <c r="BF368" s="141"/>
      <c r="BG368" s="141"/>
      <c r="BH368" s="23"/>
      <c r="BI368" s="133">
        <f t="shared" si="60"/>
        <v>46</v>
      </c>
      <c r="BJ368" s="155">
        <f t="shared" si="60"/>
        <v>364</v>
      </c>
      <c r="BK368" s="312"/>
      <c r="BL368" s="155"/>
      <c r="BM368" s="200"/>
      <c r="BN368" s="141"/>
      <c r="BO368" s="141"/>
      <c r="BP368" s="141"/>
    </row>
    <row r="369" spans="1:68" ht="15.5">
      <c r="A369" s="141" t="s">
        <v>120</v>
      </c>
      <c r="B369" s="23">
        <v>75</v>
      </c>
      <c r="C369" s="370">
        <v>46308</v>
      </c>
      <c r="D369" s="174">
        <f t="shared" si="56"/>
        <v>-46308</v>
      </c>
      <c r="E369" s="38" t="s">
        <v>75</v>
      </c>
      <c r="F369" s="302"/>
      <c r="G369" s="303"/>
      <c r="H369" s="304">
        <v>46309</v>
      </c>
      <c r="I369" s="148">
        <v>46</v>
      </c>
      <c r="J369" s="155">
        <v>365</v>
      </c>
      <c r="K369" s="138">
        <v>0.10875</v>
      </c>
      <c r="L369" s="8">
        <v>0.35749999999999993</v>
      </c>
      <c r="M369" s="366">
        <v>0.32</v>
      </c>
      <c r="N369" s="364">
        <v>38.25</v>
      </c>
      <c r="O369" s="139">
        <f t="shared" si="58"/>
        <v>30.504375</v>
      </c>
      <c r="P369" s="364">
        <v>79.75</v>
      </c>
      <c r="Q369" s="30">
        <v>0.21</v>
      </c>
      <c r="R369" s="140">
        <v>73</v>
      </c>
      <c r="S369" s="141" t="s">
        <v>427</v>
      </c>
      <c r="T369" s="141" t="s">
        <v>458</v>
      </c>
      <c r="U369" s="141"/>
      <c r="V369" s="156"/>
      <c r="W369" s="133">
        <f t="shared" si="59"/>
        <v>46</v>
      </c>
      <c r="X369" s="155">
        <f t="shared" si="59"/>
        <v>365</v>
      </c>
      <c r="Y369" s="138"/>
      <c r="Z369" s="8"/>
      <c r="AA369" s="8"/>
      <c r="AB369" s="139"/>
      <c r="AC369" s="139"/>
      <c r="AD369" s="139"/>
      <c r="AE369" s="8"/>
      <c r="AF369" s="140"/>
      <c r="AG369" s="141"/>
      <c r="AH369" s="141"/>
      <c r="AI369" s="352">
        <v>46310</v>
      </c>
      <c r="AJ369" s="141"/>
      <c r="AK369" s="311" t="s">
        <v>222</v>
      </c>
      <c r="AL369" s="141"/>
      <c r="AM369" s="141"/>
      <c r="AN369" s="141"/>
      <c r="AO369" s="141"/>
      <c r="AP369" s="141"/>
      <c r="AQ369" s="141"/>
      <c r="AR369" s="141"/>
      <c r="AS369" s="141"/>
      <c r="AT369" s="141"/>
      <c r="AU369" s="23"/>
      <c r="AV369" s="141"/>
      <c r="AW369" s="310">
        <f t="shared" si="54"/>
        <v>46</v>
      </c>
      <c r="AX369" s="155">
        <f t="shared" si="55"/>
        <v>365</v>
      </c>
      <c r="AY369" s="311"/>
      <c r="AZ369" s="311"/>
      <c r="BA369" s="311"/>
      <c r="BB369" s="311"/>
      <c r="BC369" s="311"/>
      <c r="BD369" s="141"/>
      <c r="BE369" s="141"/>
      <c r="BF369" s="141"/>
      <c r="BG369" s="141"/>
      <c r="BH369" s="23"/>
      <c r="BI369" s="133">
        <f t="shared" si="60"/>
        <v>46</v>
      </c>
      <c r="BJ369" s="155">
        <f t="shared" si="60"/>
        <v>365</v>
      </c>
      <c r="BK369" s="312"/>
      <c r="BL369" s="155"/>
      <c r="BM369" s="200"/>
      <c r="BN369" s="141"/>
      <c r="BO369" s="141"/>
      <c r="BP369" s="141"/>
    </row>
    <row r="370" spans="1:68" ht="15.5">
      <c r="A370" s="141" t="s">
        <v>120</v>
      </c>
      <c r="B370" s="23">
        <v>75</v>
      </c>
      <c r="C370" s="370">
        <v>46308</v>
      </c>
      <c r="D370" s="174">
        <f t="shared" si="56"/>
        <v>-46308</v>
      </c>
      <c r="E370" s="38" t="s">
        <v>75</v>
      </c>
      <c r="F370" s="302"/>
      <c r="G370" s="303"/>
      <c r="H370" s="304">
        <v>46309</v>
      </c>
      <c r="I370" s="148">
        <v>46</v>
      </c>
      <c r="J370" s="155">
        <v>366</v>
      </c>
      <c r="K370" s="138">
        <v>7.3249999999999996E-2</v>
      </c>
      <c r="L370" s="8">
        <v>0.34250000000000003</v>
      </c>
      <c r="M370" s="366">
        <v>0.32</v>
      </c>
      <c r="N370" s="364">
        <v>37.5</v>
      </c>
      <c r="O370" s="139">
        <f t="shared" si="58"/>
        <v>30.28125</v>
      </c>
      <c r="P370" s="364">
        <v>80.75</v>
      </c>
      <c r="Q370" s="30">
        <v>0.21</v>
      </c>
      <c r="R370" s="140">
        <v>73</v>
      </c>
      <c r="S370" s="141" t="s">
        <v>584</v>
      </c>
      <c r="T370" s="141" t="s">
        <v>458</v>
      </c>
      <c r="U370" s="141"/>
      <c r="V370" s="156"/>
      <c r="W370" s="133">
        <f t="shared" si="59"/>
        <v>46</v>
      </c>
      <c r="X370" s="155">
        <f t="shared" si="59"/>
        <v>366</v>
      </c>
      <c r="Y370" s="138"/>
      <c r="Z370" s="8"/>
      <c r="AA370" s="8"/>
      <c r="AB370" s="139"/>
      <c r="AC370" s="139"/>
      <c r="AD370" s="139"/>
      <c r="AE370" s="8"/>
      <c r="AF370" s="140"/>
      <c r="AG370" s="141"/>
      <c r="AH370" s="141"/>
      <c r="AI370" s="352">
        <v>46310</v>
      </c>
      <c r="AJ370" s="141"/>
      <c r="AK370" s="311" t="s">
        <v>222</v>
      </c>
      <c r="AL370" s="141"/>
      <c r="AM370" s="141"/>
      <c r="AN370" s="141"/>
      <c r="AO370" s="141"/>
      <c r="AP370" s="141"/>
      <c r="AQ370" s="141"/>
      <c r="AR370" s="141"/>
      <c r="AS370" s="141"/>
      <c r="AT370" s="141"/>
      <c r="AU370" s="23"/>
      <c r="AV370" s="141"/>
      <c r="AW370" s="310">
        <f t="shared" si="54"/>
        <v>46</v>
      </c>
      <c r="AX370" s="155">
        <f t="shared" si="55"/>
        <v>366</v>
      </c>
      <c r="AY370" s="311"/>
      <c r="AZ370" s="311"/>
      <c r="BA370" s="311"/>
      <c r="BB370" s="311"/>
      <c r="BC370" s="311"/>
      <c r="BD370" s="141"/>
      <c r="BE370" s="141"/>
      <c r="BF370" s="141"/>
      <c r="BG370" s="141"/>
      <c r="BH370" s="23"/>
      <c r="BI370" s="133">
        <f t="shared" si="60"/>
        <v>46</v>
      </c>
      <c r="BJ370" s="155">
        <f t="shared" si="60"/>
        <v>366</v>
      </c>
      <c r="BK370" s="312"/>
      <c r="BL370" s="155"/>
      <c r="BM370" s="200"/>
      <c r="BN370" s="141"/>
      <c r="BO370" s="141"/>
      <c r="BP370" s="141"/>
    </row>
    <row r="371" spans="1:68" ht="15.5">
      <c r="A371" s="141" t="s">
        <v>120</v>
      </c>
      <c r="B371" s="23">
        <v>75</v>
      </c>
      <c r="C371" s="370">
        <v>46308</v>
      </c>
      <c r="D371" s="174">
        <f t="shared" si="56"/>
        <v>-46308</v>
      </c>
      <c r="E371" s="38" t="s">
        <v>75</v>
      </c>
      <c r="F371" s="302"/>
      <c r="G371" s="303"/>
      <c r="H371" s="304">
        <v>46309</v>
      </c>
      <c r="I371" s="148">
        <v>46</v>
      </c>
      <c r="J371" s="155">
        <v>367</v>
      </c>
      <c r="K371" s="138">
        <v>0.10349999999999999</v>
      </c>
      <c r="L371" s="8">
        <v>0.33500000000000002</v>
      </c>
      <c r="M371" s="366">
        <v>0.27</v>
      </c>
      <c r="N371" s="364">
        <v>38.75</v>
      </c>
      <c r="O371" s="139">
        <f t="shared" si="58"/>
        <v>30.709375000000001</v>
      </c>
      <c r="P371" s="364">
        <v>79.25</v>
      </c>
      <c r="Q371" s="30">
        <v>0.21</v>
      </c>
      <c r="R371" s="140">
        <v>73</v>
      </c>
      <c r="S371" s="141" t="s">
        <v>427</v>
      </c>
      <c r="T371" s="141" t="s">
        <v>458</v>
      </c>
      <c r="U371" s="141"/>
      <c r="V371" s="156"/>
      <c r="W371" s="133">
        <f t="shared" si="59"/>
        <v>46</v>
      </c>
      <c r="X371" s="155">
        <f t="shared" si="59"/>
        <v>367</v>
      </c>
      <c r="Y371" s="138"/>
      <c r="Z371" s="8"/>
      <c r="AA371" s="8"/>
      <c r="AB371" s="139"/>
      <c r="AC371" s="139"/>
      <c r="AD371" s="139"/>
      <c r="AE371" s="8"/>
      <c r="AF371" s="140"/>
      <c r="AG371" s="141"/>
      <c r="AH371" s="141"/>
      <c r="AI371" s="352">
        <v>46310</v>
      </c>
      <c r="AJ371" s="141"/>
      <c r="AK371" s="311" t="s">
        <v>222</v>
      </c>
      <c r="AL371" s="141"/>
      <c r="AM371" s="141"/>
      <c r="AN371" s="141"/>
      <c r="AO371" s="141"/>
      <c r="AP371" s="141"/>
      <c r="AQ371" s="141"/>
      <c r="AR371" s="141"/>
      <c r="AS371" s="141"/>
      <c r="AT371" s="141"/>
      <c r="AU371" s="23"/>
      <c r="AV371" s="141"/>
      <c r="AW371" s="310">
        <f t="shared" si="54"/>
        <v>46</v>
      </c>
      <c r="AX371" s="155">
        <f t="shared" si="55"/>
        <v>367</v>
      </c>
      <c r="AY371" s="311"/>
      <c r="AZ371" s="311"/>
      <c r="BA371" s="311"/>
      <c r="BB371" s="311"/>
      <c r="BC371" s="311"/>
      <c r="BD371" s="141"/>
      <c r="BE371" s="141"/>
      <c r="BF371" s="141"/>
      <c r="BG371" s="141"/>
      <c r="BH371" s="23"/>
      <c r="BI371" s="133">
        <f t="shared" si="60"/>
        <v>46</v>
      </c>
      <c r="BJ371" s="155">
        <f t="shared" si="60"/>
        <v>367</v>
      </c>
      <c r="BK371" s="312"/>
      <c r="BL371" s="155"/>
      <c r="BM371" s="200"/>
      <c r="BN371" s="141"/>
      <c r="BO371" s="141"/>
      <c r="BP371" s="141"/>
    </row>
    <row r="372" spans="1:68" ht="15.5">
      <c r="A372" s="141" t="s">
        <v>120</v>
      </c>
      <c r="B372" s="23">
        <v>75</v>
      </c>
      <c r="C372" s="370">
        <v>46308</v>
      </c>
      <c r="D372" s="174">
        <f t="shared" si="56"/>
        <v>-46308</v>
      </c>
      <c r="E372" s="38" t="s">
        <v>75</v>
      </c>
      <c r="F372" s="302"/>
      <c r="G372" s="303"/>
      <c r="H372" s="304">
        <v>46309</v>
      </c>
      <c r="I372" s="148">
        <v>46</v>
      </c>
      <c r="J372" s="155">
        <v>368</v>
      </c>
      <c r="K372" s="138">
        <v>6.225E-2</v>
      </c>
      <c r="L372" s="8">
        <v>0.32750000000000001</v>
      </c>
      <c r="M372" s="366">
        <v>0.24</v>
      </c>
      <c r="N372" s="364">
        <v>37.5</v>
      </c>
      <c r="O372" s="139">
        <f t="shared" si="58"/>
        <v>30.28125</v>
      </c>
      <c r="P372" s="364">
        <v>80.75</v>
      </c>
      <c r="Q372" s="30">
        <v>0.21</v>
      </c>
      <c r="R372" s="140">
        <v>73</v>
      </c>
      <c r="S372" s="141" t="s">
        <v>584</v>
      </c>
      <c r="T372" s="141" t="s">
        <v>458</v>
      </c>
      <c r="U372" s="141"/>
      <c r="V372" s="156"/>
      <c r="W372" s="133">
        <f t="shared" si="59"/>
        <v>46</v>
      </c>
      <c r="X372" s="155">
        <f t="shared" si="59"/>
        <v>368</v>
      </c>
      <c r="Y372" s="138"/>
      <c r="Z372" s="8"/>
      <c r="AA372" s="8"/>
      <c r="AB372" s="139"/>
      <c r="AC372" s="139"/>
      <c r="AD372" s="139"/>
      <c r="AE372" s="8"/>
      <c r="AF372" s="140"/>
      <c r="AG372" s="141"/>
      <c r="AH372" s="141"/>
      <c r="AI372" s="352">
        <v>46310</v>
      </c>
      <c r="AJ372" s="141"/>
      <c r="AK372" s="311" t="s">
        <v>222</v>
      </c>
      <c r="AL372" s="141"/>
      <c r="AM372" s="141"/>
      <c r="AN372" s="141"/>
      <c r="AO372" s="141"/>
      <c r="AP372" s="141"/>
      <c r="AQ372" s="141"/>
      <c r="AR372" s="141"/>
      <c r="AS372" s="141"/>
      <c r="AT372" s="141"/>
      <c r="AU372" s="23"/>
      <c r="AV372" s="141"/>
      <c r="AW372" s="310">
        <f t="shared" si="54"/>
        <v>46</v>
      </c>
      <c r="AX372" s="155">
        <f t="shared" si="55"/>
        <v>368</v>
      </c>
      <c r="AY372" s="311"/>
      <c r="AZ372" s="311"/>
      <c r="BA372" s="311"/>
      <c r="BB372" s="311"/>
      <c r="BC372" s="311"/>
      <c r="BD372" s="141"/>
      <c r="BE372" s="141"/>
      <c r="BF372" s="141"/>
      <c r="BG372" s="141"/>
      <c r="BH372" s="23"/>
      <c r="BI372" s="133">
        <f t="shared" si="60"/>
        <v>46</v>
      </c>
      <c r="BJ372" s="155">
        <f t="shared" si="60"/>
        <v>368</v>
      </c>
      <c r="BK372" s="312"/>
      <c r="BL372" s="155"/>
      <c r="BM372" s="200"/>
      <c r="BN372" s="141"/>
      <c r="BO372" s="141"/>
      <c r="BP372" s="141"/>
    </row>
    <row r="373" spans="1:68" ht="15.5">
      <c r="A373" s="141" t="s">
        <v>120</v>
      </c>
      <c r="B373" s="23">
        <v>75</v>
      </c>
      <c r="C373" s="370">
        <v>46308</v>
      </c>
      <c r="D373" s="174">
        <f t="shared" si="56"/>
        <v>-46308</v>
      </c>
      <c r="E373" s="38" t="s">
        <v>75</v>
      </c>
      <c r="F373" s="302"/>
      <c r="G373" s="303"/>
      <c r="H373" s="304">
        <v>46309</v>
      </c>
      <c r="I373" s="148">
        <v>47</v>
      </c>
      <c r="J373" s="155">
        <v>369</v>
      </c>
      <c r="K373" s="138">
        <v>4.7500000000000001E-2</v>
      </c>
      <c r="L373" s="8">
        <v>0.33500000000000002</v>
      </c>
      <c r="M373" s="366">
        <v>0.32</v>
      </c>
      <c r="N373" s="364">
        <v>34.75</v>
      </c>
      <c r="O373" s="139">
        <f t="shared" si="58"/>
        <v>27.452500000000001</v>
      </c>
      <c r="P373" s="364">
        <v>79</v>
      </c>
      <c r="Q373" s="365">
        <v>0.23</v>
      </c>
      <c r="R373" s="140">
        <v>74</v>
      </c>
      <c r="S373" s="141" t="s">
        <v>584</v>
      </c>
      <c r="T373" s="141" t="s">
        <v>458</v>
      </c>
      <c r="U373" s="141"/>
      <c r="V373" s="156"/>
      <c r="W373" s="133">
        <f t="shared" si="59"/>
        <v>47</v>
      </c>
      <c r="X373" s="155">
        <f t="shared" si="59"/>
        <v>369</v>
      </c>
      <c r="Y373" s="138"/>
      <c r="Z373" s="8"/>
      <c r="AA373" s="8"/>
      <c r="AB373" s="139"/>
      <c r="AC373" s="139"/>
      <c r="AD373" s="139"/>
      <c r="AE373" s="8"/>
      <c r="AF373" s="140"/>
      <c r="AG373" s="141"/>
      <c r="AH373" s="141"/>
      <c r="AI373" s="352">
        <v>46310</v>
      </c>
      <c r="AJ373" s="141"/>
      <c r="AK373" s="311"/>
      <c r="AL373" s="141"/>
      <c r="AM373" s="141"/>
      <c r="AN373" s="141"/>
      <c r="AO373" s="141"/>
      <c r="AP373" s="141"/>
      <c r="AQ373" s="141"/>
      <c r="AR373" s="141"/>
      <c r="AS373" s="141"/>
      <c r="AT373" s="141"/>
      <c r="AU373" s="23"/>
      <c r="AV373" s="141"/>
      <c r="AW373" s="310">
        <f t="shared" si="54"/>
        <v>47</v>
      </c>
      <c r="AX373" s="155">
        <f t="shared" si="55"/>
        <v>369</v>
      </c>
      <c r="AY373" s="311"/>
      <c r="AZ373" s="311"/>
      <c r="BA373" s="311"/>
      <c r="BB373" s="311"/>
      <c r="BC373" s="311"/>
      <c r="BD373" s="141"/>
      <c r="BE373" s="141"/>
      <c r="BF373" s="141"/>
      <c r="BG373" s="141"/>
      <c r="BH373" s="23"/>
      <c r="BI373" s="133">
        <f t="shared" si="60"/>
        <v>47</v>
      </c>
      <c r="BJ373" s="155">
        <f t="shared" si="60"/>
        <v>369</v>
      </c>
      <c r="BK373" s="312"/>
      <c r="BL373" s="155"/>
      <c r="BM373" s="200"/>
      <c r="BN373" s="141"/>
      <c r="BO373" s="141"/>
      <c r="BP373" s="141"/>
    </row>
    <row r="374" spans="1:68" ht="15.5">
      <c r="A374" s="141" t="s">
        <v>120</v>
      </c>
      <c r="B374" s="23">
        <v>75</v>
      </c>
      <c r="C374" s="370">
        <v>46308</v>
      </c>
      <c r="D374" s="174">
        <f t="shared" si="56"/>
        <v>-46308</v>
      </c>
      <c r="E374" s="38" t="s">
        <v>75</v>
      </c>
      <c r="F374" s="302"/>
      <c r="G374" s="303"/>
      <c r="H374" s="304">
        <v>46309</v>
      </c>
      <c r="I374" s="148">
        <v>47</v>
      </c>
      <c r="J374" s="155">
        <v>370</v>
      </c>
      <c r="K374" s="138">
        <v>5.0249999999999996E-2</v>
      </c>
      <c r="L374" s="8">
        <v>0.36250000000000004</v>
      </c>
      <c r="M374" s="366">
        <v>0.2</v>
      </c>
      <c r="N374" s="364">
        <v>34.25</v>
      </c>
      <c r="O374" s="139">
        <f t="shared" si="58"/>
        <v>26.88625</v>
      </c>
      <c r="P374" s="364">
        <v>78.5</v>
      </c>
      <c r="Q374" s="365">
        <v>0.23</v>
      </c>
      <c r="R374" s="140">
        <v>74</v>
      </c>
      <c r="S374" s="141" t="s">
        <v>584</v>
      </c>
      <c r="T374" s="141" t="s">
        <v>458</v>
      </c>
      <c r="U374" s="141"/>
      <c r="V374" s="156"/>
      <c r="W374" s="133">
        <f t="shared" si="59"/>
        <v>47</v>
      </c>
      <c r="X374" s="155">
        <f t="shared" si="59"/>
        <v>370</v>
      </c>
      <c r="Y374" s="138"/>
      <c r="Z374" s="8"/>
      <c r="AA374" s="8"/>
      <c r="AB374" s="139"/>
      <c r="AC374" s="139"/>
      <c r="AD374" s="139"/>
      <c r="AE374" s="8"/>
      <c r="AF374" s="140"/>
      <c r="AG374" s="141"/>
      <c r="AH374" s="141"/>
      <c r="AI374" s="352">
        <v>46310</v>
      </c>
      <c r="AJ374" s="141"/>
      <c r="AK374" s="311"/>
      <c r="AL374" s="141"/>
      <c r="AM374" s="141"/>
      <c r="AN374" s="141"/>
      <c r="AO374" s="141"/>
      <c r="AP374" s="141"/>
      <c r="AQ374" s="141"/>
      <c r="AR374" s="141"/>
      <c r="AS374" s="141"/>
      <c r="AT374" s="141"/>
      <c r="AU374" s="23"/>
      <c r="AV374" s="141"/>
      <c r="AW374" s="310">
        <f t="shared" si="54"/>
        <v>47</v>
      </c>
      <c r="AX374" s="155">
        <f t="shared" si="55"/>
        <v>370</v>
      </c>
      <c r="AY374" s="311"/>
      <c r="AZ374" s="311"/>
      <c r="BA374" s="311"/>
      <c r="BB374" s="311"/>
      <c r="BC374" s="311"/>
      <c r="BD374" s="141"/>
      <c r="BE374" s="141"/>
      <c r="BF374" s="141"/>
      <c r="BG374" s="141"/>
      <c r="BH374" s="23"/>
      <c r="BI374" s="133">
        <f t="shared" si="60"/>
        <v>47</v>
      </c>
      <c r="BJ374" s="155">
        <f t="shared" si="60"/>
        <v>370</v>
      </c>
      <c r="BK374" s="312"/>
      <c r="BL374" s="155"/>
      <c r="BM374" s="200"/>
      <c r="BN374" s="141"/>
      <c r="BO374" s="141"/>
      <c r="BP374" s="141"/>
    </row>
    <row r="375" spans="1:68" ht="15.5">
      <c r="A375" s="141" t="s">
        <v>120</v>
      </c>
      <c r="B375" s="23">
        <v>75</v>
      </c>
      <c r="C375" s="370">
        <v>46308</v>
      </c>
      <c r="D375" s="174">
        <f t="shared" si="56"/>
        <v>-46308</v>
      </c>
      <c r="E375" s="38" t="s">
        <v>75</v>
      </c>
      <c r="F375" s="302"/>
      <c r="G375" s="303"/>
      <c r="H375" s="304">
        <v>46309</v>
      </c>
      <c r="I375" s="148">
        <v>47</v>
      </c>
      <c r="J375" s="155">
        <v>371</v>
      </c>
      <c r="K375" s="138">
        <v>4.725E-2</v>
      </c>
      <c r="L375" s="8">
        <v>0.35750000000000004</v>
      </c>
      <c r="M375" s="366">
        <v>0.16</v>
      </c>
      <c r="N375" s="364">
        <v>37.5</v>
      </c>
      <c r="O375" s="139">
        <f t="shared" si="58"/>
        <v>30.5625</v>
      </c>
      <c r="P375" s="364">
        <v>81.5</v>
      </c>
      <c r="Q375" s="365">
        <v>0.23</v>
      </c>
      <c r="R375" s="140">
        <v>74</v>
      </c>
      <c r="S375" s="141" t="s">
        <v>584</v>
      </c>
      <c r="T375" s="141" t="s">
        <v>458</v>
      </c>
      <c r="U375" s="141"/>
      <c r="V375" s="156"/>
      <c r="W375" s="133">
        <f t="shared" si="59"/>
        <v>47</v>
      </c>
      <c r="X375" s="155">
        <f t="shared" si="59"/>
        <v>371</v>
      </c>
      <c r="Y375" s="138"/>
      <c r="Z375" s="8"/>
      <c r="AA375" s="8"/>
      <c r="AB375" s="139"/>
      <c r="AC375" s="139"/>
      <c r="AD375" s="139"/>
      <c r="AE375" s="8"/>
      <c r="AF375" s="140"/>
      <c r="AG375" s="141"/>
      <c r="AH375" s="141"/>
      <c r="AI375" s="352">
        <v>46309</v>
      </c>
      <c r="AJ375" s="141"/>
      <c r="AK375" s="311"/>
      <c r="AL375" s="141"/>
      <c r="AM375" s="141"/>
      <c r="AN375" s="141"/>
      <c r="AO375" s="141"/>
      <c r="AP375" s="141"/>
      <c r="AQ375" s="141"/>
      <c r="AR375" s="141"/>
      <c r="AS375" s="141"/>
      <c r="AT375" s="141"/>
      <c r="AU375" s="23"/>
      <c r="AV375" s="141"/>
      <c r="AW375" s="310">
        <f t="shared" si="54"/>
        <v>47</v>
      </c>
      <c r="AX375" s="155">
        <f t="shared" si="55"/>
        <v>371</v>
      </c>
      <c r="AY375" s="311"/>
      <c r="AZ375" s="311"/>
      <c r="BA375" s="311"/>
      <c r="BB375" s="311"/>
      <c r="BC375" s="311"/>
      <c r="BD375" s="141"/>
      <c r="BE375" s="141"/>
      <c r="BF375" s="141"/>
      <c r="BG375" s="141"/>
      <c r="BH375" s="23"/>
      <c r="BI375" s="133">
        <f t="shared" si="60"/>
        <v>47</v>
      </c>
      <c r="BJ375" s="155">
        <f t="shared" si="60"/>
        <v>371</v>
      </c>
      <c r="BK375" s="312"/>
      <c r="BL375" s="155"/>
      <c r="BM375" s="200"/>
      <c r="BN375" s="141"/>
      <c r="BO375" s="141"/>
      <c r="BP375" s="141"/>
    </row>
    <row r="376" spans="1:68" ht="15.5">
      <c r="A376" s="141" t="s">
        <v>120</v>
      </c>
      <c r="B376" s="23">
        <v>75</v>
      </c>
      <c r="C376" s="370">
        <v>46308</v>
      </c>
      <c r="D376" s="174">
        <f t="shared" si="56"/>
        <v>-46308</v>
      </c>
      <c r="E376" s="38" t="s">
        <v>75</v>
      </c>
      <c r="F376" s="302"/>
      <c r="G376" s="303"/>
      <c r="H376" s="304">
        <v>46309</v>
      </c>
      <c r="I376" s="148">
        <v>47</v>
      </c>
      <c r="J376" s="155">
        <v>372</v>
      </c>
      <c r="K376" s="138">
        <v>3.4500000000000003E-2</v>
      </c>
      <c r="L376" s="8">
        <v>0.34</v>
      </c>
      <c r="M376" s="366">
        <v>0.2</v>
      </c>
      <c r="N376" s="364">
        <v>37</v>
      </c>
      <c r="O376" s="139">
        <f t="shared" si="58"/>
        <v>29.692499999999999</v>
      </c>
      <c r="P376" s="364">
        <v>80.25</v>
      </c>
      <c r="Q376" s="365">
        <v>0.23</v>
      </c>
      <c r="R376" s="140">
        <v>74</v>
      </c>
      <c r="S376" s="141" t="s">
        <v>584</v>
      </c>
      <c r="T376" s="141" t="s">
        <v>458</v>
      </c>
      <c r="U376" s="141"/>
      <c r="V376" s="156"/>
      <c r="W376" s="133">
        <f t="shared" si="59"/>
        <v>47</v>
      </c>
      <c r="X376" s="155">
        <f t="shared" si="59"/>
        <v>372</v>
      </c>
      <c r="Y376" s="138"/>
      <c r="Z376" s="8"/>
      <c r="AA376" s="8"/>
      <c r="AB376" s="139"/>
      <c r="AC376" s="139"/>
      <c r="AD376" s="139"/>
      <c r="AE376" s="8"/>
      <c r="AF376" s="140"/>
      <c r="AG376" s="141"/>
      <c r="AH376" s="141"/>
      <c r="AI376" s="352">
        <v>46309</v>
      </c>
      <c r="AJ376" s="141"/>
      <c r="AK376" s="311"/>
      <c r="AL376" s="141"/>
      <c r="AM376" s="141"/>
      <c r="AN376" s="141"/>
      <c r="AO376" s="141"/>
      <c r="AP376" s="141"/>
      <c r="AQ376" s="141"/>
      <c r="AR376" s="141"/>
      <c r="AS376" s="141"/>
      <c r="AT376" s="141"/>
      <c r="AU376" s="23"/>
      <c r="AV376" s="141"/>
      <c r="AW376" s="310">
        <f t="shared" si="54"/>
        <v>47</v>
      </c>
      <c r="AX376" s="155">
        <f t="shared" si="55"/>
        <v>372</v>
      </c>
      <c r="AY376" s="311"/>
      <c r="AZ376" s="311"/>
      <c r="BA376" s="311"/>
      <c r="BB376" s="311"/>
      <c r="BC376" s="311"/>
      <c r="BD376" s="141"/>
      <c r="BE376" s="141"/>
      <c r="BF376" s="141"/>
      <c r="BG376" s="141"/>
      <c r="BH376" s="23"/>
      <c r="BI376" s="133">
        <f t="shared" si="60"/>
        <v>47</v>
      </c>
      <c r="BJ376" s="155">
        <f t="shared" si="60"/>
        <v>372</v>
      </c>
      <c r="BK376" s="312"/>
      <c r="BL376" s="155"/>
      <c r="BM376" s="200"/>
      <c r="BN376" s="141"/>
      <c r="BO376" s="141"/>
      <c r="BP376" s="141"/>
    </row>
    <row r="377" spans="1:68" ht="15.5">
      <c r="A377" s="141" t="s">
        <v>120</v>
      </c>
      <c r="B377" s="23">
        <v>75</v>
      </c>
      <c r="C377" s="370">
        <v>46308</v>
      </c>
      <c r="D377" s="174">
        <f t="shared" si="56"/>
        <v>-46308</v>
      </c>
      <c r="E377" s="38" t="s">
        <v>75</v>
      </c>
      <c r="F377" s="302"/>
      <c r="G377" s="303"/>
      <c r="H377" s="304">
        <v>46309</v>
      </c>
      <c r="I377" s="148">
        <v>47</v>
      </c>
      <c r="J377" s="155">
        <v>373</v>
      </c>
      <c r="K377" s="138">
        <v>9.7750000000000004E-2</v>
      </c>
      <c r="L377" s="8">
        <v>0.33750000000000002</v>
      </c>
      <c r="M377" s="366">
        <v>0.19</v>
      </c>
      <c r="N377" s="364">
        <v>36.25</v>
      </c>
      <c r="O377" s="139">
        <f t="shared" si="58"/>
        <v>28.546875</v>
      </c>
      <c r="P377" s="364">
        <v>78.75</v>
      </c>
      <c r="Q377" s="365">
        <v>0.23</v>
      </c>
      <c r="R377" s="140">
        <v>71.5</v>
      </c>
      <c r="S377" s="141" t="s">
        <v>584</v>
      </c>
      <c r="T377" s="141" t="s">
        <v>458</v>
      </c>
      <c r="U377" s="141"/>
      <c r="V377" s="156"/>
      <c r="W377" s="133">
        <f t="shared" si="59"/>
        <v>47</v>
      </c>
      <c r="X377" s="155">
        <f t="shared" si="59"/>
        <v>373</v>
      </c>
      <c r="Y377" s="138"/>
      <c r="Z377" s="8"/>
      <c r="AA377" s="8"/>
      <c r="AB377" s="139"/>
      <c r="AC377" s="139"/>
      <c r="AD377" s="139"/>
      <c r="AE377" s="8"/>
      <c r="AF377" s="140"/>
      <c r="AG377" s="141"/>
      <c r="AH377" s="141"/>
      <c r="AI377" s="352">
        <v>46310</v>
      </c>
      <c r="AJ377" s="141"/>
      <c r="AK377" s="311"/>
      <c r="AL377" s="141"/>
      <c r="AM377" s="141"/>
      <c r="AN377" s="141"/>
      <c r="AO377" s="141"/>
      <c r="AP377" s="141"/>
      <c r="AQ377" s="141"/>
      <c r="AR377" s="141"/>
      <c r="AS377" s="141"/>
      <c r="AT377" s="141"/>
      <c r="AU377" s="23"/>
      <c r="AV377" s="141"/>
      <c r="AW377" s="310">
        <f t="shared" si="54"/>
        <v>47</v>
      </c>
      <c r="AX377" s="155">
        <f t="shared" si="55"/>
        <v>373</v>
      </c>
      <c r="AY377" s="311"/>
      <c r="AZ377" s="311"/>
      <c r="BA377" s="311"/>
      <c r="BB377" s="311"/>
      <c r="BC377" s="311"/>
      <c r="BD377" s="141"/>
      <c r="BE377" s="141"/>
      <c r="BF377" s="141"/>
      <c r="BG377" s="141"/>
      <c r="BH377" s="23"/>
      <c r="BI377" s="133">
        <f t="shared" si="60"/>
        <v>47</v>
      </c>
      <c r="BJ377" s="155">
        <f t="shared" si="60"/>
        <v>373</v>
      </c>
      <c r="BK377" s="312"/>
      <c r="BL377" s="155"/>
      <c r="BM377" s="200"/>
      <c r="BN377" s="141"/>
      <c r="BO377" s="141"/>
      <c r="BP377" s="141"/>
    </row>
    <row r="378" spans="1:68" ht="15.5">
      <c r="A378" s="141" t="s">
        <v>120</v>
      </c>
      <c r="B378" s="23">
        <v>75</v>
      </c>
      <c r="C378" s="370">
        <v>46308</v>
      </c>
      <c r="D378" s="174">
        <f t="shared" si="56"/>
        <v>-46308</v>
      </c>
      <c r="E378" s="38" t="s">
        <v>75</v>
      </c>
      <c r="F378" s="302"/>
      <c r="G378" s="303"/>
      <c r="H378" s="304">
        <v>46309</v>
      </c>
      <c r="I378" s="148">
        <v>47</v>
      </c>
      <c r="J378" s="155">
        <v>374</v>
      </c>
      <c r="K378" s="138">
        <v>5.0999999999999997E-2</v>
      </c>
      <c r="L378" s="8">
        <v>0.29749999999999999</v>
      </c>
      <c r="M378" s="366">
        <v>0.13</v>
      </c>
      <c r="N378" s="364">
        <v>35.25</v>
      </c>
      <c r="O378" s="139">
        <f t="shared" si="58"/>
        <v>27.759374999999999</v>
      </c>
      <c r="P378" s="364">
        <v>78.75</v>
      </c>
      <c r="Q378" s="365">
        <v>0.23</v>
      </c>
      <c r="R378" s="140">
        <v>71.5</v>
      </c>
      <c r="S378" s="141" t="s">
        <v>584</v>
      </c>
      <c r="T378" s="141" t="s">
        <v>458</v>
      </c>
      <c r="U378" s="141"/>
      <c r="V378" s="156"/>
      <c r="W378" s="133">
        <f t="shared" si="59"/>
        <v>47</v>
      </c>
      <c r="X378" s="155">
        <f t="shared" si="59"/>
        <v>374</v>
      </c>
      <c r="Y378" s="138"/>
      <c r="Z378" s="8"/>
      <c r="AA378" s="8"/>
      <c r="AB378" s="139"/>
      <c r="AC378" s="139"/>
      <c r="AD378" s="139"/>
      <c r="AE378" s="8"/>
      <c r="AF378" s="140"/>
      <c r="AG378" s="141"/>
      <c r="AH378" s="141"/>
      <c r="AI378" s="352">
        <v>46310</v>
      </c>
      <c r="AJ378" s="141"/>
      <c r="AK378" s="311"/>
      <c r="AL378" s="141"/>
      <c r="AM378" s="141"/>
      <c r="AN378" s="141"/>
      <c r="AO378" s="141"/>
      <c r="AP378" s="141"/>
      <c r="AQ378" s="141"/>
      <c r="AR378" s="141"/>
      <c r="AS378" s="141"/>
      <c r="AT378" s="141"/>
      <c r="AU378" s="23"/>
      <c r="AV378" s="141"/>
      <c r="AW378" s="310">
        <f t="shared" si="54"/>
        <v>47</v>
      </c>
      <c r="AX378" s="155">
        <f t="shared" si="55"/>
        <v>374</v>
      </c>
      <c r="AY378" s="311"/>
      <c r="AZ378" s="311"/>
      <c r="BA378" s="311"/>
      <c r="BB378" s="311"/>
      <c r="BC378" s="311"/>
      <c r="BD378" s="141"/>
      <c r="BE378" s="141"/>
      <c r="BF378" s="141"/>
      <c r="BG378" s="141"/>
      <c r="BH378" s="23"/>
      <c r="BI378" s="133">
        <f t="shared" si="60"/>
        <v>47</v>
      </c>
      <c r="BJ378" s="155">
        <f t="shared" si="60"/>
        <v>374</v>
      </c>
      <c r="BK378" s="312"/>
      <c r="BL378" s="155"/>
      <c r="BM378" s="200"/>
      <c r="BN378" s="141"/>
      <c r="BO378" s="141"/>
      <c r="BP378" s="141"/>
    </row>
    <row r="379" spans="1:68" ht="15.5">
      <c r="A379" s="141" t="s">
        <v>120</v>
      </c>
      <c r="B379" s="23">
        <v>76</v>
      </c>
      <c r="C379" s="370">
        <v>46309</v>
      </c>
      <c r="D379" s="174">
        <f t="shared" si="56"/>
        <v>-46309</v>
      </c>
      <c r="E379" s="38" t="s">
        <v>75</v>
      </c>
      <c r="F379" s="302"/>
      <c r="G379" s="303"/>
      <c r="H379" s="304">
        <v>46310</v>
      </c>
      <c r="I379" s="148">
        <v>47</v>
      </c>
      <c r="J379" s="155">
        <v>375</v>
      </c>
      <c r="K379" s="138">
        <v>8.6249999999999993E-2</v>
      </c>
      <c r="L379" s="8">
        <v>0.34</v>
      </c>
      <c r="M379" s="366">
        <v>0.21</v>
      </c>
      <c r="N379" s="364">
        <v>35.5</v>
      </c>
      <c r="O379" s="139">
        <f t="shared" si="58"/>
        <v>27.778749999999999</v>
      </c>
      <c r="P379" s="364">
        <v>78.25</v>
      </c>
      <c r="Q379" s="365">
        <v>0.23</v>
      </c>
      <c r="R379" s="140">
        <v>71.5</v>
      </c>
      <c r="S379" s="141" t="s">
        <v>584</v>
      </c>
      <c r="T379" s="141" t="s">
        <v>458</v>
      </c>
      <c r="U379" s="141"/>
      <c r="V379" s="156"/>
      <c r="W379" s="133">
        <f t="shared" si="59"/>
        <v>47</v>
      </c>
      <c r="X379" s="155">
        <f t="shared" si="59"/>
        <v>375</v>
      </c>
      <c r="Y379" s="138"/>
      <c r="Z379" s="8"/>
      <c r="AA379" s="8"/>
      <c r="AB379" s="139"/>
      <c r="AC379" s="139"/>
      <c r="AD379" s="139"/>
      <c r="AE379" s="8"/>
      <c r="AF379" s="140"/>
      <c r="AG379" s="141"/>
      <c r="AH379" s="141"/>
      <c r="AI379" s="352">
        <v>46310</v>
      </c>
      <c r="AJ379" s="141"/>
      <c r="AK379" s="311"/>
      <c r="AL379" s="141"/>
      <c r="AM379" s="141"/>
      <c r="AN379" s="141"/>
      <c r="AO379" s="141"/>
      <c r="AP379" s="141"/>
      <c r="AQ379" s="141"/>
      <c r="AR379" s="141"/>
      <c r="AS379" s="141"/>
      <c r="AT379" s="141"/>
      <c r="AU379" s="23"/>
      <c r="AV379" s="141"/>
      <c r="AW379" s="310">
        <f t="shared" si="54"/>
        <v>47</v>
      </c>
      <c r="AX379" s="155">
        <f t="shared" si="55"/>
        <v>375</v>
      </c>
      <c r="AY379" s="311"/>
      <c r="AZ379" s="311"/>
      <c r="BA379" s="311"/>
      <c r="BB379" s="311"/>
      <c r="BC379" s="311"/>
      <c r="BD379" s="141"/>
      <c r="BE379" s="141"/>
      <c r="BF379" s="141"/>
      <c r="BG379" s="141"/>
      <c r="BH379" s="23"/>
      <c r="BI379" s="133">
        <f t="shared" si="60"/>
        <v>47</v>
      </c>
      <c r="BJ379" s="155">
        <f t="shared" si="60"/>
        <v>375</v>
      </c>
      <c r="BK379" s="312"/>
      <c r="BL379" s="155"/>
      <c r="BM379" s="200"/>
      <c r="BN379" s="141"/>
      <c r="BO379" s="141"/>
      <c r="BP379" s="141"/>
    </row>
    <row r="380" spans="1:68" ht="15.5">
      <c r="A380" s="141" t="s">
        <v>120</v>
      </c>
      <c r="B380" s="23">
        <v>76</v>
      </c>
      <c r="C380" s="370">
        <v>46309</v>
      </c>
      <c r="D380" s="174">
        <f t="shared" si="56"/>
        <v>-46309</v>
      </c>
      <c r="E380" s="38" t="s">
        <v>75</v>
      </c>
      <c r="F380" s="302"/>
      <c r="G380" s="303"/>
      <c r="H380" s="304">
        <v>46310</v>
      </c>
      <c r="I380" s="148">
        <v>47</v>
      </c>
      <c r="J380" s="155">
        <v>376</v>
      </c>
      <c r="K380" s="138">
        <v>9.0999999999999998E-2</v>
      </c>
      <c r="L380" s="8">
        <v>0.31</v>
      </c>
      <c r="M380" s="366">
        <v>0.38</v>
      </c>
      <c r="N380" s="364">
        <v>35.5</v>
      </c>
      <c r="O380" s="139">
        <f t="shared" si="58"/>
        <v>28.48875</v>
      </c>
      <c r="P380" s="364">
        <v>80.25</v>
      </c>
      <c r="Q380" s="365">
        <v>0.23</v>
      </c>
      <c r="R380" s="140">
        <v>71.5</v>
      </c>
      <c r="S380" s="141" t="s">
        <v>584</v>
      </c>
      <c r="T380" s="141" t="s">
        <v>458</v>
      </c>
      <c r="U380" s="141"/>
      <c r="V380" s="156"/>
      <c r="W380" s="133">
        <f t="shared" si="59"/>
        <v>47</v>
      </c>
      <c r="X380" s="155">
        <f t="shared" si="59"/>
        <v>376</v>
      </c>
      <c r="Y380" s="138"/>
      <c r="Z380" s="8"/>
      <c r="AA380" s="8"/>
      <c r="AB380" s="139"/>
      <c r="AC380" s="139"/>
      <c r="AD380" s="139"/>
      <c r="AE380" s="8"/>
      <c r="AF380" s="140"/>
      <c r="AG380" s="141"/>
      <c r="AH380" s="141"/>
      <c r="AI380" s="352">
        <v>46310</v>
      </c>
      <c r="AJ380" s="141"/>
      <c r="AK380" s="311"/>
      <c r="AL380" s="141"/>
      <c r="AM380" s="141"/>
      <c r="AN380" s="141"/>
      <c r="AO380" s="141"/>
      <c r="AP380" s="141"/>
      <c r="AQ380" s="141"/>
      <c r="AR380" s="141"/>
      <c r="AS380" s="141"/>
      <c r="AT380" s="141"/>
      <c r="AU380" s="23"/>
      <c r="AV380" s="141"/>
      <c r="AW380" s="310">
        <f t="shared" si="54"/>
        <v>47</v>
      </c>
      <c r="AX380" s="155">
        <f t="shared" si="55"/>
        <v>376</v>
      </c>
      <c r="AY380" s="311"/>
      <c r="AZ380" s="311"/>
      <c r="BA380" s="311"/>
      <c r="BB380" s="311"/>
      <c r="BC380" s="311"/>
      <c r="BD380" s="141"/>
      <c r="BE380" s="141"/>
      <c r="BF380" s="141"/>
      <c r="BG380" s="141"/>
      <c r="BH380" s="23"/>
      <c r="BI380" s="133">
        <f t="shared" si="60"/>
        <v>47</v>
      </c>
      <c r="BJ380" s="155">
        <f t="shared" si="60"/>
        <v>376</v>
      </c>
      <c r="BK380" s="312"/>
      <c r="BL380" s="155"/>
      <c r="BM380" s="200"/>
      <c r="BN380" s="141"/>
      <c r="BO380" s="141"/>
      <c r="BP380" s="141"/>
    </row>
    <row r="381" spans="1:68" ht="15.5">
      <c r="A381" s="141" t="s">
        <v>120</v>
      </c>
      <c r="B381" s="23">
        <v>76</v>
      </c>
      <c r="C381" s="370">
        <v>46309</v>
      </c>
      <c r="D381" s="174">
        <f t="shared" si="56"/>
        <v>-46309</v>
      </c>
      <c r="E381" s="38" t="s">
        <v>75</v>
      </c>
      <c r="F381" s="302"/>
      <c r="G381" s="303"/>
      <c r="H381" s="304">
        <v>46310</v>
      </c>
      <c r="I381" s="148">
        <v>48</v>
      </c>
      <c r="J381" s="155">
        <v>377</v>
      </c>
      <c r="K381" s="138">
        <v>9.5000000000000001E-2</v>
      </c>
      <c r="L381" s="8">
        <v>0.32</v>
      </c>
      <c r="M381" s="366">
        <v>0.22</v>
      </c>
      <c r="N381" s="364">
        <v>35.75</v>
      </c>
      <c r="O381" s="139">
        <f t="shared" si="58"/>
        <v>29.046875</v>
      </c>
      <c r="P381" s="364">
        <v>81.25</v>
      </c>
      <c r="Q381" s="365">
        <v>0.23</v>
      </c>
      <c r="R381" s="140">
        <v>72</v>
      </c>
      <c r="S381" s="141"/>
      <c r="T381" s="141"/>
      <c r="U381" s="141"/>
      <c r="V381" s="156"/>
      <c r="W381" s="133">
        <f t="shared" si="59"/>
        <v>48</v>
      </c>
      <c r="X381" s="155">
        <f t="shared" si="59"/>
        <v>377</v>
      </c>
      <c r="Y381" s="138"/>
      <c r="Z381" s="8"/>
      <c r="AA381" s="8"/>
      <c r="AB381" s="139"/>
      <c r="AC381" s="139"/>
      <c r="AD381" s="139"/>
      <c r="AE381" s="8"/>
      <c r="AF381" s="140"/>
      <c r="AG381" s="141"/>
      <c r="AH381" s="141"/>
      <c r="AI381" s="352">
        <v>46310</v>
      </c>
      <c r="AJ381" s="141"/>
      <c r="AK381" s="311"/>
      <c r="AL381" s="141"/>
      <c r="AM381" s="141"/>
      <c r="AN381" s="141"/>
      <c r="AO381" s="141"/>
      <c r="AP381" s="141"/>
      <c r="AQ381" s="141"/>
      <c r="AR381" s="141"/>
      <c r="AS381" s="141"/>
      <c r="AT381" s="141"/>
      <c r="AU381" s="23"/>
      <c r="AV381" s="141"/>
      <c r="AW381" s="310">
        <f t="shared" si="54"/>
        <v>48</v>
      </c>
      <c r="AX381" s="155">
        <f t="shared" si="55"/>
        <v>377</v>
      </c>
      <c r="AY381" s="311"/>
      <c r="AZ381" s="311"/>
      <c r="BA381" s="311"/>
      <c r="BB381" s="311"/>
      <c r="BC381" s="311"/>
      <c r="BD381" s="141"/>
      <c r="BE381" s="141"/>
      <c r="BF381" s="141"/>
      <c r="BG381" s="141"/>
      <c r="BH381" s="23"/>
      <c r="BI381" s="133">
        <f t="shared" si="60"/>
        <v>48</v>
      </c>
      <c r="BJ381" s="155">
        <f t="shared" si="60"/>
        <v>377</v>
      </c>
      <c r="BK381" s="312"/>
      <c r="BL381" s="155"/>
      <c r="BM381" s="200"/>
      <c r="BN381" s="141"/>
      <c r="BO381" s="141"/>
      <c r="BP381" s="141"/>
    </row>
    <row r="382" spans="1:68" ht="15.5">
      <c r="A382" s="141" t="s">
        <v>120</v>
      </c>
      <c r="B382" s="23">
        <v>76</v>
      </c>
      <c r="C382" s="370">
        <v>46309</v>
      </c>
      <c r="D382" s="174">
        <f t="shared" si="56"/>
        <v>-46309</v>
      </c>
      <c r="E382" s="38" t="s">
        <v>75</v>
      </c>
      <c r="F382" s="302"/>
      <c r="G382" s="303"/>
      <c r="H382" s="304">
        <v>46310</v>
      </c>
      <c r="I382" s="148">
        <v>48</v>
      </c>
      <c r="J382" s="155">
        <v>378</v>
      </c>
      <c r="K382" s="138">
        <v>4.0250000000000001E-2</v>
      </c>
      <c r="L382" s="8">
        <v>0.32250000000000001</v>
      </c>
      <c r="M382" s="366">
        <v>0.23</v>
      </c>
      <c r="N382" s="364">
        <v>35.25</v>
      </c>
      <c r="O382" s="139">
        <f t="shared" si="58"/>
        <v>28.552499999999998</v>
      </c>
      <c r="P382" s="364">
        <v>81</v>
      </c>
      <c r="Q382" s="365">
        <v>0.23</v>
      </c>
      <c r="R382" s="140">
        <v>72</v>
      </c>
      <c r="S382" s="141"/>
      <c r="T382" s="141"/>
      <c r="U382" s="141"/>
      <c r="V382" s="156"/>
      <c r="W382" s="133">
        <f t="shared" si="59"/>
        <v>48</v>
      </c>
      <c r="X382" s="155">
        <f t="shared" si="59"/>
        <v>378</v>
      </c>
      <c r="Y382" s="138"/>
      <c r="Z382" s="8"/>
      <c r="AA382" s="8"/>
      <c r="AB382" s="139"/>
      <c r="AC382" s="139"/>
      <c r="AD382" s="139"/>
      <c r="AE382" s="8"/>
      <c r="AF382" s="140"/>
      <c r="AG382" s="141"/>
      <c r="AH382" s="141"/>
      <c r="AI382" s="352">
        <v>46310</v>
      </c>
      <c r="AJ382" s="141"/>
      <c r="AK382" s="311"/>
      <c r="AL382" s="141"/>
      <c r="AM382" s="141"/>
      <c r="AN382" s="141"/>
      <c r="AO382" s="141"/>
      <c r="AP382" s="141"/>
      <c r="AQ382" s="141"/>
      <c r="AR382" s="141"/>
      <c r="AS382" s="141"/>
      <c r="AT382" s="141"/>
      <c r="AU382" s="23"/>
      <c r="AV382" s="141"/>
      <c r="AW382" s="310">
        <f t="shared" si="54"/>
        <v>48</v>
      </c>
      <c r="AX382" s="155">
        <f t="shared" si="55"/>
        <v>378</v>
      </c>
      <c r="AY382" s="311"/>
      <c r="AZ382" s="311"/>
      <c r="BA382" s="311"/>
      <c r="BB382" s="311"/>
      <c r="BC382" s="311"/>
      <c r="BD382" s="141"/>
      <c r="BE382" s="141"/>
      <c r="BF382" s="141"/>
      <c r="BG382" s="141"/>
      <c r="BH382" s="23"/>
      <c r="BI382" s="133">
        <f t="shared" si="60"/>
        <v>48</v>
      </c>
      <c r="BJ382" s="155">
        <f t="shared" si="60"/>
        <v>378</v>
      </c>
      <c r="BK382" s="312"/>
      <c r="BL382" s="155"/>
      <c r="BM382" s="200"/>
      <c r="BN382" s="141"/>
      <c r="BO382" s="141"/>
      <c r="BP382" s="141"/>
    </row>
    <row r="383" spans="1:68" ht="15.5">
      <c r="A383" s="141" t="s">
        <v>120</v>
      </c>
      <c r="B383" s="23">
        <v>77</v>
      </c>
      <c r="C383" s="370">
        <v>46310</v>
      </c>
      <c r="D383" s="174">
        <f t="shared" si="56"/>
        <v>-46310</v>
      </c>
      <c r="E383" s="38" t="s">
        <v>75</v>
      </c>
      <c r="F383" s="302"/>
      <c r="G383" s="303"/>
      <c r="H383" s="304">
        <v>46311</v>
      </c>
      <c r="I383" s="148">
        <v>48</v>
      </c>
      <c r="J383" s="155">
        <v>379</v>
      </c>
      <c r="K383" s="138">
        <v>2.1999999999999999E-2</v>
      </c>
      <c r="L383" s="8">
        <v>0.33</v>
      </c>
      <c r="M383" s="366">
        <v>0.5</v>
      </c>
      <c r="N383" s="364">
        <v>35.5</v>
      </c>
      <c r="O383" s="139">
        <f t="shared" si="58"/>
        <v>28.045000000000002</v>
      </c>
      <c r="P383" s="364">
        <v>79</v>
      </c>
      <c r="Q383" s="365">
        <v>0.23</v>
      </c>
      <c r="R383" s="140">
        <v>72</v>
      </c>
      <c r="S383" s="141"/>
      <c r="T383" s="141"/>
      <c r="U383" s="141"/>
      <c r="V383" s="156"/>
      <c r="W383" s="133">
        <f t="shared" si="59"/>
        <v>48</v>
      </c>
      <c r="X383" s="155">
        <f t="shared" si="59"/>
        <v>379</v>
      </c>
      <c r="Y383" s="138"/>
      <c r="Z383" s="8"/>
      <c r="AA383" s="8"/>
      <c r="AB383" s="139"/>
      <c r="AC383" s="139"/>
      <c r="AD383" s="139"/>
      <c r="AE383" s="8"/>
      <c r="AF383" s="140"/>
      <c r="AG383" s="141"/>
      <c r="AH383" s="141"/>
      <c r="AI383" s="352">
        <v>46311</v>
      </c>
      <c r="AJ383" s="141"/>
      <c r="AK383" s="141"/>
      <c r="AL383" s="141"/>
      <c r="AM383" s="141"/>
      <c r="AN383" s="141"/>
      <c r="AO383" s="141"/>
      <c r="AP383" s="141"/>
      <c r="AQ383" s="141"/>
      <c r="AR383" s="141"/>
      <c r="AS383" s="141"/>
      <c r="AT383" s="141"/>
      <c r="AU383" s="23"/>
      <c r="AV383" s="141"/>
      <c r="AW383" s="310">
        <f t="shared" si="54"/>
        <v>48</v>
      </c>
      <c r="AX383" s="155">
        <f t="shared" si="55"/>
        <v>379</v>
      </c>
      <c r="AY383" s="311"/>
      <c r="AZ383" s="311"/>
      <c r="BA383" s="311"/>
      <c r="BB383" s="311"/>
      <c r="BC383" s="311"/>
      <c r="BD383" s="141"/>
      <c r="BE383" s="141"/>
      <c r="BF383" s="141"/>
      <c r="BG383" s="141"/>
      <c r="BH383" s="23"/>
      <c r="BI383" s="133">
        <f t="shared" si="60"/>
        <v>48</v>
      </c>
      <c r="BJ383" s="155">
        <f t="shared" si="60"/>
        <v>379</v>
      </c>
      <c r="BK383" s="312"/>
      <c r="BL383" s="155"/>
      <c r="BM383" s="200"/>
      <c r="BN383" s="141"/>
      <c r="BO383" s="141"/>
      <c r="BP383" s="141"/>
    </row>
    <row r="384" spans="1:68" ht="15.5">
      <c r="A384" s="141" t="s">
        <v>120</v>
      </c>
      <c r="B384" s="23">
        <v>77</v>
      </c>
      <c r="C384" s="370">
        <v>46310</v>
      </c>
      <c r="D384" s="174">
        <f t="shared" si="56"/>
        <v>-46310</v>
      </c>
      <c r="E384" s="38" t="s">
        <v>75</v>
      </c>
      <c r="F384" s="302"/>
      <c r="G384" s="303"/>
      <c r="H384" s="304">
        <v>46311</v>
      </c>
      <c r="I384" s="148">
        <v>48</v>
      </c>
      <c r="J384" s="155">
        <v>380</v>
      </c>
      <c r="K384" s="138">
        <v>5.8249999999999996E-2</v>
      </c>
      <c r="L384" s="8">
        <v>0.32500000000000001</v>
      </c>
      <c r="M384" s="366">
        <v>0.33</v>
      </c>
      <c r="N384" s="364">
        <v>32.75</v>
      </c>
      <c r="O384" s="139">
        <f t="shared" si="58"/>
        <v>26.118124999999999</v>
      </c>
      <c r="P384" s="364">
        <v>79.75</v>
      </c>
      <c r="Q384" s="365">
        <v>0.23</v>
      </c>
      <c r="R384" s="140">
        <v>72</v>
      </c>
      <c r="S384" s="141"/>
      <c r="T384" s="141"/>
      <c r="U384" s="141"/>
      <c r="V384" s="156"/>
      <c r="W384" s="133">
        <f t="shared" si="59"/>
        <v>48</v>
      </c>
      <c r="X384" s="155">
        <f t="shared" si="59"/>
        <v>380</v>
      </c>
      <c r="Y384" s="138"/>
      <c r="Z384" s="8"/>
      <c r="AA384" s="8"/>
      <c r="AB384" s="139"/>
      <c r="AC384" s="139"/>
      <c r="AD384" s="139"/>
      <c r="AE384" s="8"/>
      <c r="AF384" s="140"/>
      <c r="AG384" s="141"/>
      <c r="AH384" s="141"/>
      <c r="AI384" s="352">
        <v>46311</v>
      </c>
      <c r="AJ384" s="141"/>
      <c r="AK384" s="141"/>
      <c r="AL384" s="141"/>
      <c r="AM384" s="141"/>
      <c r="AN384" s="141"/>
      <c r="AO384" s="141"/>
      <c r="AP384" s="141"/>
      <c r="AQ384" s="141"/>
      <c r="AR384" s="141"/>
      <c r="AS384" s="141"/>
      <c r="AT384" s="141"/>
      <c r="AU384" s="23"/>
      <c r="AV384" s="141"/>
      <c r="AW384" s="310">
        <f t="shared" si="54"/>
        <v>48</v>
      </c>
      <c r="AX384" s="155">
        <f t="shared" si="55"/>
        <v>380</v>
      </c>
      <c r="AY384" s="311"/>
      <c r="AZ384" s="311"/>
      <c r="BA384" s="311"/>
      <c r="BB384" s="311"/>
      <c r="BC384" s="311"/>
      <c r="BD384" s="141"/>
      <c r="BE384" s="141"/>
      <c r="BF384" s="141"/>
      <c r="BG384" s="141"/>
      <c r="BH384" s="23"/>
      <c r="BI384" s="133">
        <f t="shared" si="60"/>
        <v>48</v>
      </c>
      <c r="BJ384" s="155">
        <f t="shared" si="60"/>
        <v>380</v>
      </c>
      <c r="BK384" s="312"/>
      <c r="BL384" s="155"/>
      <c r="BM384" s="200"/>
      <c r="BN384" s="141"/>
      <c r="BO384" s="141"/>
      <c r="BP384" s="141"/>
    </row>
    <row r="385" spans="1:68" ht="15.5">
      <c r="A385" s="141" t="s">
        <v>120</v>
      </c>
      <c r="B385" s="23">
        <v>77</v>
      </c>
      <c r="C385" s="370">
        <v>46310</v>
      </c>
      <c r="D385" s="174">
        <f t="shared" si="56"/>
        <v>-46310</v>
      </c>
      <c r="E385" s="38" t="s">
        <v>75</v>
      </c>
      <c r="F385" s="302"/>
      <c r="G385" s="303"/>
      <c r="H385" s="304">
        <v>46311</v>
      </c>
      <c r="I385" s="148">
        <v>48</v>
      </c>
      <c r="J385" s="155">
        <v>381</v>
      </c>
      <c r="K385" s="138">
        <v>2.2250000000000002E-2</v>
      </c>
      <c r="L385" s="8">
        <v>0.3075</v>
      </c>
      <c r="M385" s="366">
        <v>0.26</v>
      </c>
      <c r="N385" s="364">
        <v>35</v>
      </c>
      <c r="O385" s="139">
        <f t="shared" si="58"/>
        <v>28.262499999999999</v>
      </c>
      <c r="P385" s="364">
        <v>80.75</v>
      </c>
      <c r="Q385" s="365">
        <v>0.23</v>
      </c>
      <c r="R385" s="140">
        <v>69</v>
      </c>
      <c r="S385" s="141"/>
      <c r="T385" s="141"/>
      <c r="U385" s="141"/>
      <c r="V385" s="156"/>
      <c r="W385" s="133">
        <f t="shared" si="59"/>
        <v>48</v>
      </c>
      <c r="X385" s="155">
        <f t="shared" si="59"/>
        <v>381</v>
      </c>
      <c r="Y385" s="138"/>
      <c r="Z385" s="8"/>
      <c r="AA385" s="8"/>
      <c r="AB385" s="139"/>
      <c r="AC385" s="139"/>
      <c r="AD385" s="139"/>
      <c r="AE385" s="8"/>
      <c r="AF385" s="140"/>
      <c r="AG385" s="141"/>
      <c r="AH385" s="141"/>
      <c r="AI385" s="352">
        <v>46311</v>
      </c>
      <c r="AJ385" s="141"/>
      <c r="AK385" s="141"/>
      <c r="AL385" s="141"/>
      <c r="AM385" s="141"/>
      <c r="AN385" s="141"/>
      <c r="AO385" s="141"/>
      <c r="AP385" s="141"/>
      <c r="AQ385" s="141"/>
      <c r="AR385" s="141"/>
      <c r="AS385" s="141"/>
      <c r="AT385" s="141"/>
      <c r="AU385" s="23"/>
      <c r="AV385" s="141"/>
      <c r="AW385" s="310">
        <f t="shared" si="54"/>
        <v>48</v>
      </c>
      <c r="AX385" s="155">
        <f t="shared" si="55"/>
        <v>381</v>
      </c>
      <c r="AY385" s="311"/>
      <c r="AZ385" s="311"/>
      <c r="BA385" s="311"/>
      <c r="BB385" s="311"/>
      <c r="BC385" s="311"/>
      <c r="BD385" s="141"/>
      <c r="BE385" s="141"/>
      <c r="BF385" s="141"/>
      <c r="BG385" s="141"/>
      <c r="BH385" s="23"/>
      <c r="BI385" s="133">
        <f t="shared" si="60"/>
        <v>48</v>
      </c>
      <c r="BJ385" s="155">
        <f t="shared" si="60"/>
        <v>381</v>
      </c>
      <c r="BK385" s="312"/>
      <c r="BL385" s="155"/>
      <c r="BM385" s="200"/>
      <c r="BN385" s="141"/>
      <c r="BO385" s="141"/>
      <c r="BP385" s="141"/>
    </row>
    <row r="386" spans="1:68" ht="15.5">
      <c r="A386" s="141" t="s">
        <v>120</v>
      </c>
      <c r="B386" s="23">
        <v>77</v>
      </c>
      <c r="C386" s="370">
        <v>46310</v>
      </c>
      <c r="D386" s="174">
        <f t="shared" si="56"/>
        <v>-46310</v>
      </c>
      <c r="E386" s="38" t="s">
        <v>75</v>
      </c>
      <c r="F386" s="302"/>
      <c r="G386" s="303"/>
      <c r="H386" s="304">
        <v>46311</v>
      </c>
      <c r="I386" s="148">
        <v>48</v>
      </c>
      <c r="J386" s="155">
        <v>382</v>
      </c>
      <c r="K386" s="138">
        <v>6.6750000000000004E-2</v>
      </c>
      <c r="L386" s="8">
        <v>0.32</v>
      </c>
      <c r="M386" s="366">
        <v>0.18</v>
      </c>
      <c r="N386" s="364">
        <v>36.25</v>
      </c>
      <c r="O386" s="139">
        <f t="shared" si="58"/>
        <v>29.543749999999999</v>
      </c>
      <c r="P386" s="364">
        <v>81.5</v>
      </c>
      <c r="Q386" s="365">
        <v>0.23</v>
      </c>
      <c r="R386" s="140">
        <v>69</v>
      </c>
      <c r="S386" s="141"/>
      <c r="T386" s="141"/>
      <c r="U386" s="141"/>
      <c r="V386" s="156"/>
      <c r="W386" s="133">
        <f t="shared" si="59"/>
        <v>48</v>
      </c>
      <c r="X386" s="155">
        <f t="shared" si="59"/>
        <v>382</v>
      </c>
      <c r="Y386" s="138"/>
      <c r="Z386" s="8"/>
      <c r="AA386" s="8"/>
      <c r="AB386" s="139"/>
      <c r="AC386" s="139"/>
      <c r="AD386" s="139"/>
      <c r="AE386" s="8"/>
      <c r="AF386" s="140"/>
      <c r="AG386" s="141"/>
      <c r="AH386" s="141"/>
      <c r="AI386" s="352">
        <v>46311</v>
      </c>
      <c r="AJ386" s="141"/>
      <c r="AK386" s="141"/>
      <c r="AL386" s="141"/>
      <c r="AM386" s="141"/>
      <c r="AN386" s="141"/>
      <c r="AO386" s="141"/>
      <c r="AP386" s="141"/>
      <c r="AQ386" s="141"/>
      <c r="AR386" s="141"/>
      <c r="AS386" s="141"/>
      <c r="AT386" s="141"/>
      <c r="AU386" s="23"/>
      <c r="AV386" s="141"/>
      <c r="AW386" s="310">
        <f t="shared" si="54"/>
        <v>48</v>
      </c>
      <c r="AX386" s="155">
        <f t="shared" si="55"/>
        <v>382</v>
      </c>
      <c r="AY386" s="311"/>
      <c r="AZ386" s="311"/>
      <c r="BA386" s="311"/>
      <c r="BB386" s="311"/>
      <c r="BC386" s="311"/>
      <c r="BD386" s="141"/>
      <c r="BE386" s="141"/>
      <c r="BF386" s="141"/>
      <c r="BG386" s="141"/>
      <c r="BH386" s="23"/>
      <c r="BI386" s="133">
        <f t="shared" si="60"/>
        <v>48</v>
      </c>
      <c r="BJ386" s="155">
        <f t="shared" si="60"/>
        <v>382</v>
      </c>
      <c r="BK386" s="312"/>
      <c r="BL386" s="155"/>
      <c r="BM386" s="200"/>
      <c r="BN386" s="141"/>
      <c r="BO386" s="141"/>
      <c r="BP386" s="141"/>
    </row>
    <row r="387" spans="1:68" ht="15.5">
      <c r="A387" s="141" t="s">
        <v>120</v>
      </c>
      <c r="B387" s="23">
        <v>77</v>
      </c>
      <c r="C387" s="370">
        <v>46310</v>
      </c>
      <c r="D387" s="174">
        <f t="shared" si="56"/>
        <v>-46310</v>
      </c>
      <c r="E387" s="38" t="s">
        <v>75</v>
      </c>
      <c r="F387" s="302"/>
      <c r="G387" s="303"/>
      <c r="H387" s="304">
        <v>46311</v>
      </c>
      <c r="I387" s="148">
        <v>48</v>
      </c>
      <c r="J387" s="155">
        <v>383</v>
      </c>
      <c r="K387" s="138">
        <v>5.8749999999999997E-2</v>
      </c>
      <c r="L387" s="8">
        <v>0.34</v>
      </c>
      <c r="M387" s="366">
        <v>0.31</v>
      </c>
      <c r="N387" s="364">
        <v>37.5</v>
      </c>
      <c r="O387" s="139">
        <f t="shared" si="58"/>
        <v>29.4375</v>
      </c>
      <c r="P387" s="364">
        <v>78.5</v>
      </c>
      <c r="Q387" s="365">
        <v>0.23</v>
      </c>
      <c r="R387" s="140">
        <v>69</v>
      </c>
      <c r="S387" s="141"/>
      <c r="T387" s="141"/>
      <c r="U387" s="141"/>
      <c r="V387" s="156"/>
      <c r="W387" s="133">
        <f t="shared" si="59"/>
        <v>48</v>
      </c>
      <c r="X387" s="155">
        <f t="shared" si="59"/>
        <v>383</v>
      </c>
      <c r="Y387" s="138"/>
      <c r="Z387" s="8"/>
      <c r="AA387" s="8"/>
      <c r="AB387" s="139"/>
      <c r="AC387" s="139"/>
      <c r="AD387" s="139"/>
      <c r="AE387" s="8"/>
      <c r="AF387" s="140"/>
      <c r="AG387" s="141"/>
      <c r="AH387" s="141"/>
      <c r="AI387" s="352">
        <v>46311</v>
      </c>
      <c r="AJ387" s="141"/>
      <c r="AK387" s="311" t="s">
        <v>222</v>
      </c>
      <c r="AL387" s="141"/>
      <c r="AM387" s="141"/>
      <c r="AN387" s="141"/>
      <c r="AO387" s="141"/>
      <c r="AP387" s="141"/>
      <c r="AQ387" s="141"/>
      <c r="AR387" s="141"/>
      <c r="AS387" s="141"/>
      <c r="AT387" s="141"/>
      <c r="AU387" s="23"/>
      <c r="AV387" s="141"/>
      <c r="AW387" s="310">
        <f t="shared" si="54"/>
        <v>48</v>
      </c>
      <c r="AX387" s="155">
        <f t="shared" si="55"/>
        <v>383</v>
      </c>
      <c r="AY387" s="311"/>
      <c r="AZ387" s="311"/>
      <c r="BA387" s="311"/>
      <c r="BB387" s="311"/>
      <c r="BC387" s="311"/>
      <c r="BD387" s="141"/>
      <c r="BE387" s="141"/>
      <c r="BF387" s="141"/>
      <c r="BG387" s="141"/>
      <c r="BH387" s="23"/>
      <c r="BI387" s="133">
        <f t="shared" si="60"/>
        <v>48</v>
      </c>
      <c r="BJ387" s="155">
        <f t="shared" si="60"/>
        <v>383</v>
      </c>
      <c r="BK387" s="312"/>
      <c r="BL387" s="155"/>
      <c r="BM387" s="200"/>
      <c r="BN387" s="141"/>
      <c r="BO387" s="141"/>
      <c r="BP387" s="141"/>
    </row>
    <row r="388" spans="1:68" ht="15.5">
      <c r="A388" s="141" t="s">
        <v>120</v>
      </c>
      <c r="B388" s="23">
        <v>77</v>
      </c>
      <c r="C388" s="370">
        <v>46310</v>
      </c>
      <c r="D388" s="174">
        <f t="shared" si="56"/>
        <v>-46310</v>
      </c>
      <c r="E388" s="38" t="s">
        <v>75</v>
      </c>
      <c r="F388" s="302"/>
      <c r="G388" s="303"/>
      <c r="H388" s="304">
        <v>46311</v>
      </c>
      <c r="I388" s="148">
        <v>48</v>
      </c>
      <c r="J388" s="155">
        <v>384</v>
      </c>
      <c r="K388" s="138">
        <v>4.3250000000000004E-2</v>
      </c>
      <c r="L388" s="8">
        <v>0.34250000000000003</v>
      </c>
      <c r="M388" s="366">
        <v>0.25</v>
      </c>
      <c r="N388" s="364">
        <v>36.75</v>
      </c>
      <c r="O388" s="139">
        <f t="shared" si="58"/>
        <v>28.756875000000001</v>
      </c>
      <c r="P388" s="364">
        <v>78.25</v>
      </c>
      <c r="Q388" s="365">
        <v>0.23</v>
      </c>
      <c r="R388" s="140">
        <v>69</v>
      </c>
      <c r="S388" s="141"/>
      <c r="T388" s="141"/>
      <c r="U388" s="141"/>
      <c r="V388" s="156"/>
      <c r="W388" s="133">
        <f t="shared" si="59"/>
        <v>48</v>
      </c>
      <c r="X388" s="155">
        <f t="shared" si="59"/>
        <v>384</v>
      </c>
      <c r="Y388" s="138"/>
      <c r="Z388" s="8"/>
      <c r="AA388" s="8"/>
      <c r="AB388" s="139"/>
      <c r="AC388" s="139"/>
      <c r="AD388" s="139"/>
      <c r="AE388" s="8"/>
      <c r="AF388" s="140"/>
      <c r="AG388" s="141"/>
      <c r="AH388" s="141"/>
      <c r="AI388" s="352">
        <v>46311</v>
      </c>
      <c r="AJ388" s="141"/>
      <c r="AK388" s="141"/>
      <c r="AL388" s="141"/>
      <c r="AM388" s="141"/>
      <c r="AN388" s="141"/>
      <c r="AO388" s="141"/>
      <c r="AP388" s="141"/>
      <c r="AQ388" s="141"/>
      <c r="AR388" s="141"/>
      <c r="AS388" s="141"/>
      <c r="AT388" s="141"/>
      <c r="AU388" s="23"/>
      <c r="AV388" s="141"/>
      <c r="AW388" s="310">
        <f t="shared" si="54"/>
        <v>48</v>
      </c>
      <c r="AX388" s="155">
        <f t="shared" si="55"/>
        <v>384</v>
      </c>
      <c r="AY388" s="311"/>
      <c r="AZ388" s="311"/>
      <c r="BA388" s="311"/>
      <c r="BB388" s="311"/>
      <c r="BC388" s="311"/>
      <c r="BD388" s="141"/>
      <c r="BE388" s="141"/>
      <c r="BF388" s="141"/>
      <c r="BG388" s="141"/>
      <c r="BH388" s="23"/>
      <c r="BI388" s="133">
        <f t="shared" si="60"/>
        <v>48</v>
      </c>
      <c r="BJ388" s="155">
        <f t="shared" si="60"/>
        <v>384</v>
      </c>
      <c r="BK388" s="312"/>
      <c r="BL388" s="155"/>
      <c r="BM388" s="200"/>
      <c r="BN388" s="141"/>
      <c r="BO388" s="141"/>
      <c r="BP388" s="141"/>
    </row>
    <row r="389" spans="1:68" ht="15.5">
      <c r="A389" s="141" t="s">
        <v>120</v>
      </c>
      <c r="B389" s="23">
        <v>77</v>
      </c>
      <c r="C389" s="370">
        <v>46310</v>
      </c>
      <c r="D389" s="174">
        <f t="shared" ref="D389:D396" si="61">BH389-C389</f>
        <v>-46310</v>
      </c>
      <c r="E389" s="38" t="s">
        <v>75</v>
      </c>
      <c r="F389" s="302"/>
      <c r="G389" s="303"/>
      <c r="H389" s="304">
        <v>46311</v>
      </c>
      <c r="I389" s="148">
        <v>49</v>
      </c>
      <c r="J389" s="155">
        <v>385</v>
      </c>
      <c r="K389" s="138">
        <v>4.1250000000000002E-2</v>
      </c>
      <c r="L389" s="8">
        <v>0.32</v>
      </c>
      <c r="M389" s="366">
        <v>0.18</v>
      </c>
      <c r="N389" s="364">
        <v>37</v>
      </c>
      <c r="O389" s="139">
        <f t="shared" si="58"/>
        <v>28.675000000000001</v>
      </c>
      <c r="P389" s="364">
        <v>77.5</v>
      </c>
      <c r="Q389" s="365">
        <v>0.2</v>
      </c>
      <c r="R389" s="140">
        <v>72.5</v>
      </c>
      <c r="S389" s="141"/>
      <c r="T389" s="141"/>
      <c r="U389" s="141"/>
      <c r="V389" s="156"/>
      <c r="W389" s="133">
        <f t="shared" si="59"/>
        <v>49</v>
      </c>
      <c r="X389" s="155">
        <f t="shared" si="59"/>
        <v>385</v>
      </c>
      <c r="Y389" s="138"/>
      <c r="Z389" s="8"/>
      <c r="AA389" s="8"/>
      <c r="AB389" s="139"/>
      <c r="AC389" s="139"/>
      <c r="AD389" s="139"/>
      <c r="AE389" s="8"/>
      <c r="AF389" s="140"/>
      <c r="AG389" s="141"/>
      <c r="AH389" s="141"/>
      <c r="AI389" s="352">
        <v>46311</v>
      </c>
      <c r="AJ389" s="141"/>
      <c r="AK389" s="311" t="s">
        <v>222</v>
      </c>
      <c r="AL389" s="141"/>
      <c r="AM389" s="141"/>
      <c r="AN389" s="141"/>
      <c r="AO389" s="141"/>
      <c r="AP389" s="141"/>
      <c r="AQ389" s="141"/>
      <c r="AR389" s="141"/>
      <c r="AS389" s="141"/>
      <c r="AT389" s="141"/>
      <c r="AU389" s="23"/>
      <c r="AV389" s="141"/>
      <c r="AW389" s="310">
        <f t="shared" ref="AW389:AW404" si="62">I389</f>
        <v>49</v>
      </c>
      <c r="AX389" s="155">
        <f t="shared" ref="AX389:AX404" si="63">J389</f>
        <v>385</v>
      </c>
      <c r="AY389" s="311"/>
      <c r="AZ389" s="311"/>
      <c r="BA389" s="311"/>
      <c r="BB389" s="311"/>
      <c r="BC389" s="311"/>
      <c r="BD389" s="141"/>
      <c r="BE389" s="141"/>
      <c r="BF389" s="141"/>
      <c r="BG389" s="141"/>
      <c r="BH389" s="23"/>
      <c r="BI389" s="133">
        <f t="shared" si="60"/>
        <v>49</v>
      </c>
      <c r="BJ389" s="155">
        <f t="shared" si="60"/>
        <v>385</v>
      </c>
      <c r="BK389" s="312"/>
      <c r="BL389" s="155"/>
      <c r="BM389" s="200"/>
      <c r="BN389" s="141"/>
      <c r="BO389" s="141"/>
      <c r="BP389" s="141"/>
    </row>
    <row r="390" spans="1:68" ht="15.5">
      <c r="A390" s="141" t="s">
        <v>120</v>
      </c>
      <c r="B390" s="23">
        <v>77</v>
      </c>
      <c r="C390" s="370">
        <v>46310</v>
      </c>
      <c r="D390" s="174">
        <f t="shared" si="61"/>
        <v>-46310</v>
      </c>
      <c r="E390" s="38" t="s">
        <v>75</v>
      </c>
      <c r="F390" s="302"/>
      <c r="G390" s="303"/>
      <c r="H390" s="304">
        <v>46311</v>
      </c>
      <c r="I390" s="148">
        <v>49</v>
      </c>
      <c r="J390" s="155">
        <v>386</v>
      </c>
      <c r="K390" s="138">
        <v>4.725E-2</v>
      </c>
      <c r="L390" s="8">
        <v>0.32500000000000001</v>
      </c>
      <c r="M390" s="366">
        <v>0.17</v>
      </c>
      <c r="N390" s="364">
        <v>36.5</v>
      </c>
      <c r="O390" s="139">
        <f t="shared" si="58"/>
        <v>29.747499999999999</v>
      </c>
      <c r="P390" s="364">
        <v>81.5</v>
      </c>
      <c r="Q390" s="365">
        <v>0.2</v>
      </c>
      <c r="R390" s="140">
        <v>72.5</v>
      </c>
      <c r="S390" s="141"/>
      <c r="T390" s="141"/>
      <c r="U390" s="141"/>
      <c r="V390" s="156"/>
      <c r="W390" s="133">
        <f t="shared" si="59"/>
        <v>49</v>
      </c>
      <c r="X390" s="155">
        <f t="shared" si="59"/>
        <v>386</v>
      </c>
      <c r="Y390" s="138"/>
      <c r="Z390" s="8"/>
      <c r="AA390" s="8"/>
      <c r="AB390" s="139"/>
      <c r="AC390" s="139"/>
      <c r="AD390" s="139"/>
      <c r="AE390" s="8"/>
      <c r="AF390" s="140"/>
      <c r="AG390" s="141"/>
      <c r="AH390" s="141"/>
      <c r="AI390" s="352">
        <v>46311</v>
      </c>
      <c r="AJ390" s="141"/>
      <c r="AK390" s="311" t="s">
        <v>222</v>
      </c>
      <c r="AL390" s="141"/>
      <c r="AM390" s="141"/>
      <c r="AN390" s="141"/>
      <c r="AO390" s="141"/>
      <c r="AP390" s="141"/>
      <c r="AQ390" s="141"/>
      <c r="AR390" s="141"/>
      <c r="AS390" s="141"/>
      <c r="AT390" s="141"/>
      <c r="AU390" s="23"/>
      <c r="AV390" s="141"/>
      <c r="AW390" s="310">
        <f t="shared" si="62"/>
        <v>49</v>
      </c>
      <c r="AX390" s="155">
        <f t="shared" si="63"/>
        <v>386</v>
      </c>
      <c r="AY390" s="311"/>
      <c r="AZ390" s="311"/>
      <c r="BA390" s="311"/>
      <c r="BB390" s="311"/>
      <c r="BC390" s="311"/>
      <c r="BD390" s="141"/>
      <c r="BE390" s="141"/>
      <c r="BF390" s="141"/>
      <c r="BG390" s="141"/>
      <c r="BH390" s="23"/>
      <c r="BI390" s="133">
        <f t="shared" si="60"/>
        <v>49</v>
      </c>
      <c r="BJ390" s="155">
        <f t="shared" si="60"/>
        <v>386</v>
      </c>
      <c r="BK390" s="312"/>
      <c r="BL390" s="155"/>
      <c r="BM390" s="200"/>
      <c r="BN390" s="141"/>
      <c r="BO390" s="141"/>
      <c r="BP390" s="141"/>
    </row>
    <row r="391" spans="1:68" ht="15.5">
      <c r="A391" s="141" t="s">
        <v>120</v>
      </c>
      <c r="B391" s="23">
        <v>77</v>
      </c>
      <c r="C391" s="370">
        <v>46310</v>
      </c>
      <c r="D391" s="174">
        <f t="shared" si="61"/>
        <v>-46310</v>
      </c>
      <c r="E391" s="38" t="s">
        <v>75</v>
      </c>
      <c r="F391" s="302"/>
      <c r="G391" s="303"/>
      <c r="H391" s="304">
        <v>46311</v>
      </c>
      <c r="I391" s="148">
        <v>49</v>
      </c>
      <c r="J391" s="155">
        <v>387</v>
      </c>
      <c r="K391" s="138">
        <v>0.04</v>
      </c>
      <c r="L391" s="8">
        <v>0.34250000000000003</v>
      </c>
      <c r="M391" s="366">
        <v>0.2</v>
      </c>
      <c r="N391" s="364">
        <v>36.5</v>
      </c>
      <c r="O391" s="139">
        <f t="shared" si="58"/>
        <v>28.743749999999999</v>
      </c>
      <c r="P391" s="364">
        <v>78.75</v>
      </c>
      <c r="Q391" s="365">
        <v>0.2</v>
      </c>
      <c r="R391" s="140">
        <v>72.5</v>
      </c>
      <c r="S391" s="141"/>
      <c r="T391" s="141"/>
      <c r="U391" s="141"/>
      <c r="V391" s="156"/>
      <c r="W391" s="133">
        <f t="shared" si="59"/>
        <v>49</v>
      </c>
      <c r="X391" s="155">
        <f t="shared" si="59"/>
        <v>387</v>
      </c>
      <c r="Y391" s="138"/>
      <c r="Z391" s="8"/>
      <c r="AA391" s="8"/>
      <c r="AB391" s="139"/>
      <c r="AC391" s="139"/>
      <c r="AD391" s="139"/>
      <c r="AE391" s="8"/>
      <c r="AF391" s="140"/>
      <c r="AG391" s="141"/>
      <c r="AH391" s="141"/>
      <c r="AI391" s="352">
        <v>46311</v>
      </c>
      <c r="AJ391" s="141"/>
      <c r="AK391" s="311" t="s">
        <v>222</v>
      </c>
      <c r="AL391" s="141"/>
      <c r="AM391" s="141"/>
      <c r="AN391" s="141"/>
      <c r="AO391" s="141"/>
      <c r="AP391" s="141"/>
      <c r="AQ391" s="141"/>
      <c r="AR391" s="141"/>
      <c r="AS391" s="141"/>
      <c r="AT391" s="141"/>
      <c r="AU391" s="23"/>
      <c r="AV391" s="141"/>
      <c r="AW391" s="310">
        <f t="shared" si="62"/>
        <v>49</v>
      </c>
      <c r="AX391" s="155">
        <f t="shared" si="63"/>
        <v>387</v>
      </c>
      <c r="AY391" s="311"/>
      <c r="AZ391" s="311"/>
      <c r="BA391" s="311"/>
      <c r="BB391" s="311"/>
      <c r="BC391" s="311"/>
      <c r="BD391" s="141"/>
      <c r="BE391" s="141"/>
      <c r="BF391" s="141"/>
      <c r="BG391" s="141"/>
      <c r="BH391" s="23"/>
      <c r="BI391" s="133">
        <f t="shared" si="60"/>
        <v>49</v>
      </c>
      <c r="BJ391" s="155">
        <f t="shared" si="60"/>
        <v>387</v>
      </c>
      <c r="BK391" s="312"/>
      <c r="BL391" s="155"/>
      <c r="BM391" s="200"/>
      <c r="BN391" s="141"/>
      <c r="BO391" s="141"/>
      <c r="BP391" s="141"/>
    </row>
    <row r="392" spans="1:68" ht="15.5">
      <c r="A392" s="141" t="s">
        <v>120</v>
      </c>
      <c r="B392" s="23">
        <v>77</v>
      </c>
      <c r="C392" s="370">
        <v>46310</v>
      </c>
      <c r="D392" s="174">
        <f t="shared" si="61"/>
        <v>-46310</v>
      </c>
      <c r="E392" s="38" t="s">
        <v>75</v>
      </c>
      <c r="F392" s="302"/>
      <c r="G392" s="303"/>
      <c r="H392" s="304">
        <v>46311</v>
      </c>
      <c r="I392" s="148">
        <v>49</v>
      </c>
      <c r="J392" s="155">
        <v>388</v>
      </c>
      <c r="K392" s="138">
        <v>5.1249999999999997E-2</v>
      </c>
      <c r="L392" s="8">
        <v>0.30249999999999999</v>
      </c>
      <c r="M392" s="366">
        <v>0.17</v>
      </c>
      <c r="N392" s="364">
        <v>38</v>
      </c>
      <c r="O392" s="139">
        <f t="shared" si="58"/>
        <v>30.59</v>
      </c>
      <c r="P392" s="364">
        <v>80.5</v>
      </c>
      <c r="Q392" s="365">
        <v>0.2</v>
      </c>
      <c r="R392" s="140">
        <v>72.5</v>
      </c>
      <c r="S392" s="141"/>
      <c r="T392" s="141"/>
      <c r="U392" s="141"/>
      <c r="V392" s="156"/>
      <c r="W392" s="133">
        <f t="shared" si="59"/>
        <v>49</v>
      </c>
      <c r="X392" s="155">
        <f t="shared" si="59"/>
        <v>388</v>
      </c>
      <c r="Y392" s="138"/>
      <c r="Z392" s="8"/>
      <c r="AA392" s="8"/>
      <c r="AB392" s="139"/>
      <c r="AC392" s="139"/>
      <c r="AD392" s="139"/>
      <c r="AE392" s="8"/>
      <c r="AF392" s="140"/>
      <c r="AG392" s="141"/>
      <c r="AH392" s="141"/>
      <c r="AI392" s="352">
        <v>46311</v>
      </c>
      <c r="AJ392" s="141"/>
      <c r="AK392" s="311" t="s">
        <v>222</v>
      </c>
      <c r="AL392" s="141"/>
      <c r="AM392" s="141"/>
      <c r="AN392" s="141"/>
      <c r="AO392" s="141"/>
      <c r="AP392" s="141"/>
      <c r="AQ392" s="141"/>
      <c r="AR392" s="141"/>
      <c r="AS392" s="141"/>
      <c r="AT392" s="141"/>
      <c r="AU392" s="23"/>
      <c r="AV392" s="141"/>
      <c r="AW392" s="310">
        <f t="shared" si="62"/>
        <v>49</v>
      </c>
      <c r="AX392" s="155">
        <f t="shared" si="63"/>
        <v>388</v>
      </c>
      <c r="AY392" s="311"/>
      <c r="AZ392" s="311"/>
      <c r="BA392" s="311"/>
      <c r="BB392" s="311"/>
      <c r="BC392" s="311"/>
      <c r="BD392" s="141"/>
      <c r="BE392" s="141"/>
      <c r="BF392" s="141"/>
      <c r="BG392" s="141"/>
      <c r="BH392" s="23"/>
      <c r="BI392" s="133">
        <f t="shared" si="60"/>
        <v>49</v>
      </c>
      <c r="BJ392" s="155">
        <f t="shared" si="60"/>
        <v>388</v>
      </c>
      <c r="BK392" s="312"/>
      <c r="BL392" s="155"/>
      <c r="BM392" s="200"/>
      <c r="BN392" s="141"/>
      <c r="BO392" s="141"/>
      <c r="BP392" s="141"/>
    </row>
    <row r="393" spans="1:68" ht="15.5">
      <c r="A393" s="141" t="s">
        <v>120</v>
      </c>
      <c r="B393" s="23">
        <v>77</v>
      </c>
      <c r="C393" s="370">
        <v>46310</v>
      </c>
      <c r="D393" s="174">
        <f t="shared" si="61"/>
        <v>-46310</v>
      </c>
      <c r="E393" s="38" t="s">
        <v>75</v>
      </c>
      <c r="F393" s="302"/>
      <c r="G393" s="303"/>
      <c r="H393" s="304">
        <v>46311</v>
      </c>
      <c r="I393" s="148">
        <v>49</v>
      </c>
      <c r="J393" s="155">
        <v>389</v>
      </c>
      <c r="K393" s="138">
        <v>3.075E-2</v>
      </c>
      <c r="L393" s="8">
        <v>0.32500000000000001</v>
      </c>
      <c r="M393" s="366">
        <v>0.15</v>
      </c>
      <c r="N393" s="364">
        <v>37.75</v>
      </c>
      <c r="O393" s="139">
        <f t="shared" si="58"/>
        <v>30.01125</v>
      </c>
      <c r="P393" s="364">
        <v>79.5</v>
      </c>
      <c r="Q393" s="365">
        <v>0.2</v>
      </c>
      <c r="R393" s="140">
        <v>72</v>
      </c>
      <c r="S393" s="141"/>
      <c r="T393" s="141"/>
      <c r="U393" s="141"/>
      <c r="V393" s="156"/>
      <c r="W393" s="133">
        <f t="shared" si="59"/>
        <v>49</v>
      </c>
      <c r="X393" s="155">
        <f t="shared" si="59"/>
        <v>389</v>
      </c>
      <c r="Y393" s="138"/>
      <c r="Z393" s="8"/>
      <c r="AA393" s="8"/>
      <c r="AB393" s="139"/>
      <c r="AC393" s="139"/>
      <c r="AD393" s="139"/>
      <c r="AE393" s="8"/>
      <c r="AF393" s="140"/>
      <c r="AG393" s="141"/>
      <c r="AH393" s="141"/>
      <c r="AI393" s="352">
        <v>46311</v>
      </c>
      <c r="AJ393" s="141"/>
      <c r="AK393" s="311" t="s">
        <v>222</v>
      </c>
      <c r="AL393" s="141"/>
      <c r="AM393" s="141"/>
      <c r="AN393" s="141"/>
      <c r="AO393" s="141"/>
      <c r="AP393" s="141"/>
      <c r="AQ393" s="141"/>
      <c r="AR393" s="141"/>
      <c r="AS393" s="141"/>
      <c r="AT393" s="141"/>
      <c r="AU393" s="23"/>
      <c r="AV393" s="141"/>
      <c r="AW393" s="310">
        <f t="shared" si="62"/>
        <v>49</v>
      </c>
      <c r="AX393" s="155">
        <f t="shared" si="63"/>
        <v>389</v>
      </c>
      <c r="AY393" s="311"/>
      <c r="AZ393" s="311"/>
      <c r="BA393" s="311"/>
      <c r="BB393" s="311"/>
      <c r="BC393" s="311"/>
      <c r="BD393" s="141"/>
      <c r="BE393" s="141"/>
      <c r="BF393" s="141"/>
      <c r="BG393" s="141"/>
      <c r="BH393" s="23"/>
      <c r="BI393" s="133">
        <f t="shared" si="60"/>
        <v>49</v>
      </c>
      <c r="BJ393" s="155">
        <f t="shared" si="60"/>
        <v>389</v>
      </c>
      <c r="BK393" s="312"/>
      <c r="BL393" s="155"/>
      <c r="BM393" s="200"/>
      <c r="BN393" s="141"/>
      <c r="BO393" s="141"/>
      <c r="BP393" s="141"/>
    </row>
    <row r="394" spans="1:68" ht="15.5">
      <c r="A394" s="141" t="s">
        <v>120</v>
      </c>
      <c r="B394" s="23">
        <v>77</v>
      </c>
      <c r="C394" s="370">
        <v>46310</v>
      </c>
      <c r="D394" s="174">
        <f t="shared" si="61"/>
        <v>-46310</v>
      </c>
      <c r="E394" s="38" t="s">
        <v>75</v>
      </c>
      <c r="F394" s="302"/>
      <c r="G394" s="303"/>
      <c r="H394" s="304">
        <v>46311</v>
      </c>
      <c r="I394" s="148">
        <v>49</v>
      </c>
      <c r="J394" s="155">
        <v>390</v>
      </c>
      <c r="K394" s="138">
        <v>3.8500000000000006E-2</v>
      </c>
      <c r="L394" s="8">
        <v>0.32500000000000001</v>
      </c>
      <c r="M394" s="366">
        <v>0.34</v>
      </c>
      <c r="N394" s="364">
        <v>39.25</v>
      </c>
      <c r="O394" s="139">
        <f t="shared" si="58"/>
        <v>31.203749999999999</v>
      </c>
      <c r="P394" s="364">
        <v>79.5</v>
      </c>
      <c r="Q394" s="365">
        <v>0.2</v>
      </c>
      <c r="R394" s="140">
        <v>72</v>
      </c>
      <c r="S394" s="141"/>
      <c r="T394" s="141"/>
      <c r="U394" s="141"/>
      <c r="V394" s="156"/>
      <c r="W394" s="133">
        <f t="shared" si="59"/>
        <v>49</v>
      </c>
      <c r="X394" s="155">
        <f t="shared" si="59"/>
        <v>390</v>
      </c>
      <c r="Y394" s="138"/>
      <c r="Z394" s="8"/>
      <c r="AA394" s="8"/>
      <c r="AB394" s="139"/>
      <c r="AC394" s="139"/>
      <c r="AD394" s="139"/>
      <c r="AE394" s="8"/>
      <c r="AF394" s="140"/>
      <c r="AG394" s="141"/>
      <c r="AH394" s="141"/>
      <c r="AI394" s="352">
        <v>46311</v>
      </c>
      <c r="AJ394" s="141"/>
      <c r="AK394" s="311" t="s">
        <v>222</v>
      </c>
      <c r="AL394" s="141"/>
      <c r="AM394" s="141"/>
      <c r="AN394" s="141"/>
      <c r="AO394" s="141"/>
      <c r="AP394" s="141"/>
      <c r="AQ394" s="141"/>
      <c r="AR394" s="141"/>
      <c r="AS394" s="141"/>
      <c r="AT394" s="141"/>
      <c r="AU394" s="23"/>
      <c r="AV394" s="141"/>
      <c r="AW394" s="310">
        <f t="shared" si="62"/>
        <v>49</v>
      </c>
      <c r="AX394" s="155">
        <f t="shared" si="63"/>
        <v>390</v>
      </c>
      <c r="AY394" s="311"/>
      <c r="AZ394" s="311"/>
      <c r="BA394" s="311"/>
      <c r="BB394" s="311"/>
      <c r="BC394" s="311"/>
      <c r="BD394" s="141"/>
      <c r="BE394" s="141"/>
      <c r="BF394" s="141"/>
      <c r="BG394" s="141"/>
      <c r="BH394" s="23"/>
      <c r="BI394" s="133">
        <f t="shared" si="60"/>
        <v>49</v>
      </c>
      <c r="BJ394" s="155">
        <f t="shared" si="60"/>
        <v>390</v>
      </c>
      <c r="BK394" s="312"/>
      <c r="BL394" s="155"/>
      <c r="BM394" s="200"/>
      <c r="BN394" s="141"/>
      <c r="BO394" s="141"/>
      <c r="BP394" s="141"/>
    </row>
    <row r="395" spans="1:68" ht="15.5">
      <c r="A395" s="141" t="s">
        <v>120</v>
      </c>
      <c r="B395" s="23">
        <v>77</v>
      </c>
      <c r="C395" s="370">
        <v>46310</v>
      </c>
      <c r="D395" s="174">
        <f t="shared" si="61"/>
        <v>-46310</v>
      </c>
      <c r="E395" s="38" t="s">
        <v>75</v>
      </c>
      <c r="F395" s="302"/>
      <c r="G395" s="303"/>
      <c r="H395" s="304">
        <v>46311</v>
      </c>
      <c r="I395" s="148">
        <v>49</v>
      </c>
      <c r="J395" s="155">
        <v>391</v>
      </c>
      <c r="K395" s="138">
        <v>2.5000000000000001E-2</v>
      </c>
      <c r="L395" s="8">
        <v>0.34749999999999998</v>
      </c>
      <c r="M395" s="366">
        <v>0.23</v>
      </c>
      <c r="N395" s="364">
        <v>37.75</v>
      </c>
      <c r="O395" s="139">
        <f t="shared" si="58"/>
        <v>30.2</v>
      </c>
      <c r="P395" s="364">
        <v>80</v>
      </c>
      <c r="Q395" s="365">
        <v>0.2</v>
      </c>
      <c r="R395" s="140">
        <v>72</v>
      </c>
      <c r="S395" s="141"/>
      <c r="T395" s="141"/>
      <c r="U395" s="141"/>
      <c r="V395" s="156"/>
      <c r="W395" s="133">
        <f t="shared" si="59"/>
        <v>49</v>
      </c>
      <c r="X395" s="155">
        <f t="shared" si="59"/>
        <v>391</v>
      </c>
      <c r="Y395" s="138"/>
      <c r="Z395" s="8"/>
      <c r="AA395" s="8"/>
      <c r="AB395" s="139"/>
      <c r="AC395" s="139"/>
      <c r="AD395" s="139"/>
      <c r="AE395" s="8"/>
      <c r="AF395" s="140"/>
      <c r="AG395" s="141"/>
      <c r="AH395" s="141"/>
      <c r="AI395" s="352">
        <v>46311</v>
      </c>
      <c r="AJ395" s="141"/>
      <c r="AK395" s="311" t="s">
        <v>222</v>
      </c>
      <c r="AL395" s="141"/>
      <c r="AM395" s="141"/>
      <c r="AN395" s="141"/>
      <c r="AO395" s="141"/>
      <c r="AP395" s="141"/>
      <c r="AQ395" s="141"/>
      <c r="AR395" s="141"/>
      <c r="AS395" s="141"/>
      <c r="AT395" s="141"/>
      <c r="AU395" s="23"/>
      <c r="AV395" s="141"/>
      <c r="AW395" s="310">
        <f t="shared" si="62"/>
        <v>49</v>
      </c>
      <c r="AX395" s="155">
        <f t="shared" si="63"/>
        <v>391</v>
      </c>
      <c r="AY395" s="311"/>
      <c r="AZ395" s="311"/>
      <c r="BA395" s="311"/>
      <c r="BB395" s="311"/>
      <c r="BC395" s="311"/>
      <c r="BD395" s="141"/>
      <c r="BE395" s="141"/>
      <c r="BF395" s="141"/>
      <c r="BG395" s="141"/>
      <c r="BH395" s="23"/>
      <c r="BI395" s="133">
        <f t="shared" si="60"/>
        <v>49</v>
      </c>
      <c r="BJ395" s="155">
        <f t="shared" si="60"/>
        <v>391</v>
      </c>
      <c r="BK395" s="312"/>
      <c r="BL395" s="155"/>
      <c r="BM395" s="200"/>
      <c r="BN395" s="141"/>
      <c r="BO395" s="141"/>
      <c r="BP395" s="141"/>
    </row>
    <row r="396" spans="1:68" ht="15.5">
      <c r="A396" s="141" t="s">
        <v>120</v>
      </c>
      <c r="B396" s="23"/>
      <c r="C396" s="370">
        <v>46311</v>
      </c>
      <c r="D396" s="360">
        <f t="shared" si="61"/>
        <v>-46311</v>
      </c>
      <c r="E396" s="38" t="s">
        <v>75</v>
      </c>
      <c r="F396" s="302"/>
      <c r="G396" s="303"/>
      <c r="H396" s="304">
        <v>46312</v>
      </c>
      <c r="I396" s="148">
        <v>49</v>
      </c>
      <c r="J396" s="155">
        <v>392</v>
      </c>
      <c r="K396" s="138">
        <v>4.0999999999999995E-2</v>
      </c>
      <c r="L396" s="8">
        <v>0.34</v>
      </c>
      <c r="M396" s="366">
        <v>0.26</v>
      </c>
      <c r="N396" s="364">
        <v>37</v>
      </c>
      <c r="O396" s="139">
        <f t="shared" si="58"/>
        <v>29.414999999999999</v>
      </c>
      <c r="P396" s="364">
        <v>79.5</v>
      </c>
      <c r="Q396" s="365">
        <v>0.2</v>
      </c>
      <c r="R396" s="140">
        <v>72</v>
      </c>
      <c r="S396" s="141"/>
      <c r="T396" s="141"/>
      <c r="U396" s="141"/>
      <c r="V396" s="156"/>
      <c r="W396" s="133">
        <f t="shared" si="59"/>
        <v>49</v>
      </c>
      <c r="X396" s="155">
        <f t="shared" si="59"/>
        <v>392</v>
      </c>
      <c r="Y396" s="138"/>
      <c r="Z396" s="8"/>
      <c r="AA396" s="8"/>
      <c r="AB396" s="139"/>
      <c r="AC396" s="139"/>
      <c r="AD396" s="139"/>
      <c r="AE396" s="8"/>
      <c r="AF396" s="140"/>
      <c r="AG396" s="141"/>
      <c r="AH396" s="141"/>
      <c r="AI396" s="352">
        <v>46312</v>
      </c>
      <c r="AJ396" s="141"/>
      <c r="AK396" s="311" t="s">
        <v>222</v>
      </c>
      <c r="AL396" s="141"/>
      <c r="AM396" s="141"/>
      <c r="AN396" s="141"/>
      <c r="AO396" s="141"/>
      <c r="AP396" s="141"/>
      <c r="AQ396" s="141"/>
      <c r="AR396" s="141"/>
      <c r="AS396" s="141"/>
      <c r="AT396" s="141"/>
      <c r="AU396" s="23"/>
      <c r="AV396" s="141"/>
      <c r="AW396" s="310">
        <f t="shared" si="62"/>
        <v>49</v>
      </c>
      <c r="AX396" s="155">
        <f t="shared" si="63"/>
        <v>392</v>
      </c>
      <c r="AY396" s="311"/>
      <c r="AZ396" s="311"/>
      <c r="BA396" s="311"/>
      <c r="BB396" s="311"/>
      <c r="BC396" s="311"/>
      <c r="BD396" s="141"/>
      <c r="BE396" s="141"/>
      <c r="BF396" s="141"/>
      <c r="BG396" s="141"/>
      <c r="BH396" s="23"/>
      <c r="BI396" s="133">
        <f t="shared" si="60"/>
        <v>49</v>
      </c>
      <c r="BJ396" s="155">
        <f t="shared" si="60"/>
        <v>392</v>
      </c>
      <c r="BK396" s="312"/>
      <c r="BL396" s="155"/>
      <c r="BM396" s="200"/>
      <c r="BN396" s="141"/>
      <c r="BO396" s="141"/>
      <c r="BP396" s="141"/>
    </row>
    <row r="397" spans="1:68" ht="15.5">
      <c r="A397" s="141" t="s">
        <v>120</v>
      </c>
      <c r="B397" s="23"/>
      <c r="C397" s="370">
        <v>46311</v>
      </c>
      <c r="D397" s="360">
        <f t="shared" ref="D397:D398" si="64">BH397-C397</f>
        <v>-46311</v>
      </c>
      <c r="E397" s="38" t="s">
        <v>75</v>
      </c>
      <c r="F397" s="302"/>
      <c r="G397" s="303"/>
      <c r="H397" s="304">
        <v>46312</v>
      </c>
      <c r="I397" s="133">
        <v>50</v>
      </c>
      <c r="J397" s="155">
        <v>393</v>
      </c>
      <c r="K397" s="138">
        <v>4.1250000000000002E-2</v>
      </c>
      <c r="L397" s="8">
        <v>0.28000000000000003</v>
      </c>
      <c r="M397" s="8">
        <v>0.36</v>
      </c>
      <c r="N397" s="139">
        <v>37.25</v>
      </c>
      <c r="O397" s="139">
        <f t="shared" si="58"/>
        <v>29.427499999999998</v>
      </c>
      <c r="P397" s="364">
        <v>79</v>
      </c>
      <c r="Q397" s="366">
        <v>0.22</v>
      </c>
      <c r="R397" s="23"/>
      <c r="S397" s="141"/>
      <c r="T397" s="141"/>
      <c r="U397" s="141"/>
      <c r="V397" s="156"/>
      <c r="W397" s="133">
        <f t="shared" si="59"/>
        <v>50</v>
      </c>
      <c r="X397" s="155">
        <f t="shared" si="59"/>
        <v>393</v>
      </c>
      <c r="Y397" s="138"/>
      <c r="Z397" s="8"/>
      <c r="AA397" s="8"/>
      <c r="AB397" s="139"/>
      <c r="AC397" s="139"/>
      <c r="AD397" s="139"/>
      <c r="AE397" s="8"/>
      <c r="AF397" s="140"/>
      <c r="AG397" s="141"/>
      <c r="AH397" s="141"/>
      <c r="AI397" s="352">
        <v>46312</v>
      </c>
      <c r="AJ397" s="141"/>
      <c r="AK397" s="311" t="s">
        <v>222</v>
      </c>
      <c r="AL397" s="141"/>
      <c r="AM397" s="141"/>
      <c r="AN397" s="141"/>
      <c r="AO397" s="141"/>
      <c r="AP397" s="141"/>
      <c r="AQ397" s="141"/>
      <c r="AR397" s="141"/>
      <c r="AS397" s="141"/>
      <c r="AT397" s="141"/>
      <c r="AU397" s="23"/>
      <c r="AV397" s="141"/>
      <c r="AW397" s="310">
        <f t="shared" si="62"/>
        <v>50</v>
      </c>
      <c r="AX397" s="155">
        <f t="shared" si="63"/>
        <v>393</v>
      </c>
      <c r="AY397" s="311"/>
      <c r="AZ397" s="311"/>
      <c r="BA397" s="311"/>
      <c r="BB397" s="311"/>
      <c r="BC397" s="311"/>
      <c r="BD397" s="141"/>
      <c r="BE397" s="141"/>
      <c r="BF397" s="141"/>
      <c r="BG397" s="141"/>
      <c r="BH397" s="23"/>
      <c r="BI397" s="133"/>
      <c r="BJ397" s="155"/>
      <c r="BK397" s="312"/>
      <c r="BL397" s="155"/>
      <c r="BM397" s="200"/>
      <c r="BN397" s="141"/>
      <c r="BO397" s="141"/>
      <c r="BP397" s="141"/>
    </row>
    <row r="398" spans="1:68" ht="15.5">
      <c r="A398" s="141" t="s">
        <v>120</v>
      </c>
      <c r="B398" s="23"/>
      <c r="C398" s="370">
        <v>46311</v>
      </c>
      <c r="D398" s="360">
        <f t="shared" si="64"/>
        <v>-46311</v>
      </c>
      <c r="E398" s="38" t="s">
        <v>75</v>
      </c>
      <c r="F398" s="302"/>
      <c r="G398" s="303"/>
      <c r="H398" s="304">
        <v>46312</v>
      </c>
      <c r="I398" s="133">
        <v>50</v>
      </c>
      <c r="J398" s="155">
        <v>394</v>
      </c>
      <c r="K398" s="138">
        <v>2.2499999999999999E-2</v>
      </c>
      <c r="L398" s="8">
        <v>0.14000000000000001</v>
      </c>
      <c r="M398" s="8">
        <v>0.43</v>
      </c>
      <c r="N398" s="139">
        <v>19</v>
      </c>
      <c r="O398" s="139">
        <f t="shared" si="58"/>
        <v>7.5049999999999999</v>
      </c>
      <c r="P398" s="364">
        <v>39.5</v>
      </c>
      <c r="Q398" s="366">
        <v>0.22</v>
      </c>
      <c r="R398" s="23"/>
      <c r="S398" s="141"/>
      <c r="T398" s="141"/>
      <c r="U398" s="141"/>
      <c r="V398" s="156"/>
      <c r="W398" s="133">
        <f t="shared" si="59"/>
        <v>50</v>
      </c>
      <c r="X398" s="155">
        <f t="shared" si="59"/>
        <v>394</v>
      </c>
      <c r="Y398" s="138"/>
      <c r="Z398" s="8"/>
      <c r="AA398" s="8"/>
      <c r="AB398" s="139"/>
      <c r="AC398" s="139"/>
      <c r="AD398" s="139"/>
      <c r="AE398" s="8"/>
      <c r="AF398" s="140"/>
      <c r="AG398" s="141"/>
      <c r="AH398" s="141"/>
      <c r="AI398" s="352"/>
      <c r="AJ398" s="141"/>
      <c r="AK398" s="141"/>
      <c r="AL398" s="141"/>
      <c r="AM398" s="141"/>
      <c r="AN398" s="141"/>
      <c r="AO398" s="141"/>
      <c r="AP398" s="141"/>
      <c r="AQ398" s="141"/>
      <c r="AR398" s="141"/>
      <c r="AS398" s="141"/>
      <c r="AT398" s="141"/>
      <c r="AU398" s="23"/>
      <c r="AV398" s="141"/>
      <c r="AW398" s="310">
        <f t="shared" si="62"/>
        <v>50</v>
      </c>
      <c r="AX398" s="155">
        <f t="shared" si="63"/>
        <v>394</v>
      </c>
      <c r="AY398" s="311"/>
      <c r="AZ398" s="311"/>
      <c r="BA398" s="311"/>
      <c r="BB398" s="311"/>
      <c r="BC398" s="311"/>
      <c r="BD398" s="141"/>
      <c r="BE398" s="141"/>
      <c r="BF398" s="141"/>
      <c r="BG398" s="141"/>
      <c r="BH398" s="23"/>
      <c r="BI398" s="133"/>
      <c r="BJ398" s="155"/>
      <c r="BK398" s="312"/>
      <c r="BL398" s="155"/>
      <c r="BM398" s="200"/>
      <c r="BN398" s="141"/>
      <c r="BO398" s="141"/>
      <c r="BP398" s="141"/>
    </row>
    <row r="399" spans="1:68" ht="15.5">
      <c r="A399" s="141"/>
      <c r="B399" s="23"/>
      <c r="C399" s="370"/>
      <c r="D399" s="360"/>
      <c r="E399" s="38"/>
      <c r="F399" s="361"/>
      <c r="G399" s="362"/>
      <c r="H399" s="304"/>
      <c r="I399" s="133">
        <v>50</v>
      </c>
      <c r="J399" s="155">
        <v>395</v>
      </c>
      <c r="K399" s="138"/>
      <c r="L399" s="8"/>
      <c r="M399" s="8"/>
      <c r="N399" s="139"/>
      <c r="O399" s="139"/>
      <c r="P399" s="364"/>
      <c r="Q399" s="366">
        <v>0.22</v>
      </c>
      <c r="R399" s="23"/>
      <c r="S399" s="141"/>
      <c r="T399" s="141"/>
      <c r="U399" s="141"/>
      <c r="V399" s="156"/>
      <c r="W399" s="133">
        <f t="shared" si="59"/>
        <v>50</v>
      </c>
      <c r="X399" s="155">
        <f t="shared" si="59"/>
        <v>395</v>
      </c>
      <c r="Y399" s="138"/>
      <c r="Z399" s="8"/>
      <c r="AA399" s="8"/>
      <c r="AB399" s="139"/>
      <c r="AC399" s="139"/>
      <c r="AD399" s="139"/>
      <c r="AE399" s="8"/>
      <c r="AF399" s="140"/>
      <c r="AG399" s="141"/>
      <c r="AH399" s="141"/>
      <c r="AI399" s="352"/>
      <c r="AJ399" s="141"/>
      <c r="AK399" s="141"/>
      <c r="AL399" s="141"/>
      <c r="AM399" s="141"/>
      <c r="AN399" s="141"/>
      <c r="AO399" s="141"/>
      <c r="AP399" s="141"/>
      <c r="AQ399" s="141"/>
      <c r="AR399" s="141"/>
      <c r="AS399" s="141"/>
      <c r="AT399" s="141"/>
      <c r="AU399" s="23"/>
      <c r="AV399" s="141"/>
      <c r="AW399" s="310">
        <f t="shared" si="62"/>
        <v>50</v>
      </c>
      <c r="AX399" s="155">
        <f t="shared" si="63"/>
        <v>395</v>
      </c>
      <c r="AY399" s="311"/>
      <c r="AZ399" s="311"/>
      <c r="BA399" s="311"/>
      <c r="BB399" s="311"/>
      <c r="BC399" s="311"/>
      <c r="BD399" s="141"/>
      <c r="BE399" s="141"/>
      <c r="BF399" s="141"/>
      <c r="BG399" s="141"/>
      <c r="BH399" s="23"/>
      <c r="BI399" s="133"/>
      <c r="BJ399" s="155"/>
      <c r="BK399" s="312"/>
      <c r="BL399" s="155"/>
      <c r="BM399" s="200"/>
      <c r="BN399" s="141"/>
      <c r="BO399" s="141"/>
      <c r="BP399" s="141"/>
    </row>
    <row r="400" spans="1:68" ht="15.5">
      <c r="A400" s="141"/>
      <c r="B400" s="23"/>
      <c r="C400" s="370"/>
      <c r="D400" s="360"/>
      <c r="E400" s="38"/>
      <c r="F400" s="361"/>
      <c r="G400" s="362"/>
      <c r="H400" s="304"/>
      <c r="I400" s="133">
        <v>50</v>
      </c>
      <c r="J400" s="155">
        <v>396</v>
      </c>
      <c r="K400" s="138"/>
      <c r="L400" s="8"/>
      <c r="M400" s="8"/>
      <c r="N400" s="139"/>
      <c r="O400" s="139"/>
      <c r="P400" s="364"/>
      <c r="Q400" s="366">
        <v>0.22</v>
      </c>
      <c r="R400" s="23"/>
      <c r="S400" s="141"/>
      <c r="T400" s="141"/>
      <c r="U400" s="141"/>
      <c r="V400" s="156"/>
      <c r="W400" s="133">
        <f t="shared" si="59"/>
        <v>50</v>
      </c>
      <c r="X400" s="155">
        <f t="shared" si="59"/>
        <v>396</v>
      </c>
      <c r="Y400" s="138"/>
      <c r="Z400" s="8"/>
      <c r="AA400" s="8"/>
      <c r="AB400" s="139"/>
      <c r="AC400" s="139"/>
      <c r="AD400" s="139"/>
      <c r="AE400" s="8"/>
      <c r="AF400" s="140"/>
      <c r="AG400" s="141"/>
      <c r="AH400" s="141"/>
      <c r="AI400" s="352"/>
      <c r="AJ400" s="141"/>
      <c r="AK400" s="141"/>
      <c r="AL400" s="141"/>
      <c r="AM400" s="141"/>
      <c r="AN400" s="141"/>
      <c r="AO400" s="141"/>
      <c r="AP400" s="141"/>
      <c r="AQ400" s="141"/>
      <c r="AR400" s="141"/>
      <c r="AS400" s="141"/>
      <c r="AT400" s="141"/>
      <c r="AU400" s="23"/>
      <c r="AV400" s="141"/>
      <c r="AW400" s="310">
        <f t="shared" si="62"/>
        <v>50</v>
      </c>
      <c r="AX400" s="155">
        <f t="shared" si="63"/>
        <v>396</v>
      </c>
      <c r="AY400" s="311"/>
      <c r="AZ400" s="311"/>
      <c r="BA400" s="311"/>
      <c r="BB400" s="311"/>
      <c r="BC400" s="311"/>
      <c r="BD400" s="141"/>
      <c r="BE400" s="141"/>
      <c r="BF400" s="141"/>
      <c r="BG400" s="141"/>
      <c r="BH400" s="23"/>
      <c r="BI400" s="133"/>
      <c r="BJ400" s="155"/>
      <c r="BK400" s="312"/>
      <c r="BL400" s="155"/>
      <c r="BM400" s="200"/>
      <c r="BN400" s="141"/>
      <c r="BO400" s="141"/>
      <c r="BP400" s="141"/>
    </row>
    <row r="401" spans="1:68" ht="15.5">
      <c r="A401" s="141"/>
      <c r="B401" s="23"/>
      <c r="C401" s="370"/>
      <c r="D401" s="360"/>
      <c r="E401" s="38"/>
      <c r="F401" s="361"/>
      <c r="G401" s="362"/>
      <c r="H401" s="304"/>
      <c r="I401" s="133">
        <v>50</v>
      </c>
      <c r="J401" s="155">
        <v>397</v>
      </c>
      <c r="K401" s="138"/>
      <c r="L401" s="8"/>
      <c r="M401" s="8"/>
      <c r="N401" s="139"/>
      <c r="O401" s="139"/>
      <c r="P401" s="364"/>
      <c r="Q401" s="366">
        <v>0.22</v>
      </c>
      <c r="R401" s="23"/>
      <c r="S401" s="141"/>
      <c r="T401" s="141"/>
      <c r="U401" s="141"/>
      <c r="V401" s="156"/>
      <c r="W401" s="133">
        <f t="shared" si="59"/>
        <v>50</v>
      </c>
      <c r="X401" s="155">
        <f t="shared" si="59"/>
        <v>397</v>
      </c>
      <c r="Y401" s="138"/>
      <c r="Z401" s="8"/>
      <c r="AA401" s="8"/>
      <c r="AB401" s="139"/>
      <c r="AC401" s="139"/>
      <c r="AD401" s="139"/>
      <c r="AE401" s="8"/>
      <c r="AF401" s="140"/>
      <c r="AG401" s="141"/>
      <c r="AH401" s="141"/>
      <c r="AI401" s="352"/>
      <c r="AJ401" s="141"/>
      <c r="AK401" s="141"/>
      <c r="AL401" s="141"/>
      <c r="AM401" s="141"/>
      <c r="AN401" s="141"/>
      <c r="AO401" s="141"/>
      <c r="AP401" s="141"/>
      <c r="AQ401" s="141"/>
      <c r="AR401" s="141"/>
      <c r="AS401" s="141"/>
      <c r="AT401" s="141"/>
      <c r="AU401" s="23"/>
      <c r="AV401" s="141"/>
      <c r="AW401" s="310">
        <f t="shared" si="62"/>
        <v>50</v>
      </c>
      <c r="AX401" s="155">
        <f t="shared" si="63"/>
        <v>397</v>
      </c>
      <c r="AY401" s="311"/>
      <c r="AZ401" s="311"/>
      <c r="BA401" s="311"/>
      <c r="BB401" s="311"/>
      <c r="BC401" s="311"/>
      <c r="BD401" s="141"/>
      <c r="BE401" s="141"/>
      <c r="BF401" s="141"/>
      <c r="BG401" s="141"/>
      <c r="BH401" s="23"/>
      <c r="BI401" s="133"/>
      <c r="BJ401" s="155"/>
      <c r="BK401" s="312"/>
      <c r="BL401" s="155"/>
      <c r="BM401" s="200"/>
      <c r="BN401" s="141"/>
      <c r="BO401" s="141"/>
      <c r="BP401" s="141"/>
    </row>
    <row r="402" spans="1:68" ht="15.5">
      <c r="A402" s="141"/>
      <c r="B402" s="23"/>
      <c r="C402" s="370"/>
      <c r="D402" s="360"/>
      <c r="E402" s="38"/>
      <c r="F402" s="361"/>
      <c r="G402" s="362"/>
      <c r="H402" s="304"/>
      <c r="I402" s="133">
        <v>50</v>
      </c>
      <c r="J402" s="155">
        <v>398</v>
      </c>
      <c r="K402" s="138"/>
      <c r="L402" s="8"/>
      <c r="M402" s="8"/>
      <c r="N402" s="139"/>
      <c r="O402" s="139"/>
      <c r="P402" s="364"/>
      <c r="Q402" s="366">
        <v>0.22</v>
      </c>
      <c r="R402" s="23"/>
      <c r="S402" s="141"/>
      <c r="T402" s="141"/>
      <c r="U402" s="141"/>
      <c r="V402" s="156"/>
      <c r="W402" s="133">
        <f t="shared" si="59"/>
        <v>50</v>
      </c>
      <c r="X402" s="155">
        <f t="shared" si="59"/>
        <v>398</v>
      </c>
      <c r="Y402" s="138"/>
      <c r="Z402" s="8"/>
      <c r="AA402" s="8"/>
      <c r="AB402" s="139"/>
      <c r="AC402" s="139"/>
      <c r="AD402" s="139"/>
      <c r="AE402" s="8"/>
      <c r="AF402" s="140"/>
      <c r="AG402" s="141"/>
      <c r="AH402" s="141"/>
      <c r="AI402" s="352"/>
      <c r="AJ402" s="141"/>
      <c r="AK402" s="141"/>
      <c r="AL402" s="141"/>
      <c r="AM402" s="141"/>
      <c r="AN402" s="141"/>
      <c r="AO402" s="141"/>
      <c r="AP402" s="141"/>
      <c r="AQ402" s="141"/>
      <c r="AR402" s="141"/>
      <c r="AS402" s="141"/>
      <c r="AT402" s="141"/>
      <c r="AU402" s="23"/>
      <c r="AV402" s="141"/>
      <c r="AW402" s="310">
        <f t="shared" si="62"/>
        <v>50</v>
      </c>
      <c r="AX402" s="155">
        <f t="shared" si="63"/>
        <v>398</v>
      </c>
      <c r="AY402" s="311"/>
      <c r="AZ402" s="311"/>
      <c r="BA402" s="311"/>
      <c r="BB402" s="311"/>
      <c r="BC402" s="311"/>
      <c r="BD402" s="141"/>
      <c r="BE402" s="141"/>
      <c r="BF402" s="141"/>
      <c r="BG402" s="141"/>
      <c r="BH402" s="23"/>
      <c r="BI402" s="133"/>
      <c r="BJ402" s="155"/>
      <c r="BK402" s="312"/>
      <c r="BL402" s="155"/>
      <c r="BM402" s="200"/>
      <c r="BN402" s="141"/>
      <c r="BO402" s="141"/>
      <c r="BP402" s="141"/>
    </row>
    <row r="403" spans="1:68" ht="15.5">
      <c r="A403" s="141"/>
      <c r="B403" s="23"/>
      <c r="C403" s="370"/>
      <c r="D403" s="360"/>
      <c r="E403" s="38"/>
      <c r="F403" s="361"/>
      <c r="G403" s="362"/>
      <c r="H403" s="304"/>
      <c r="I403" s="133">
        <v>50</v>
      </c>
      <c r="J403" s="155">
        <v>399</v>
      </c>
      <c r="K403" s="138"/>
      <c r="L403" s="8"/>
      <c r="M403" s="8"/>
      <c r="N403" s="139"/>
      <c r="O403" s="139"/>
      <c r="P403" s="364"/>
      <c r="Q403" s="366">
        <v>0.22</v>
      </c>
      <c r="R403" s="23"/>
      <c r="S403" s="141"/>
      <c r="T403" s="141"/>
      <c r="U403" s="141"/>
      <c r="V403" s="156"/>
      <c r="W403" s="133">
        <f t="shared" si="59"/>
        <v>50</v>
      </c>
      <c r="X403" s="155">
        <f t="shared" si="59"/>
        <v>399</v>
      </c>
      <c r="Y403" s="138"/>
      <c r="Z403" s="8"/>
      <c r="AA403" s="8"/>
      <c r="AB403" s="139"/>
      <c r="AC403" s="139"/>
      <c r="AD403" s="139"/>
      <c r="AE403" s="8"/>
      <c r="AF403" s="140"/>
      <c r="AG403" s="141"/>
      <c r="AH403" s="141"/>
      <c r="AI403" s="352"/>
      <c r="AJ403" s="141"/>
      <c r="AK403" s="141"/>
      <c r="AL403" s="141"/>
      <c r="AM403" s="141"/>
      <c r="AN403" s="141"/>
      <c r="AO403" s="141"/>
      <c r="AP403" s="141"/>
      <c r="AQ403" s="141"/>
      <c r="AR403" s="141"/>
      <c r="AS403" s="141"/>
      <c r="AT403" s="141"/>
      <c r="AU403" s="23"/>
      <c r="AV403" s="141"/>
      <c r="AW403" s="310">
        <f t="shared" si="62"/>
        <v>50</v>
      </c>
      <c r="AX403" s="155">
        <f t="shared" si="63"/>
        <v>399</v>
      </c>
      <c r="AY403" s="311"/>
      <c r="AZ403" s="311"/>
      <c r="BA403" s="311"/>
      <c r="BB403" s="311"/>
      <c r="BC403" s="311"/>
      <c r="BD403" s="141"/>
      <c r="BE403" s="141"/>
      <c r="BF403" s="141"/>
      <c r="BG403" s="141"/>
      <c r="BH403" s="23"/>
      <c r="BI403" s="133"/>
      <c r="BJ403" s="155"/>
      <c r="BK403" s="312"/>
      <c r="BL403" s="155"/>
      <c r="BM403" s="200"/>
      <c r="BN403" s="141"/>
      <c r="BO403" s="141"/>
      <c r="BP403" s="141"/>
    </row>
    <row r="404" spans="1:68" ht="15.5">
      <c r="A404" s="141"/>
      <c r="B404" s="23"/>
      <c r="C404" s="370"/>
      <c r="D404" s="360"/>
      <c r="E404" s="38"/>
      <c r="F404" s="361"/>
      <c r="G404" s="362"/>
      <c r="H404" s="304"/>
      <c r="I404" s="133">
        <v>50</v>
      </c>
      <c r="J404" s="155">
        <v>400</v>
      </c>
      <c r="K404" s="138"/>
      <c r="L404" s="8"/>
      <c r="M404" s="8"/>
      <c r="N404" s="139"/>
      <c r="O404" s="139"/>
      <c r="P404" s="364"/>
      <c r="Q404" s="366">
        <v>0.22</v>
      </c>
      <c r="R404" s="23"/>
      <c r="S404" s="141"/>
      <c r="T404" s="141"/>
      <c r="U404" s="141"/>
      <c r="V404" s="156"/>
      <c r="W404" s="133">
        <f t="shared" si="59"/>
        <v>50</v>
      </c>
      <c r="X404" s="155">
        <f t="shared" si="59"/>
        <v>400</v>
      </c>
      <c r="Y404" s="138"/>
      <c r="Z404" s="8"/>
      <c r="AA404" s="8"/>
      <c r="AB404" s="139"/>
      <c r="AC404" s="139"/>
      <c r="AD404" s="139"/>
      <c r="AE404" s="8"/>
      <c r="AF404" s="140"/>
      <c r="AG404" s="141"/>
      <c r="AH404" s="141"/>
      <c r="AI404" s="352"/>
      <c r="AJ404" s="141"/>
      <c r="AK404" s="141"/>
      <c r="AL404" s="141"/>
      <c r="AM404" s="141"/>
      <c r="AN404" s="141"/>
      <c r="AO404" s="141"/>
      <c r="AP404" s="141"/>
      <c r="AQ404" s="141"/>
      <c r="AR404" s="141"/>
      <c r="AS404" s="141"/>
      <c r="AT404" s="141"/>
      <c r="AU404" s="23"/>
      <c r="AV404" s="141"/>
      <c r="AW404" s="310">
        <f t="shared" si="62"/>
        <v>50</v>
      </c>
      <c r="AX404" s="155">
        <f t="shared" si="63"/>
        <v>400</v>
      </c>
      <c r="AY404" s="311"/>
      <c r="AZ404" s="311"/>
      <c r="BA404" s="311"/>
      <c r="BB404" s="311"/>
      <c r="BC404" s="311"/>
      <c r="BD404" s="141"/>
      <c r="BE404" s="141"/>
      <c r="BF404" s="141"/>
      <c r="BG404" s="141"/>
      <c r="BH404" s="23"/>
      <c r="BI404" s="133"/>
      <c r="BJ404" s="155"/>
      <c r="BK404" s="312"/>
      <c r="BL404" s="155"/>
      <c r="BM404" s="200"/>
      <c r="BN404" s="141"/>
      <c r="BO404" s="141"/>
      <c r="BP404" s="141"/>
    </row>
    <row r="405" spans="1:68" ht="15.5">
      <c r="A405" s="141"/>
      <c r="B405" s="23"/>
      <c r="C405" s="349"/>
      <c r="D405" s="360"/>
      <c r="E405" s="38"/>
      <c r="F405" s="361"/>
      <c r="G405" s="362"/>
      <c r="H405" s="304"/>
      <c r="I405" s="133"/>
      <c r="J405" s="363"/>
      <c r="K405" s="138"/>
      <c r="L405" s="8"/>
      <c r="M405" s="8"/>
      <c r="N405" s="139"/>
      <c r="O405" s="139"/>
      <c r="P405" s="141"/>
      <c r="Q405" s="8"/>
      <c r="R405" s="23"/>
      <c r="S405" s="141"/>
      <c r="T405" s="141"/>
      <c r="U405" s="141"/>
      <c r="V405" s="156"/>
      <c r="W405" s="133">
        <f t="shared" ref="W405:X419" si="65">I405</f>
        <v>0</v>
      </c>
      <c r="X405" s="155">
        <f t="shared" si="65"/>
        <v>0</v>
      </c>
      <c r="Y405" s="138"/>
      <c r="Z405" s="8"/>
      <c r="AA405" s="8"/>
      <c r="AB405" s="139"/>
      <c r="AC405" s="139"/>
      <c r="AD405" s="139"/>
      <c r="AE405" s="8"/>
      <c r="AF405" s="140"/>
      <c r="AG405" s="141"/>
      <c r="AH405" s="141"/>
      <c r="AI405" s="352"/>
      <c r="AJ405" s="141"/>
      <c r="AK405" s="141"/>
      <c r="AL405" s="141"/>
      <c r="AM405" s="141"/>
      <c r="AN405" s="141"/>
      <c r="AO405" s="141"/>
      <c r="AP405" s="141"/>
      <c r="AQ405" s="141"/>
      <c r="AR405" s="141"/>
      <c r="AS405" s="141"/>
      <c r="AT405" s="141"/>
      <c r="AU405" s="23"/>
      <c r="AV405" s="141"/>
      <c r="AW405" s="310">
        <f t="shared" ref="AW405:AX419" si="66">I405</f>
        <v>0</v>
      </c>
      <c r="AX405" s="155">
        <f t="shared" si="66"/>
        <v>0</v>
      </c>
      <c r="AY405" s="311"/>
      <c r="AZ405" s="311"/>
      <c r="BA405" s="311"/>
      <c r="BB405" s="311"/>
      <c r="BC405" s="311"/>
      <c r="BD405" s="141"/>
      <c r="BE405" s="141"/>
      <c r="BF405" s="141"/>
      <c r="BG405" s="141"/>
      <c r="BH405" s="23"/>
      <c r="BI405" s="133"/>
      <c r="BJ405" s="155"/>
      <c r="BK405" s="312"/>
      <c r="BL405" s="155"/>
      <c r="BM405" s="200"/>
      <c r="BN405" s="141"/>
      <c r="BO405" s="141"/>
      <c r="BP405" s="141"/>
    </row>
    <row r="406" spans="1:68" ht="15.5">
      <c r="A406" s="141"/>
      <c r="B406" s="23"/>
      <c r="C406" s="349"/>
      <c r="D406" s="360"/>
      <c r="E406" s="38"/>
      <c r="F406" s="361"/>
      <c r="G406" s="362"/>
      <c r="H406" s="304"/>
      <c r="I406" s="133"/>
      <c r="J406" s="363"/>
      <c r="K406" s="138"/>
      <c r="L406" s="8"/>
      <c r="M406" s="8"/>
      <c r="N406" s="139"/>
      <c r="O406" s="139"/>
      <c r="P406" s="141"/>
      <c r="Q406" s="8"/>
      <c r="R406" s="23"/>
      <c r="S406" s="141"/>
      <c r="T406" s="141"/>
      <c r="U406" s="141"/>
      <c r="V406" s="156"/>
      <c r="W406" s="133">
        <f t="shared" si="65"/>
        <v>0</v>
      </c>
      <c r="X406" s="155">
        <f t="shared" si="65"/>
        <v>0</v>
      </c>
      <c r="Y406" s="138"/>
      <c r="Z406" s="8"/>
      <c r="AA406" s="8"/>
      <c r="AB406" s="139"/>
      <c r="AC406" s="139"/>
      <c r="AD406" s="139"/>
      <c r="AE406" s="8"/>
      <c r="AF406" s="140"/>
      <c r="AG406" s="141"/>
      <c r="AH406" s="141"/>
      <c r="AI406" s="352"/>
      <c r="AJ406" s="141"/>
      <c r="AK406" s="141"/>
      <c r="AL406" s="141"/>
      <c r="AM406" s="141"/>
      <c r="AN406" s="141"/>
      <c r="AO406" s="141"/>
      <c r="AP406" s="141"/>
      <c r="AQ406" s="141"/>
      <c r="AR406" s="141"/>
      <c r="AS406" s="141"/>
      <c r="AT406" s="141"/>
      <c r="AU406" s="23"/>
      <c r="AV406" s="141"/>
      <c r="AW406" s="310">
        <f t="shared" si="66"/>
        <v>0</v>
      </c>
      <c r="AX406" s="155">
        <f t="shared" si="66"/>
        <v>0</v>
      </c>
      <c r="AY406" s="311"/>
      <c r="AZ406" s="311"/>
      <c r="BA406" s="311"/>
      <c r="BB406" s="311"/>
      <c r="BC406" s="311"/>
      <c r="BD406" s="141"/>
      <c r="BE406" s="141"/>
      <c r="BF406" s="141"/>
      <c r="BG406" s="141"/>
      <c r="BH406" s="23"/>
      <c r="BI406" s="133"/>
      <c r="BJ406" s="155"/>
      <c r="BK406" s="312"/>
      <c r="BL406" s="155"/>
      <c r="BM406" s="200"/>
      <c r="BN406" s="141"/>
      <c r="BO406" s="141"/>
      <c r="BP406" s="141"/>
    </row>
    <row r="407" spans="1:68" ht="15.5">
      <c r="A407" s="141"/>
      <c r="B407" s="23"/>
      <c r="C407" s="349"/>
      <c r="D407" s="360"/>
      <c r="E407" s="38"/>
      <c r="F407" s="361"/>
      <c r="G407" s="362"/>
      <c r="H407" s="304"/>
      <c r="I407" s="133"/>
      <c r="J407" s="363"/>
      <c r="K407" s="138"/>
      <c r="L407" s="8"/>
      <c r="M407" s="8"/>
      <c r="N407" s="139"/>
      <c r="O407" s="139"/>
      <c r="P407" s="141"/>
      <c r="Q407" s="8"/>
      <c r="R407" s="23"/>
      <c r="S407" s="141"/>
      <c r="T407" s="141"/>
      <c r="U407" s="141"/>
      <c r="V407" s="156"/>
      <c r="W407" s="133">
        <f t="shared" si="65"/>
        <v>0</v>
      </c>
      <c r="X407" s="155">
        <f t="shared" si="65"/>
        <v>0</v>
      </c>
      <c r="Y407" s="138"/>
      <c r="Z407" s="8"/>
      <c r="AA407" s="8"/>
      <c r="AB407" s="139"/>
      <c r="AC407" s="139"/>
      <c r="AD407" s="139"/>
      <c r="AE407" s="8"/>
      <c r="AF407" s="140"/>
      <c r="AG407" s="141"/>
      <c r="AH407" s="141"/>
      <c r="AI407" s="352"/>
      <c r="AJ407" s="141"/>
      <c r="AK407" s="141"/>
      <c r="AL407" s="141"/>
      <c r="AM407" s="141"/>
      <c r="AN407" s="141"/>
      <c r="AO407" s="141"/>
      <c r="AP407" s="141"/>
      <c r="AQ407" s="141"/>
      <c r="AR407" s="141"/>
      <c r="AS407" s="141"/>
      <c r="AT407" s="141"/>
      <c r="AU407" s="23"/>
      <c r="AV407" s="141"/>
      <c r="AW407" s="310">
        <f t="shared" si="66"/>
        <v>0</v>
      </c>
      <c r="AX407" s="155">
        <f t="shared" si="66"/>
        <v>0</v>
      </c>
      <c r="AY407" s="311"/>
      <c r="AZ407" s="311"/>
      <c r="BA407" s="311"/>
      <c r="BB407" s="311"/>
      <c r="BC407" s="311"/>
      <c r="BD407" s="141"/>
      <c r="BE407" s="141"/>
      <c r="BF407" s="141"/>
      <c r="BG407" s="141"/>
      <c r="BH407" s="23"/>
      <c r="BI407" s="133"/>
      <c r="BJ407" s="155"/>
      <c r="BK407" s="312"/>
      <c r="BL407" s="155"/>
      <c r="BM407" s="200"/>
      <c r="BN407" s="141"/>
      <c r="BO407" s="141"/>
      <c r="BP407" s="141"/>
    </row>
    <row r="408" spans="1:68" ht="15.5">
      <c r="A408" s="141"/>
      <c r="B408" s="23"/>
      <c r="C408" s="349"/>
      <c r="D408" s="360"/>
      <c r="E408" s="38"/>
      <c r="F408" s="361"/>
      <c r="G408" s="362"/>
      <c r="H408" s="304"/>
      <c r="I408" s="133"/>
      <c r="J408" s="363"/>
      <c r="K408" s="138"/>
      <c r="L408" s="8"/>
      <c r="M408" s="8"/>
      <c r="N408" s="139"/>
      <c r="O408" s="139"/>
      <c r="P408" s="141"/>
      <c r="Q408" s="8"/>
      <c r="R408" s="23"/>
      <c r="S408" s="141"/>
      <c r="T408" s="141"/>
      <c r="U408" s="141"/>
      <c r="V408" s="156"/>
      <c r="W408" s="133">
        <f t="shared" si="65"/>
        <v>0</v>
      </c>
      <c r="X408" s="155">
        <f t="shared" si="65"/>
        <v>0</v>
      </c>
      <c r="Y408" s="138"/>
      <c r="Z408" s="8"/>
      <c r="AA408" s="8"/>
      <c r="AB408" s="139"/>
      <c r="AC408" s="139"/>
      <c r="AD408" s="139"/>
      <c r="AE408" s="8"/>
      <c r="AF408" s="140"/>
      <c r="AG408" s="141"/>
      <c r="AH408" s="141"/>
      <c r="AI408" s="352"/>
      <c r="AJ408" s="141"/>
      <c r="AK408" s="141"/>
      <c r="AL408" s="141"/>
      <c r="AM408" s="141"/>
      <c r="AN408" s="141"/>
      <c r="AO408" s="141"/>
      <c r="AP408" s="141"/>
      <c r="AQ408" s="141"/>
      <c r="AR408" s="141"/>
      <c r="AS408" s="141"/>
      <c r="AT408" s="141"/>
      <c r="AU408" s="23"/>
      <c r="AV408" s="141"/>
      <c r="AW408" s="310">
        <f t="shared" si="66"/>
        <v>0</v>
      </c>
      <c r="AX408" s="155">
        <f t="shared" si="66"/>
        <v>0</v>
      </c>
      <c r="AY408" s="311"/>
      <c r="AZ408" s="311"/>
      <c r="BA408" s="311"/>
      <c r="BB408" s="311"/>
      <c r="BC408" s="311"/>
      <c r="BD408" s="141"/>
      <c r="BE408" s="141"/>
      <c r="BF408" s="141"/>
      <c r="BG408" s="141"/>
      <c r="BH408" s="23"/>
      <c r="BI408" s="133"/>
      <c r="BJ408" s="155"/>
      <c r="BK408" s="312"/>
      <c r="BL408" s="155"/>
      <c r="BM408" s="200"/>
      <c r="BN408" s="141"/>
      <c r="BO408" s="141"/>
      <c r="BP408" s="141"/>
    </row>
    <row r="409" spans="1:68" ht="15.5">
      <c r="A409" s="141"/>
      <c r="B409" s="23"/>
      <c r="C409" s="349"/>
      <c r="D409" s="360"/>
      <c r="E409" s="38"/>
      <c r="F409" s="361"/>
      <c r="G409" s="362"/>
      <c r="H409" s="304"/>
      <c r="I409" s="133"/>
      <c r="J409" s="363"/>
      <c r="K409" s="138"/>
      <c r="L409" s="8"/>
      <c r="M409" s="8"/>
      <c r="N409" s="139"/>
      <c r="O409" s="139"/>
      <c r="P409" s="141"/>
      <c r="Q409" s="8"/>
      <c r="R409" s="23"/>
      <c r="S409" s="141"/>
      <c r="T409" s="141"/>
      <c r="U409" s="141"/>
      <c r="V409" s="156"/>
      <c r="W409" s="133">
        <f t="shared" si="65"/>
        <v>0</v>
      </c>
      <c r="X409" s="155">
        <f t="shared" si="65"/>
        <v>0</v>
      </c>
      <c r="Y409" s="138"/>
      <c r="Z409" s="8"/>
      <c r="AA409" s="8"/>
      <c r="AB409" s="139"/>
      <c r="AC409" s="139"/>
      <c r="AD409" s="139"/>
      <c r="AE409" s="8"/>
      <c r="AF409" s="140"/>
      <c r="AG409" s="141"/>
      <c r="AH409" s="141"/>
      <c r="AI409" s="352"/>
      <c r="AJ409" s="141"/>
      <c r="AK409" s="141"/>
      <c r="AL409" s="141"/>
      <c r="AM409" s="141"/>
      <c r="AN409" s="141"/>
      <c r="AO409" s="141"/>
      <c r="AP409" s="141"/>
      <c r="AQ409" s="141"/>
      <c r="AR409" s="141"/>
      <c r="AS409" s="141"/>
      <c r="AT409" s="141"/>
      <c r="AU409" s="23"/>
      <c r="AV409" s="141"/>
      <c r="AW409" s="310">
        <f t="shared" si="66"/>
        <v>0</v>
      </c>
      <c r="AX409" s="155">
        <f t="shared" si="66"/>
        <v>0</v>
      </c>
      <c r="AY409" s="311"/>
      <c r="AZ409" s="311"/>
      <c r="BA409" s="311"/>
      <c r="BB409" s="311"/>
      <c r="BC409" s="311"/>
      <c r="BD409" s="141"/>
      <c r="BE409" s="141"/>
      <c r="BF409" s="141"/>
      <c r="BG409" s="141"/>
      <c r="BH409" s="23"/>
      <c r="BI409" s="133"/>
      <c r="BJ409" s="155"/>
      <c r="BK409" s="312"/>
      <c r="BL409" s="155"/>
      <c r="BM409" s="200"/>
      <c r="BN409" s="141"/>
      <c r="BO409" s="141"/>
      <c r="BP409" s="141"/>
    </row>
    <row r="410" spans="1:68" ht="15.5">
      <c r="A410" s="141"/>
      <c r="B410" s="23"/>
      <c r="C410" s="349"/>
      <c r="D410" s="360"/>
      <c r="E410" s="38"/>
      <c r="F410" s="361"/>
      <c r="G410" s="362"/>
      <c r="H410" s="304"/>
      <c r="I410" s="133"/>
      <c r="J410" s="363"/>
      <c r="K410" s="138"/>
      <c r="L410" s="8"/>
      <c r="M410" s="8"/>
      <c r="N410" s="139"/>
      <c r="O410" s="139"/>
      <c r="P410" s="141"/>
      <c r="Q410" s="8"/>
      <c r="R410" s="23"/>
      <c r="S410" s="141"/>
      <c r="T410" s="141"/>
      <c r="U410" s="141"/>
      <c r="V410" s="156"/>
      <c r="W410" s="133">
        <f t="shared" si="65"/>
        <v>0</v>
      </c>
      <c r="X410" s="155">
        <f t="shared" si="65"/>
        <v>0</v>
      </c>
      <c r="Y410" s="138"/>
      <c r="Z410" s="8"/>
      <c r="AA410" s="8"/>
      <c r="AB410" s="139"/>
      <c r="AC410" s="139"/>
      <c r="AD410" s="139"/>
      <c r="AE410" s="8"/>
      <c r="AF410" s="140"/>
      <c r="AG410" s="141"/>
      <c r="AH410" s="141"/>
      <c r="AI410" s="352"/>
      <c r="AJ410" s="141"/>
      <c r="AK410" s="141"/>
      <c r="AL410" s="141"/>
      <c r="AM410" s="141"/>
      <c r="AN410" s="141"/>
      <c r="AO410" s="141"/>
      <c r="AP410" s="141"/>
      <c r="AQ410" s="141"/>
      <c r="AR410" s="141"/>
      <c r="AS410" s="141"/>
      <c r="AT410" s="141"/>
      <c r="AU410" s="23"/>
      <c r="AV410" s="141"/>
      <c r="AW410" s="310">
        <f t="shared" si="66"/>
        <v>0</v>
      </c>
      <c r="AX410" s="155">
        <f t="shared" si="66"/>
        <v>0</v>
      </c>
      <c r="AY410" s="311"/>
      <c r="AZ410" s="311"/>
      <c r="BA410" s="311"/>
      <c r="BB410" s="311"/>
      <c r="BC410" s="311"/>
      <c r="BD410" s="141"/>
      <c r="BE410" s="141"/>
      <c r="BF410" s="141"/>
      <c r="BG410" s="141"/>
      <c r="BH410" s="23"/>
      <c r="BI410" s="133"/>
      <c r="BJ410" s="155"/>
      <c r="BK410" s="312"/>
      <c r="BL410" s="155"/>
      <c r="BM410" s="200"/>
      <c r="BN410" s="141"/>
      <c r="BO410" s="141"/>
      <c r="BP410" s="141"/>
    </row>
    <row r="411" spans="1:68" ht="15.5">
      <c r="A411" s="141"/>
      <c r="B411" s="23"/>
      <c r="C411" s="349"/>
      <c r="D411" s="360"/>
      <c r="E411" s="38"/>
      <c r="F411" s="361"/>
      <c r="G411" s="362"/>
      <c r="H411" s="304"/>
      <c r="I411" s="133"/>
      <c r="J411" s="363"/>
      <c r="K411" s="138"/>
      <c r="L411" s="8"/>
      <c r="M411" s="8"/>
      <c r="N411" s="139"/>
      <c r="O411" s="139"/>
      <c r="P411" s="141"/>
      <c r="Q411" s="8"/>
      <c r="R411" s="23"/>
      <c r="S411" s="141"/>
      <c r="T411" s="141"/>
      <c r="U411" s="141"/>
      <c r="V411" s="156"/>
      <c r="W411" s="133">
        <f t="shared" si="65"/>
        <v>0</v>
      </c>
      <c r="X411" s="155">
        <f t="shared" si="65"/>
        <v>0</v>
      </c>
      <c r="Y411" s="138"/>
      <c r="Z411" s="8"/>
      <c r="AA411" s="8"/>
      <c r="AB411" s="139"/>
      <c r="AC411" s="139"/>
      <c r="AD411" s="139"/>
      <c r="AE411" s="8"/>
      <c r="AF411" s="140"/>
      <c r="AG411" s="141"/>
      <c r="AH411" s="141"/>
      <c r="AI411" s="352"/>
      <c r="AJ411" s="141"/>
      <c r="AK411" s="141"/>
      <c r="AL411" s="141"/>
      <c r="AM411" s="141"/>
      <c r="AN411" s="141"/>
      <c r="AO411" s="141"/>
      <c r="AP411" s="141"/>
      <c r="AQ411" s="141"/>
      <c r="AR411" s="141"/>
      <c r="AS411" s="141"/>
      <c r="AT411" s="141"/>
      <c r="AU411" s="23"/>
      <c r="AV411" s="141"/>
      <c r="AW411" s="310">
        <f t="shared" si="66"/>
        <v>0</v>
      </c>
      <c r="AX411" s="155">
        <f t="shared" si="66"/>
        <v>0</v>
      </c>
      <c r="AY411" s="311"/>
      <c r="AZ411" s="311"/>
      <c r="BA411" s="311"/>
      <c r="BB411" s="311"/>
      <c r="BC411" s="311"/>
      <c r="BD411" s="141"/>
      <c r="BE411" s="141"/>
      <c r="BF411" s="141"/>
      <c r="BG411" s="141"/>
      <c r="BH411" s="23"/>
      <c r="BI411" s="133"/>
      <c r="BJ411" s="155"/>
      <c r="BK411" s="312"/>
      <c r="BL411" s="155"/>
      <c r="BM411" s="200"/>
      <c r="BN411" s="141"/>
      <c r="BO411" s="141"/>
      <c r="BP411" s="141"/>
    </row>
    <row r="412" spans="1:68" ht="15.5">
      <c r="A412" s="141"/>
      <c r="B412" s="23"/>
      <c r="C412" s="349"/>
      <c r="D412" s="360"/>
      <c r="E412" s="38"/>
      <c r="F412" s="361"/>
      <c r="G412" s="362"/>
      <c r="H412" s="304"/>
      <c r="I412" s="133"/>
      <c r="J412" s="363"/>
      <c r="K412" s="138"/>
      <c r="L412" s="8"/>
      <c r="M412" s="8"/>
      <c r="N412" s="139"/>
      <c r="O412" s="139"/>
      <c r="P412" s="141"/>
      <c r="Q412" s="8"/>
      <c r="R412" s="23"/>
      <c r="S412" s="141"/>
      <c r="T412" s="141"/>
      <c r="U412" s="141"/>
      <c r="V412" s="156"/>
      <c r="W412" s="133">
        <f t="shared" si="65"/>
        <v>0</v>
      </c>
      <c r="X412" s="155">
        <f t="shared" si="65"/>
        <v>0</v>
      </c>
      <c r="Y412" s="138"/>
      <c r="Z412" s="8"/>
      <c r="AA412" s="8"/>
      <c r="AB412" s="139"/>
      <c r="AC412" s="139"/>
      <c r="AD412" s="139"/>
      <c r="AE412" s="8"/>
      <c r="AF412" s="140"/>
      <c r="AG412" s="141"/>
      <c r="AH412" s="141"/>
      <c r="AI412" s="352"/>
      <c r="AJ412" s="141"/>
      <c r="AK412" s="141"/>
      <c r="AL412" s="141"/>
      <c r="AM412" s="141"/>
      <c r="AN412" s="141"/>
      <c r="AO412" s="141"/>
      <c r="AP412" s="141"/>
      <c r="AQ412" s="141"/>
      <c r="AR412" s="141"/>
      <c r="AS412" s="141"/>
      <c r="AT412" s="141"/>
      <c r="AU412" s="23"/>
      <c r="AV412" s="141"/>
      <c r="AW412" s="310">
        <f t="shared" si="66"/>
        <v>0</v>
      </c>
      <c r="AX412" s="155">
        <f t="shared" si="66"/>
        <v>0</v>
      </c>
      <c r="AY412" s="311"/>
      <c r="AZ412" s="311"/>
      <c r="BA412" s="311"/>
      <c r="BB412" s="311"/>
      <c r="BC412" s="311"/>
      <c r="BD412" s="141"/>
      <c r="BE412" s="141"/>
      <c r="BF412" s="141"/>
      <c r="BG412" s="141"/>
      <c r="BH412" s="23"/>
      <c r="BI412" s="133"/>
      <c r="BJ412" s="155"/>
      <c r="BK412" s="312"/>
      <c r="BL412" s="155"/>
      <c r="BM412" s="200"/>
      <c r="BN412" s="141"/>
      <c r="BO412" s="141"/>
      <c r="BP412" s="141"/>
    </row>
    <row r="413" spans="1:68" ht="15.5">
      <c r="A413" s="141"/>
      <c r="B413" s="23"/>
      <c r="C413" s="349"/>
      <c r="D413" s="360"/>
      <c r="E413" s="38"/>
      <c r="F413" s="361"/>
      <c r="G413" s="362"/>
      <c r="H413" s="304"/>
      <c r="I413" s="133"/>
      <c r="J413" s="363"/>
      <c r="K413" s="138"/>
      <c r="L413" s="8"/>
      <c r="M413" s="8"/>
      <c r="N413" s="139"/>
      <c r="O413" s="139"/>
      <c r="P413" s="141"/>
      <c r="Q413" s="8"/>
      <c r="R413" s="23"/>
      <c r="S413" s="141"/>
      <c r="T413" s="141"/>
      <c r="U413" s="141"/>
      <c r="V413" s="156"/>
      <c r="W413" s="133">
        <f t="shared" si="65"/>
        <v>0</v>
      </c>
      <c r="X413" s="155">
        <f t="shared" si="65"/>
        <v>0</v>
      </c>
      <c r="Y413" s="138"/>
      <c r="Z413" s="8"/>
      <c r="AA413" s="8"/>
      <c r="AB413" s="139"/>
      <c r="AC413" s="139"/>
      <c r="AD413" s="139"/>
      <c r="AE413" s="8"/>
      <c r="AF413" s="140"/>
      <c r="AG413" s="141"/>
      <c r="AH413" s="141"/>
      <c r="AI413" s="352"/>
      <c r="AJ413" s="141"/>
      <c r="AK413" s="141"/>
      <c r="AL413" s="141"/>
      <c r="AM413" s="141"/>
      <c r="AN413" s="141"/>
      <c r="AO413" s="141"/>
      <c r="AP413" s="141"/>
      <c r="AQ413" s="141"/>
      <c r="AR413" s="141"/>
      <c r="AS413" s="141"/>
      <c r="AT413" s="141"/>
      <c r="AU413" s="23"/>
      <c r="AV413" s="141"/>
      <c r="AW413" s="310">
        <f t="shared" si="66"/>
        <v>0</v>
      </c>
      <c r="AX413" s="155">
        <f t="shared" si="66"/>
        <v>0</v>
      </c>
      <c r="AY413" s="311"/>
      <c r="AZ413" s="311"/>
      <c r="BA413" s="311"/>
      <c r="BB413" s="311"/>
      <c r="BC413" s="311"/>
      <c r="BD413" s="141"/>
      <c r="BE413" s="141"/>
      <c r="BF413" s="141"/>
      <c r="BG413" s="141"/>
      <c r="BH413" s="23"/>
      <c r="BI413" s="133"/>
      <c r="BJ413" s="155"/>
      <c r="BK413" s="312"/>
      <c r="BL413" s="155"/>
      <c r="BM413" s="200"/>
      <c r="BN413" s="141"/>
      <c r="BO413" s="141"/>
      <c r="BP413" s="141"/>
    </row>
    <row r="414" spans="1:68" ht="15.5">
      <c r="A414" s="141"/>
      <c r="B414" s="23"/>
      <c r="C414" s="349"/>
      <c r="D414" s="360"/>
      <c r="E414" s="38"/>
      <c r="F414" s="361"/>
      <c r="G414" s="362"/>
      <c r="H414" s="304"/>
      <c r="I414" s="133"/>
      <c r="J414" s="363"/>
      <c r="K414" s="138"/>
      <c r="L414" s="8"/>
      <c r="M414" s="8"/>
      <c r="N414" s="139"/>
      <c r="O414" s="139"/>
      <c r="P414" s="141"/>
      <c r="Q414" s="8"/>
      <c r="R414" s="23"/>
      <c r="S414" s="141"/>
      <c r="T414" s="141"/>
      <c r="U414" s="141"/>
      <c r="V414" s="156"/>
      <c r="W414" s="133">
        <f t="shared" si="65"/>
        <v>0</v>
      </c>
      <c r="X414" s="155">
        <f t="shared" si="65"/>
        <v>0</v>
      </c>
      <c r="Y414" s="138"/>
      <c r="Z414" s="8"/>
      <c r="AA414" s="8"/>
      <c r="AB414" s="139"/>
      <c r="AC414" s="139"/>
      <c r="AD414" s="139"/>
      <c r="AE414" s="8"/>
      <c r="AF414" s="140"/>
      <c r="AG414" s="141"/>
      <c r="AH414" s="141"/>
      <c r="AI414" s="352"/>
      <c r="AJ414" s="141"/>
      <c r="AK414" s="141"/>
      <c r="AL414" s="141"/>
      <c r="AM414" s="141"/>
      <c r="AN414" s="141"/>
      <c r="AO414" s="141"/>
      <c r="AP414" s="141"/>
      <c r="AQ414" s="141"/>
      <c r="AR414" s="141"/>
      <c r="AS414" s="141"/>
      <c r="AT414" s="141"/>
      <c r="AU414" s="23"/>
      <c r="AV414" s="141"/>
      <c r="AW414" s="310">
        <f t="shared" si="66"/>
        <v>0</v>
      </c>
      <c r="AX414" s="155">
        <f t="shared" si="66"/>
        <v>0</v>
      </c>
      <c r="AY414" s="311"/>
      <c r="AZ414" s="311"/>
      <c r="BA414" s="311"/>
      <c r="BB414" s="311"/>
      <c r="BC414" s="311"/>
      <c r="BD414" s="141"/>
      <c r="BE414" s="141"/>
      <c r="BF414" s="141"/>
      <c r="BG414" s="141"/>
      <c r="BH414" s="23"/>
      <c r="BI414" s="133"/>
      <c r="BJ414" s="155"/>
      <c r="BK414" s="312"/>
      <c r="BL414" s="155"/>
      <c r="BM414" s="200"/>
      <c r="BN414" s="141"/>
      <c r="BO414" s="141"/>
      <c r="BP414" s="141"/>
    </row>
    <row r="415" spans="1:68" ht="15.5">
      <c r="A415" s="141"/>
      <c r="B415" s="23"/>
      <c r="C415" s="349"/>
      <c r="D415" s="360"/>
      <c r="E415" s="38"/>
      <c r="F415" s="361"/>
      <c r="G415" s="362"/>
      <c r="H415" s="304"/>
      <c r="I415" s="133"/>
      <c r="J415" s="363"/>
      <c r="K415" s="138"/>
      <c r="L415" s="8"/>
      <c r="M415" s="8"/>
      <c r="N415" s="139"/>
      <c r="O415" s="139"/>
      <c r="P415" s="141"/>
      <c r="Q415" s="8"/>
      <c r="R415" s="23"/>
      <c r="S415" s="141"/>
      <c r="T415" s="141"/>
      <c r="U415" s="141"/>
      <c r="V415" s="156"/>
      <c r="W415" s="133">
        <f t="shared" si="65"/>
        <v>0</v>
      </c>
      <c r="X415" s="155">
        <f t="shared" si="65"/>
        <v>0</v>
      </c>
      <c r="Y415" s="138"/>
      <c r="Z415" s="8"/>
      <c r="AA415" s="8"/>
      <c r="AB415" s="139"/>
      <c r="AC415" s="139"/>
      <c r="AD415" s="139"/>
      <c r="AE415" s="8"/>
      <c r="AF415" s="140"/>
      <c r="AG415" s="141"/>
      <c r="AH415" s="141"/>
      <c r="AI415" s="352"/>
      <c r="AJ415" s="141"/>
      <c r="AK415" s="141"/>
      <c r="AL415" s="141"/>
      <c r="AM415" s="141"/>
      <c r="AN415" s="141"/>
      <c r="AO415" s="141"/>
      <c r="AP415" s="141"/>
      <c r="AQ415" s="141"/>
      <c r="AR415" s="141"/>
      <c r="AS415" s="141"/>
      <c r="AT415" s="141"/>
      <c r="AU415" s="23"/>
      <c r="AV415" s="141"/>
      <c r="AW415" s="310">
        <f t="shared" si="66"/>
        <v>0</v>
      </c>
      <c r="AX415" s="155">
        <f t="shared" si="66"/>
        <v>0</v>
      </c>
      <c r="AY415" s="311"/>
      <c r="AZ415" s="311"/>
      <c r="BA415" s="311"/>
      <c r="BB415" s="311"/>
      <c r="BC415" s="311"/>
      <c r="BD415" s="141"/>
      <c r="BE415" s="141"/>
      <c r="BF415" s="141"/>
      <c r="BG415" s="141"/>
      <c r="BH415" s="23"/>
      <c r="BI415" s="133"/>
      <c r="BJ415" s="155"/>
      <c r="BK415" s="312"/>
      <c r="BL415" s="155"/>
      <c r="BM415" s="200"/>
      <c r="BN415" s="141"/>
      <c r="BO415" s="141"/>
      <c r="BP415" s="141"/>
    </row>
    <row r="416" spans="1:68" ht="15.5">
      <c r="A416" s="141"/>
      <c r="B416" s="23"/>
      <c r="C416" s="349"/>
      <c r="D416" s="360"/>
      <c r="E416" s="38"/>
      <c r="F416" s="361"/>
      <c r="G416" s="362"/>
      <c r="H416" s="304"/>
      <c r="I416" s="133"/>
      <c r="J416" s="363"/>
      <c r="K416" s="138"/>
      <c r="L416" s="8"/>
      <c r="M416" s="8"/>
      <c r="N416" s="139"/>
      <c r="O416" s="139"/>
      <c r="P416" s="141"/>
      <c r="Q416" s="8"/>
      <c r="R416" s="23"/>
      <c r="S416" s="141"/>
      <c r="T416" s="141"/>
      <c r="U416" s="141"/>
      <c r="V416" s="156"/>
      <c r="W416" s="133">
        <f t="shared" si="65"/>
        <v>0</v>
      </c>
      <c r="X416" s="155">
        <f t="shared" si="65"/>
        <v>0</v>
      </c>
      <c r="Y416" s="138"/>
      <c r="Z416" s="8"/>
      <c r="AA416" s="8"/>
      <c r="AB416" s="139"/>
      <c r="AC416" s="139"/>
      <c r="AD416" s="139"/>
      <c r="AE416" s="8"/>
      <c r="AF416" s="140"/>
      <c r="AG416" s="141"/>
      <c r="AH416" s="141"/>
      <c r="AI416" s="352"/>
      <c r="AJ416" s="141"/>
      <c r="AK416" s="141"/>
      <c r="AL416" s="141"/>
      <c r="AM416" s="141"/>
      <c r="AN416" s="141"/>
      <c r="AO416" s="141"/>
      <c r="AP416" s="141"/>
      <c r="AQ416" s="141"/>
      <c r="AR416" s="141"/>
      <c r="AS416" s="141"/>
      <c r="AT416" s="141"/>
      <c r="AU416" s="23"/>
      <c r="AV416" s="141"/>
      <c r="AW416" s="310">
        <f t="shared" si="66"/>
        <v>0</v>
      </c>
      <c r="AX416" s="155">
        <f t="shared" si="66"/>
        <v>0</v>
      </c>
      <c r="AY416" s="311"/>
      <c r="AZ416" s="311"/>
      <c r="BA416" s="311"/>
      <c r="BB416" s="311"/>
      <c r="BC416" s="311"/>
      <c r="BD416" s="141"/>
      <c r="BE416" s="141"/>
      <c r="BF416" s="141"/>
      <c r="BG416" s="141"/>
      <c r="BH416" s="23"/>
      <c r="BI416" s="133"/>
      <c r="BJ416" s="155"/>
      <c r="BK416" s="312"/>
      <c r="BL416" s="155"/>
      <c r="BM416" s="200"/>
      <c r="BN416" s="141"/>
      <c r="BO416" s="141"/>
      <c r="BP416" s="141"/>
    </row>
    <row r="417" spans="1:68" ht="15.5">
      <c r="A417" s="141"/>
      <c r="B417" s="23"/>
      <c r="C417" s="349"/>
      <c r="D417" s="360"/>
      <c r="E417" s="38"/>
      <c r="F417" s="361"/>
      <c r="G417" s="362"/>
      <c r="H417" s="304"/>
      <c r="I417" s="133"/>
      <c r="J417" s="363"/>
      <c r="K417" s="138"/>
      <c r="L417" s="8"/>
      <c r="M417" s="8"/>
      <c r="N417" s="139"/>
      <c r="O417" s="139"/>
      <c r="P417" s="141"/>
      <c r="Q417" s="8"/>
      <c r="R417" s="23"/>
      <c r="S417" s="141"/>
      <c r="T417" s="141"/>
      <c r="U417" s="141"/>
      <c r="V417" s="156"/>
      <c r="W417" s="133">
        <f t="shared" si="65"/>
        <v>0</v>
      </c>
      <c r="X417" s="155">
        <f t="shared" si="65"/>
        <v>0</v>
      </c>
      <c r="Y417" s="138"/>
      <c r="Z417" s="8"/>
      <c r="AA417" s="8"/>
      <c r="AB417" s="139"/>
      <c r="AC417" s="139"/>
      <c r="AD417" s="139"/>
      <c r="AE417" s="8"/>
      <c r="AF417" s="140"/>
      <c r="AG417" s="141"/>
      <c r="AH417" s="141"/>
      <c r="AI417" s="352"/>
      <c r="AJ417" s="141"/>
      <c r="AK417" s="141"/>
      <c r="AL417" s="141"/>
      <c r="AM417" s="141"/>
      <c r="AN417" s="141"/>
      <c r="AO417" s="141"/>
      <c r="AP417" s="141"/>
      <c r="AQ417" s="141"/>
      <c r="AR417" s="141"/>
      <c r="AS417" s="141"/>
      <c r="AT417" s="141"/>
      <c r="AU417" s="23"/>
      <c r="AV417" s="141"/>
      <c r="AW417" s="310">
        <f t="shared" si="66"/>
        <v>0</v>
      </c>
      <c r="AX417" s="155">
        <f t="shared" si="66"/>
        <v>0</v>
      </c>
      <c r="AY417" s="311"/>
      <c r="AZ417" s="311"/>
      <c r="BA417" s="311"/>
      <c r="BB417" s="311"/>
      <c r="BC417" s="311"/>
      <c r="BD417" s="141"/>
      <c r="BE417" s="141"/>
      <c r="BF417" s="141"/>
      <c r="BG417" s="141"/>
      <c r="BH417" s="23"/>
      <c r="BI417" s="133"/>
      <c r="BJ417" s="155"/>
      <c r="BK417" s="312"/>
      <c r="BL417" s="155"/>
      <c r="BM417" s="200"/>
      <c r="BN417" s="141"/>
      <c r="BO417" s="141"/>
      <c r="BP417" s="141"/>
    </row>
    <row r="418" spans="1:68" ht="15.5">
      <c r="A418" s="141"/>
      <c r="B418" s="23"/>
      <c r="C418" s="349"/>
      <c r="D418" s="360"/>
      <c r="E418" s="38"/>
      <c r="F418" s="361"/>
      <c r="G418" s="362"/>
      <c r="H418" s="304"/>
      <c r="I418" s="133"/>
      <c r="J418" s="363"/>
      <c r="K418" s="138"/>
      <c r="L418" s="8"/>
      <c r="M418" s="8"/>
      <c r="N418" s="139"/>
      <c r="O418" s="139"/>
      <c r="P418" s="141"/>
      <c r="Q418" s="8"/>
      <c r="R418" s="23"/>
      <c r="S418" s="141"/>
      <c r="T418" s="141"/>
      <c r="U418" s="141"/>
      <c r="V418" s="156"/>
      <c r="W418" s="133">
        <f t="shared" si="65"/>
        <v>0</v>
      </c>
      <c r="X418" s="155">
        <f t="shared" si="65"/>
        <v>0</v>
      </c>
      <c r="Y418" s="138"/>
      <c r="Z418" s="8"/>
      <c r="AA418" s="8"/>
      <c r="AB418" s="139"/>
      <c r="AC418" s="139"/>
      <c r="AD418" s="139"/>
      <c r="AE418" s="8"/>
      <c r="AF418" s="140"/>
      <c r="AG418" s="141"/>
      <c r="AH418" s="141"/>
      <c r="AI418" s="352"/>
      <c r="AJ418" s="141"/>
      <c r="AK418" s="141"/>
      <c r="AL418" s="141"/>
      <c r="AM418" s="141"/>
      <c r="AN418" s="141"/>
      <c r="AO418" s="141"/>
      <c r="AP418" s="141"/>
      <c r="AQ418" s="141"/>
      <c r="AR418" s="141"/>
      <c r="AS418" s="141"/>
      <c r="AT418" s="141"/>
      <c r="AU418" s="23"/>
      <c r="AV418" s="141"/>
      <c r="AW418" s="310">
        <f t="shared" si="66"/>
        <v>0</v>
      </c>
      <c r="AX418" s="155">
        <f t="shared" si="66"/>
        <v>0</v>
      </c>
      <c r="AY418" s="311"/>
      <c r="AZ418" s="311"/>
      <c r="BA418" s="311"/>
      <c r="BB418" s="311"/>
      <c r="BC418" s="311"/>
      <c r="BD418" s="141"/>
      <c r="BE418" s="141"/>
      <c r="BF418" s="141"/>
      <c r="BG418" s="141"/>
      <c r="BH418" s="23"/>
      <c r="BI418" s="133"/>
      <c r="BJ418" s="155"/>
      <c r="BK418" s="312"/>
      <c r="BL418" s="155"/>
      <c r="BM418" s="200"/>
      <c r="BN418" s="141"/>
      <c r="BO418" s="141"/>
      <c r="BP418" s="141"/>
    </row>
    <row r="419" spans="1:68" ht="15.5">
      <c r="A419" s="141"/>
      <c r="B419" s="23"/>
      <c r="C419" s="349"/>
      <c r="D419" s="360"/>
      <c r="E419" s="38"/>
      <c r="F419" s="361"/>
      <c r="G419" s="362"/>
      <c r="H419" s="304"/>
      <c r="I419" s="133"/>
      <c r="J419" s="363"/>
      <c r="K419" s="138"/>
      <c r="L419" s="8"/>
      <c r="M419" s="8"/>
      <c r="N419" s="139"/>
      <c r="O419" s="139"/>
      <c r="P419" s="141"/>
      <c r="Q419" s="8"/>
      <c r="R419" s="23"/>
      <c r="S419" s="141"/>
      <c r="T419" s="141"/>
      <c r="U419" s="141"/>
      <c r="V419" s="156"/>
      <c r="W419" s="133">
        <f t="shared" si="65"/>
        <v>0</v>
      </c>
      <c r="X419" s="155">
        <f t="shared" si="65"/>
        <v>0</v>
      </c>
      <c r="Y419" s="138"/>
      <c r="Z419" s="8"/>
      <c r="AA419" s="8"/>
      <c r="AB419" s="139"/>
      <c r="AC419" s="139"/>
      <c r="AD419" s="139"/>
      <c r="AE419" s="8"/>
      <c r="AF419" s="140"/>
      <c r="AG419" s="141"/>
      <c r="AH419" s="141"/>
      <c r="AI419" s="352"/>
      <c r="AJ419" s="141"/>
      <c r="AK419" s="141"/>
      <c r="AL419" s="141"/>
      <c r="AM419" s="141"/>
      <c r="AN419" s="141"/>
      <c r="AO419" s="141"/>
      <c r="AP419" s="141"/>
      <c r="AQ419" s="141"/>
      <c r="AR419" s="141"/>
      <c r="AS419" s="141"/>
      <c r="AT419" s="141"/>
      <c r="AU419" s="23"/>
      <c r="AV419" s="141"/>
      <c r="AW419" s="310">
        <f t="shared" si="66"/>
        <v>0</v>
      </c>
      <c r="AX419" s="155">
        <f t="shared" si="66"/>
        <v>0</v>
      </c>
      <c r="AY419" s="311"/>
      <c r="AZ419" s="311"/>
      <c r="BA419" s="311"/>
      <c r="BB419" s="311"/>
      <c r="BC419" s="311"/>
      <c r="BD419" s="141"/>
      <c r="BE419" s="141"/>
      <c r="BF419" s="141"/>
      <c r="BG419" s="141"/>
      <c r="BH419" s="23"/>
      <c r="BI419" s="133"/>
      <c r="BJ419" s="155"/>
      <c r="BK419" s="312"/>
      <c r="BL419" s="155"/>
      <c r="BM419" s="200"/>
      <c r="BN419" s="141"/>
      <c r="BO419" s="141"/>
      <c r="BP419" s="141"/>
    </row>
  </sheetData>
  <autoFilter ref="A4:BN419" xr:uid="{B937A603-62CE-423C-AF77-6883E1ECC7AF}"/>
  <mergeCells count="33">
    <mergeCell ref="F2:U2"/>
    <mergeCell ref="BN2:BN3"/>
    <mergeCell ref="AI2:AT2"/>
    <mergeCell ref="BP2:BP3"/>
    <mergeCell ref="BC2:BC3"/>
    <mergeCell ref="A1:A3"/>
    <mergeCell ref="B1:U1"/>
    <mergeCell ref="V1:AT1"/>
    <mergeCell ref="AZ2:AZ3"/>
    <mergeCell ref="BA2:BA3"/>
    <mergeCell ref="AV2:AV3"/>
    <mergeCell ref="AW2:AW3"/>
    <mergeCell ref="AV1:BG1"/>
    <mergeCell ref="B2:B3"/>
    <mergeCell ref="C2:C3"/>
    <mergeCell ref="D2:D3"/>
    <mergeCell ref="E2:E3"/>
    <mergeCell ref="BO2:BO3"/>
    <mergeCell ref="V2:AH2"/>
    <mergeCell ref="F3:H3"/>
    <mergeCell ref="AU1:AU2"/>
    <mergeCell ref="BH1:BP1"/>
    <mergeCell ref="BH2:BH3"/>
    <mergeCell ref="BD2:BD3"/>
    <mergeCell ref="BE2:BE3"/>
    <mergeCell ref="BF2:BF3"/>
    <mergeCell ref="BG2:BG3"/>
    <mergeCell ref="BI2:BJ2"/>
    <mergeCell ref="BK2:BL2"/>
    <mergeCell ref="AX2:AX3"/>
    <mergeCell ref="AY2:AY3"/>
    <mergeCell ref="BB2:BB3"/>
    <mergeCell ref="BM2:BM3"/>
  </mergeCells>
  <conditionalFormatting sqref="K5:K333">
    <cfRule type="cellIs" dxfId="328" priority="187" operator="lessThan">
      <formula>0.131</formula>
    </cfRule>
  </conditionalFormatting>
  <conditionalFormatting sqref="K5:K348">
    <cfRule type="cellIs" dxfId="327" priority="77" operator="greaterThan">
      <formula>0.13</formula>
    </cfRule>
  </conditionalFormatting>
  <conditionalFormatting sqref="K174:K300 K309:K333">
    <cfRule type="cellIs" dxfId="326" priority="88" operator="greaterThan">
      <formula>0.128</formula>
    </cfRule>
  </conditionalFormatting>
  <conditionalFormatting sqref="K189:K268 K309:K333">
    <cfRule type="cellIs" dxfId="325" priority="112" operator="greaterThan">
      <formula>"0.128"</formula>
    </cfRule>
  </conditionalFormatting>
  <conditionalFormatting sqref="K334:K348">
    <cfRule type="cellIs" dxfId="324" priority="80" operator="lessThan">
      <formula>0.451</formula>
    </cfRule>
    <cfRule type="cellIs" dxfId="323" priority="79" operator="greaterThan">
      <formula>0.451</formula>
    </cfRule>
  </conditionalFormatting>
  <conditionalFormatting sqref="K334:K351">
    <cfRule type="cellIs" dxfId="322" priority="27" operator="equal">
      <formula>0</formula>
    </cfRule>
  </conditionalFormatting>
  <conditionalFormatting sqref="K337">
    <cfRule type="cellIs" dxfId="321" priority="58" operator="greaterThan">
      <formula>0.131</formula>
    </cfRule>
  </conditionalFormatting>
  <conditionalFormatting sqref="K349:K351">
    <cfRule type="cellIs" dxfId="320" priority="28" operator="greaterThan">
      <formula>0.451</formula>
    </cfRule>
    <cfRule type="cellIs" dxfId="319" priority="29" operator="lessThan">
      <formula>0.451</formula>
    </cfRule>
  </conditionalFormatting>
  <conditionalFormatting sqref="K352:K396">
    <cfRule type="cellIs" dxfId="318" priority="39" operator="greaterThan">
      <formula>"0.128"</formula>
    </cfRule>
  </conditionalFormatting>
  <conditionalFormatting sqref="K352:K419">
    <cfRule type="cellIs" dxfId="317" priority="30" operator="greaterThan">
      <formula>0.128</formula>
    </cfRule>
  </conditionalFormatting>
  <conditionalFormatting sqref="K352:K1048576">
    <cfRule type="cellIs" dxfId="316" priority="51" operator="greaterThan">
      <formula>0.13</formula>
    </cfRule>
    <cfRule type="cellIs" dxfId="315" priority="52" operator="lessThan">
      <formula>0.131</formula>
    </cfRule>
  </conditionalFormatting>
  <conditionalFormatting sqref="L5:L292">
    <cfRule type="cellIs" dxfId="314" priority="87" operator="greaterThan">
      <formula>0.48</formula>
    </cfRule>
  </conditionalFormatting>
  <conditionalFormatting sqref="L5:L340">
    <cfRule type="cellIs" dxfId="313" priority="189" operator="lessThan">
      <formula>0.451</formula>
    </cfRule>
    <cfRule type="cellIs" dxfId="312" priority="188" operator="greaterThan">
      <formula>0.451</formula>
    </cfRule>
  </conditionalFormatting>
  <conditionalFormatting sqref="L309:L419">
    <cfRule type="cellIs" dxfId="311" priority="16" operator="greaterThan">
      <formula>0.48</formula>
    </cfRule>
  </conditionalFormatting>
  <conditionalFormatting sqref="L341:L351">
    <cfRule type="cellIs" dxfId="310" priority="17" operator="lessThan">
      <formula>0.57</formula>
    </cfRule>
    <cfRule type="cellIs" dxfId="309" priority="18" operator="greaterThan">
      <formula>0.56</formula>
    </cfRule>
  </conditionalFormatting>
  <conditionalFormatting sqref="L352:L1048576">
    <cfRule type="cellIs" dxfId="308" priority="53" operator="greaterThan">
      <formula>0.451</formula>
    </cfRule>
    <cfRule type="cellIs" dxfId="307" priority="54" operator="lessThan">
      <formula>0.451</formula>
    </cfRule>
  </conditionalFormatting>
  <conditionalFormatting sqref="M5:M268 M301:M340">
    <cfRule type="cellIs" dxfId="306" priority="171" operator="greaterThan">
      <formula>0.56</formula>
    </cfRule>
    <cfRule type="cellIs" dxfId="305" priority="170" operator="lessThan">
      <formula>0.561</formula>
    </cfRule>
  </conditionalFormatting>
  <conditionalFormatting sqref="M269:M300">
    <cfRule type="cellIs" dxfId="304" priority="81" operator="lessThan">
      <formula>0.57</formula>
    </cfRule>
    <cfRule type="cellIs" dxfId="303" priority="82" operator="greaterThan">
      <formula>".56"</formula>
    </cfRule>
  </conditionalFormatting>
  <conditionalFormatting sqref="M341:M351">
    <cfRule type="cellIs" dxfId="302" priority="9" operator="lessThan">
      <formula>0.57</formula>
    </cfRule>
    <cfRule type="cellIs" dxfId="301" priority="26" operator="greaterThan">
      <formula>29.9</formula>
    </cfRule>
    <cfRule type="cellIs" dxfId="300" priority="25" operator="lessThan">
      <formula>30</formula>
    </cfRule>
  </conditionalFormatting>
  <conditionalFormatting sqref="M352:M396">
    <cfRule type="cellIs" dxfId="299" priority="41" operator="lessThan">
      <formula>0.561</formula>
    </cfRule>
    <cfRule type="cellIs" dxfId="298" priority="42" operator="greaterThan">
      <formula>0.56</formula>
    </cfRule>
  </conditionalFormatting>
  <conditionalFormatting sqref="M397:M419">
    <cfRule type="cellIs" dxfId="297" priority="89" operator="lessThan">
      <formula>0.57</formula>
    </cfRule>
    <cfRule type="cellIs" dxfId="296" priority="90" operator="greaterThan">
      <formula>".56"</formula>
    </cfRule>
  </conditionalFormatting>
  <conditionalFormatting sqref="M341:N351 P341:Q351 Q352:Q372">
    <cfRule type="cellIs" dxfId="295" priority="19" operator="equal">
      <formula>0</formula>
    </cfRule>
  </conditionalFormatting>
  <conditionalFormatting sqref="N5:N211 N397:N1048576">
    <cfRule type="cellIs" dxfId="294" priority="185" operator="greaterThan">
      <formula>29.9</formula>
    </cfRule>
    <cfRule type="cellIs" dxfId="293" priority="184" operator="lessThan">
      <formula>30</formula>
    </cfRule>
  </conditionalFormatting>
  <conditionalFormatting sqref="N212:N260">
    <cfRule type="cellIs" dxfId="292" priority="107" operator="between">
      <formula>30</formula>
      <formula>32</formula>
    </cfRule>
  </conditionalFormatting>
  <conditionalFormatting sqref="N212:N268 N294:N340">
    <cfRule type="cellIs" dxfId="291" priority="111" operator="greaterThan">
      <formula>"37.5"</formula>
    </cfRule>
    <cfRule type="cellIs" dxfId="290" priority="110" operator="greaterThan">
      <formula>37.9</formula>
    </cfRule>
    <cfRule type="cellIs" dxfId="289" priority="109" operator="lessThan">
      <formula>32</formula>
    </cfRule>
    <cfRule type="cellIs" dxfId="288" priority="108" operator="between">
      <formula>32</formula>
      <formula>"37.9"</formula>
    </cfRule>
  </conditionalFormatting>
  <conditionalFormatting sqref="N212:N292">
    <cfRule type="cellIs" dxfId="287" priority="86" operator="greaterThan">
      <formula>38</formula>
    </cfRule>
  </conditionalFormatting>
  <conditionalFormatting sqref="N261:N292">
    <cfRule type="cellIs" dxfId="286" priority="85" operator="between">
      <formula>32</formula>
      <formula>38</formula>
    </cfRule>
    <cfRule type="cellIs" dxfId="285" priority="84" operator="lessThan">
      <formula>30</formula>
    </cfRule>
  </conditionalFormatting>
  <conditionalFormatting sqref="N269:N293">
    <cfRule type="cellIs" dxfId="284" priority="83" operator="greaterThan">
      <formula>29.9</formula>
    </cfRule>
  </conditionalFormatting>
  <conditionalFormatting sqref="N269:N419">
    <cfRule type="cellIs" dxfId="283" priority="14" operator="lessThan">
      <formula>30</formula>
    </cfRule>
  </conditionalFormatting>
  <conditionalFormatting sqref="N294:N419">
    <cfRule type="cellIs" dxfId="282" priority="12" operator="between">
      <formula>32</formula>
      <formula>38</formula>
    </cfRule>
    <cfRule type="cellIs" dxfId="281" priority="15" operator="greaterThan">
      <formula>38</formula>
    </cfRule>
  </conditionalFormatting>
  <conditionalFormatting sqref="N341:N351">
    <cfRule type="cellIs" dxfId="280" priority="13" operator="between">
      <formula>30</formula>
      <formula>32</formula>
    </cfRule>
  </conditionalFormatting>
  <conditionalFormatting sqref="N352:N396">
    <cfRule type="cellIs" dxfId="279" priority="38" operator="greaterThan">
      <formula>"37.5"</formula>
    </cfRule>
    <cfRule type="cellIs" dxfId="278" priority="35" operator="between">
      <formula>32</formula>
      <formula>"37.9"</formula>
    </cfRule>
    <cfRule type="cellIs" dxfId="277" priority="36" operator="lessThan">
      <formula>32</formula>
    </cfRule>
    <cfRule type="cellIs" dxfId="276" priority="37" operator="greaterThan">
      <formula>37.9</formula>
    </cfRule>
  </conditionalFormatting>
  <conditionalFormatting sqref="N5:Q211 O212:Q268 N269:Q293 O294:Q340 P389:Q398 N399:Q419 N397:N398 K5:L333 L334:L340">
    <cfRule type="cellIs" dxfId="275" priority="176" operator="equal">
      <formula>0</formula>
    </cfRule>
  </conditionalFormatting>
  <conditionalFormatting sqref="N420:R1048576">
    <cfRule type="cellIs" dxfId="274" priority="69" operator="equal">
      <formula>0</formula>
    </cfRule>
  </conditionalFormatting>
  <conditionalFormatting sqref="P5:P268 P293:P340">
    <cfRule type="cellIs" dxfId="273" priority="169" operator="lessThan">
      <formula>65</formula>
    </cfRule>
  </conditionalFormatting>
  <conditionalFormatting sqref="P5:P340 P389:P1048576">
    <cfRule type="cellIs" dxfId="272" priority="183" operator="greaterThan">
      <formula>59.9</formula>
    </cfRule>
    <cfRule type="cellIs" dxfId="271" priority="182" operator="lessThan">
      <formula>60</formula>
    </cfRule>
  </conditionalFormatting>
  <conditionalFormatting sqref="P341:P351">
    <cfRule type="cellIs" dxfId="270" priority="11" operator="greaterThan">
      <formula>50</formula>
    </cfRule>
    <cfRule type="cellIs" dxfId="269" priority="24" operator="lessThan">
      <formula>0.25</formula>
    </cfRule>
    <cfRule type="cellIs" dxfId="268" priority="23" operator="greaterThan">
      <formula>0.25</formula>
    </cfRule>
  </conditionalFormatting>
  <conditionalFormatting sqref="P352:P372 P373:Q388 K352:L1048576">
    <cfRule type="cellIs" dxfId="267" priority="46" operator="equal">
      <formula>0</formula>
    </cfRule>
  </conditionalFormatting>
  <conditionalFormatting sqref="P352:P388">
    <cfRule type="cellIs" dxfId="266" priority="50" operator="greaterThan">
      <formula>59.9</formula>
    </cfRule>
    <cfRule type="cellIs" dxfId="265" priority="49" operator="lessThan">
      <formula>60</formula>
    </cfRule>
  </conditionalFormatting>
  <conditionalFormatting sqref="P352:P404">
    <cfRule type="cellIs" dxfId="264" priority="40" operator="lessThan">
      <formula>65</formula>
    </cfRule>
  </conditionalFormatting>
  <conditionalFormatting sqref="Q5:Q340 Q389:Q1048576">
    <cfRule type="cellIs" dxfId="263" priority="181" operator="lessThan">
      <formula>0.25</formula>
    </cfRule>
  </conditionalFormatting>
  <conditionalFormatting sqref="Q5:Q340">
    <cfRule type="cellIs" dxfId="262" priority="180" operator="greaterThan">
      <formula>0.25</formula>
    </cfRule>
  </conditionalFormatting>
  <conditionalFormatting sqref="Q212:Q260">
    <cfRule type="cellIs" dxfId="261" priority="104" operator="greaterThan">
      <formula>".25"</formula>
    </cfRule>
    <cfRule type="cellIs" dxfId="260" priority="103" operator="lessThan">
      <formula>".25"</formula>
    </cfRule>
  </conditionalFormatting>
  <conditionalFormatting sqref="Q254:Q340">
    <cfRule type="cellIs" dxfId="259" priority="92" operator="lessThan">
      <formula>0.25</formula>
    </cfRule>
  </conditionalFormatting>
  <conditionalFormatting sqref="Q261:Q268 Q293:Q340">
    <cfRule type="cellIs" dxfId="258" priority="91" operator="lessThan">
      <formula>0.26</formula>
    </cfRule>
  </conditionalFormatting>
  <conditionalFormatting sqref="Q341:Q372">
    <cfRule type="cellIs" dxfId="257" priority="20" operator="greaterThan">
      <formula>83</formula>
    </cfRule>
    <cfRule type="cellIs" dxfId="256" priority="21" operator="lessThan">
      <formula>75</formula>
    </cfRule>
    <cfRule type="cellIs" dxfId="255" priority="22" operator="greaterThan">
      <formula>74.9</formula>
    </cfRule>
    <cfRule type="cellIs" dxfId="254" priority="10" operator="lessThan">
      <formula>0.3</formula>
    </cfRule>
  </conditionalFormatting>
  <conditionalFormatting sqref="Q373:Q388">
    <cfRule type="cellIs" dxfId="253" priority="32" operator="lessThan">
      <formula>0.25</formula>
    </cfRule>
  </conditionalFormatting>
  <conditionalFormatting sqref="Q373:Q396">
    <cfRule type="cellIs" dxfId="252" priority="31" operator="lessThan">
      <formula>0.26</formula>
    </cfRule>
  </conditionalFormatting>
  <conditionalFormatting sqref="Q373:Q419">
    <cfRule type="cellIs" dxfId="251" priority="48" operator="lessThan">
      <formula>0.25</formula>
    </cfRule>
  </conditionalFormatting>
  <conditionalFormatting sqref="Q373:Q1048576">
    <cfRule type="cellIs" dxfId="250" priority="47" operator="greaterThan">
      <formula>0.25</formula>
    </cfRule>
  </conditionalFormatting>
  <conditionalFormatting sqref="R420:R1048576">
    <cfRule type="cellIs" dxfId="249" priority="178" operator="lessThan">
      <formula>75</formula>
    </cfRule>
    <cfRule type="cellIs" dxfId="248" priority="177" operator="greaterThan">
      <formula>83</formula>
    </cfRule>
    <cfRule type="cellIs" dxfId="247" priority="179" operator="greaterThan">
      <formula>74.9</formula>
    </cfRule>
  </conditionalFormatting>
  <conditionalFormatting sqref="T212:T404">
    <cfRule type="containsText" dxfId="246" priority="33" operator="containsText" text="OUTSPEC">
      <formula>NOT(ISERROR(SEARCH("OUTSPEC",T212)))</formula>
    </cfRule>
    <cfRule type="containsText" dxfId="245" priority="34" operator="containsText" text="OK">
      <formula>NOT(ISERROR(SEARCH("OK",T212)))</formula>
    </cfRule>
  </conditionalFormatting>
  <conditionalFormatting sqref="T5:U1048576">
    <cfRule type="cellIs" dxfId="244" priority="45" operator="equal">
      <formula>"Reject"</formula>
    </cfRule>
    <cfRule type="cellIs" dxfId="243" priority="44" operator="equal">
      <formula>"Ok"</formula>
    </cfRule>
    <cfRule type="cellIs" dxfId="242" priority="43" operator="equal">
      <formula>"Re-Test"</formula>
    </cfRule>
  </conditionalFormatting>
  <conditionalFormatting sqref="AH5:AH213 AH261:AH285 AH287:AH293 AH295 AH297:AH308 AH310:AH311 AH313:AH338 AH340:AH347 AH350:AH355 AH359:AH1048576">
    <cfRule type="cellIs" dxfId="241" priority="175" operator="equal">
      <formula>"Re-Test"</formula>
    </cfRule>
  </conditionalFormatting>
  <conditionalFormatting sqref="AH5:AH285 AH287:AH293 AH295 AH297:AH308 AH310:AH311 AH313:AH338 AH340:AH347 AH350:AH355 AH359:AH1048576">
    <cfRule type="cellIs" dxfId="240" priority="97" operator="equal">
      <formula>"Reject"</formula>
    </cfRule>
    <cfRule type="cellIs" dxfId="239" priority="96" operator="equal">
      <formula>"Ok"</formula>
    </cfRule>
  </conditionalFormatting>
  <conditionalFormatting sqref="AH214:AH260">
    <cfRule type="containsText" dxfId="238" priority="93" operator="containsText" text="OUTSPEC">
      <formula>NOT(ISERROR(SEARCH("OUTSPEC",AH214)))</formula>
    </cfRule>
    <cfRule type="cellIs" dxfId="237" priority="95" operator="equal">
      <formula>"Re-Test"</formula>
    </cfRule>
    <cfRule type="containsText" dxfId="236" priority="94" operator="containsText" text="OK">
      <formula>NOT(ISERROR(SEARCH("OK",AH214)))</formula>
    </cfRule>
  </conditionalFormatting>
  <conditionalFormatting sqref="AP5:AP1048576">
    <cfRule type="cellIs" dxfId="235" priority="152" operator="equal">
      <formula>"Reject"</formula>
    </cfRule>
  </conditionalFormatting>
  <conditionalFormatting sqref="AP57">
    <cfRule type="cellIs" dxfId="234" priority="151" operator="equal">
      <formula>"Ok"</formula>
    </cfRule>
    <cfRule type="cellIs" dxfId="233" priority="150" operator="equal">
      <formula>"Re-Test"</formula>
    </cfRule>
  </conditionalFormatting>
  <conditionalFormatting sqref="AP72">
    <cfRule type="cellIs" dxfId="232" priority="163" operator="equal">
      <formula>"Re-Test"</formula>
    </cfRule>
    <cfRule type="cellIs" dxfId="231" priority="164" operator="equal">
      <formula>"Ok"</formula>
    </cfRule>
  </conditionalFormatting>
  <conditionalFormatting sqref="AP80">
    <cfRule type="cellIs" dxfId="230" priority="133" operator="equal">
      <formula>"Ok"</formula>
    </cfRule>
    <cfRule type="cellIs" dxfId="229" priority="132" operator="equal">
      <formula>"Re-Test"</formula>
    </cfRule>
  </conditionalFormatting>
  <conditionalFormatting sqref="AP82:AP84">
    <cfRule type="cellIs" dxfId="228" priority="137" operator="equal">
      <formula>"Ok"</formula>
    </cfRule>
    <cfRule type="cellIs" dxfId="227" priority="136" operator="equal">
      <formula>"Re-Test"</formula>
    </cfRule>
  </conditionalFormatting>
  <conditionalFormatting sqref="AP86">
    <cfRule type="cellIs" dxfId="226" priority="162" operator="equal">
      <formula>"Ok"</formula>
    </cfRule>
    <cfRule type="cellIs" dxfId="225" priority="161" operator="equal">
      <formula>"Re-Test"</formula>
    </cfRule>
  </conditionalFormatting>
  <conditionalFormatting sqref="AP88:AP89">
    <cfRule type="cellIs" dxfId="224" priority="135" operator="equal">
      <formula>"Ok"</formula>
    </cfRule>
    <cfRule type="cellIs" dxfId="223" priority="134" operator="equal">
      <formula>"Re-Test"</formula>
    </cfRule>
  </conditionalFormatting>
  <conditionalFormatting sqref="AP92:AP98">
    <cfRule type="cellIs" dxfId="222" priority="139" operator="equal">
      <formula>"Ok"</formula>
    </cfRule>
    <cfRule type="cellIs" dxfId="221" priority="138" operator="equal">
      <formula>"Re-Test"</formula>
    </cfRule>
  </conditionalFormatting>
  <conditionalFormatting sqref="AP101">
    <cfRule type="cellIs" dxfId="220" priority="149" operator="equal">
      <formula>"Ok"</formula>
    </cfRule>
    <cfRule type="cellIs" dxfId="219" priority="148" operator="equal">
      <formula>"Re-Test"</formula>
    </cfRule>
  </conditionalFormatting>
  <conditionalFormatting sqref="AP103:AP113">
    <cfRule type="cellIs" dxfId="218" priority="147" operator="equal">
      <formula>"Ok"</formula>
    </cfRule>
    <cfRule type="cellIs" dxfId="217" priority="146" operator="equal">
      <formula>"Re-Test"</formula>
    </cfRule>
  </conditionalFormatting>
  <conditionalFormatting sqref="AP116">
    <cfRule type="cellIs" dxfId="216" priority="145" operator="equal">
      <formula>"Ok"</formula>
    </cfRule>
    <cfRule type="cellIs" dxfId="215" priority="144" operator="equal">
      <formula>"Re-Test"</formula>
    </cfRule>
  </conditionalFormatting>
  <conditionalFormatting sqref="AP118:AP127">
    <cfRule type="cellIs" dxfId="214" priority="142" operator="equal">
      <formula>"Re-Test"</formula>
    </cfRule>
    <cfRule type="cellIs" dxfId="213" priority="143" operator="equal">
      <formula>"Ok"</formula>
    </cfRule>
  </conditionalFormatting>
  <conditionalFormatting sqref="AP131">
    <cfRule type="cellIs" dxfId="212" priority="159" operator="equal">
      <formula>"Re-Test"</formula>
    </cfRule>
    <cfRule type="cellIs" dxfId="211" priority="160" operator="equal">
      <formula>"Ok"</formula>
    </cfRule>
  </conditionalFormatting>
  <conditionalFormatting sqref="AP133">
    <cfRule type="cellIs" dxfId="210" priority="141" operator="equal">
      <formula>"Ok"</formula>
    </cfRule>
    <cfRule type="cellIs" dxfId="209" priority="140" operator="equal">
      <formula>"Re-Test"</formula>
    </cfRule>
  </conditionalFormatting>
  <conditionalFormatting sqref="AP137:AP139">
    <cfRule type="cellIs" dxfId="208" priority="158" operator="equal">
      <formula>"Ok"</formula>
    </cfRule>
    <cfRule type="cellIs" dxfId="207" priority="157" operator="equal">
      <formula>"Re-Test"</formula>
    </cfRule>
  </conditionalFormatting>
  <conditionalFormatting sqref="AP141">
    <cfRule type="cellIs" dxfId="206" priority="155" operator="equal">
      <formula>"Re-Test"</formula>
    </cfRule>
    <cfRule type="cellIs" dxfId="205" priority="156" operator="equal">
      <formula>"Ok"</formula>
    </cfRule>
  </conditionalFormatting>
  <conditionalFormatting sqref="AP143">
    <cfRule type="cellIs" dxfId="204" priority="153" operator="equal">
      <formula>"Re-Test"</formula>
    </cfRule>
    <cfRule type="cellIs" dxfId="203" priority="154" operator="equal">
      <formula>"Ok"</formula>
    </cfRule>
  </conditionalFormatting>
  <conditionalFormatting sqref="AP146:AP213">
    <cfRule type="cellIs" dxfId="202" priority="98" operator="equal">
      <formula>"Re-Test"</formula>
    </cfRule>
    <cfRule type="cellIs" dxfId="201" priority="99" operator="equal">
      <formula>"Ok"</formula>
    </cfRule>
  </conditionalFormatting>
  <conditionalFormatting sqref="AU359:AW419 AV5:AW358">
    <cfRule type="cellIs" dxfId="200" priority="101" operator="equal">
      <formula>"OK"</formula>
    </cfRule>
    <cfRule type="containsText" dxfId="199" priority="100" operator="containsText" text="OK">
      <formula>NOT(ISERROR(SEARCH("OK",AU5)))</formula>
    </cfRule>
  </conditionalFormatting>
  <conditionalFormatting sqref="AW244:AW419">
    <cfRule type="cellIs" dxfId="198" priority="102" operator="equal">
      <formula>"Reject"</formula>
    </cfRule>
  </conditionalFormatting>
  <conditionalFormatting sqref="AY5:BA419">
    <cfRule type="cellIs" dxfId="197" priority="129" operator="equal">
      <formula>"P"</formula>
    </cfRule>
    <cfRule type="cellIs" dxfId="196" priority="128" operator="equal">
      <formula>"O"</formula>
    </cfRule>
  </conditionalFormatting>
  <conditionalFormatting sqref="BB5:BC419">
    <cfRule type="cellIs" dxfId="195" priority="130" operator="equal">
      <formula>"P"</formula>
    </cfRule>
    <cfRule type="cellIs" dxfId="194" priority="131" operator="equal">
      <formula>"O"</formula>
    </cfRule>
  </conditionalFormatting>
  <conditionalFormatting sqref="BB5:BD5 BB6:BH9 BB10:BE11 BB12:BH13 BB14:BE15 BB16:BH25 BB26:BE28 BB29:BH31 BB32:BE32 BB33:BH35 BB36:BG36 BB37:BH38 BB39:BE39 BB40:BG40 BB41:BE41 BB42:BH47 BB48:BE48 BB49:BH58 BB59:BE59 BB60:BG63 BB64:BE64 BB65:BG66 BB67:BE73 BB74:BG75 BB76:BE77 BB78:BG80 BB81:BE81 BB82:BG84 BB85:BE85 BB86:BH88 BB89:BE89 BB90:BG92 BB93:BE95 BB96:BH96 BB97:BE99 BB100:BG100 BB101:BE103 BB104:BG108 BB109:BE109 BB110:BG110 BB111:BH111 BB112:BG113 BB114:BE115 BB116:BG116 BB117:BE117 BB118:BG118 BB119:BE120 BB121:BG123 BB124:BH124 BB125:BG127 BB128:BE130 BB131:BG131 BB132:BE132 BB133:BG133 BB134:BE137 BB138:BG143 BB144:BE146 BB147:BH156 BB157:BG157 BB158:BH160 BB161:BG162 BB163:BH165 BB166:BG168 BB169:BH172 BB173:BG175 BB176:BH188 BB189:BG205 BB206:BH206 BB207:BG207 BB208:BH208 BB209:BG243 BB244:BH244 BB245:BG290 BB291:BH291 BB292:BG299 BB300:BH300 BB301:BG302 BB303:BH308 BB309:BG309 BB310:BH311 BB312:BG312 BB313:BH338 BB339:BG339 BB340:BH347 BB348:BG349 BB350:BH355 BB356:BG358 BB359:BH419 BF5:BH5 BH73:BH76 BH79:BH82 BH90:BH94">
    <cfRule type="containsText" dxfId="193" priority="166" operator="containsText" text="OK">
      <formula>NOT(ISERROR(SEARCH("OK",BB5)))</formula>
    </cfRule>
  </conditionalFormatting>
  <conditionalFormatting sqref="BB5:BD5 BF5:BH5 BB6:BH9 BB10:BE11 BB12:BH13 BB14:BE15 BB16:BH25 BB26:BE28 BB29:BH31 BB32:BE32 BB33:BH35 BB36:BG36 BB37:BH38 BB39:BE39 BB40:BG40 BB41:BE41 BB42:BH47 BB48:BE48 BB49:BH58 BB59:BE59 BB60:BG63 BB64:BE64 BB65:BG66 BB67:BE73 BH73:BH76 BB74:BG75 BB76:BE77 BB78:BG80 BH79:BH82 BB81:BE81 BB82:BG84 BB85:BE85 BB86:BH88 BB89:BE89 BB90:BG92 BH90:BH94 BB93:BE95 BB96:BH96 BB97:BE99 BB100:BG100 BB101:BE103 BB104:BG108 BB109:BE109 BB110:BG110 BB111:BH111 BB112:BG113 BB114:BE115 BB116:BG116 BB117:BE117 BB118:BG118 BB119:BE120 BB121:BG123 BB124:BH124 BB125:BG127 BB128:BE130 BB131:BG131 BB132:BE132 BB133:BG133 BB134:BE137 BB138:BG143 BB144:BE146 BB147:BH156 BB157:BG157 BB158:BH160 BB161:BG162 BB163:BH165 BB166:BG168 BB169:BH172 BB173:BG175 BB176:BH188 BB189:BG205 BB206:BH206 BB207:BG207 BB208:BH208 BB209:BG243 BB244:BH244 BB245:BG290 BB291:BH291 BB292:BG299 BB300:BH300 BB301:BG302 BB303:BH308 BB309:BG309 BB310:BH311 BB312:BG312 BB313:BH338 BB339:BG339 BB340:BH347 BB348:BG349 BB350:BH355 BB356:BG358 BB359:BH419 AP162:AP1048576">
    <cfRule type="cellIs" dxfId="192" priority="167" operator="equal">
      <formula>"OK"</formula>
    </cfRule>
  </conditionalFormatting>
  <conditionalFormatting sqref="BB5:BD5 BF5:BH5 BB6:BH9 BB10:BE11 BB12:BH13 BB14:BE15 BB16:BH25 BB26:BE28 BB29:BH31 BB32:BE32 BB33:BH35 BB36:BG36 BB37:BH38 BB39:BE39 BB40:BG40 BB41:BE41 BB42:BH47 BB48:BE48 BB49:BH58 BB59:BE59 BB60:BG63 BB64:BE64 BB65:BG66 BB67:BE73 BH73:BH76 BB74:BG75 BB76:BE77 BB78:BG80 BH79:BH82 BB81:BE81 BB82:BG84 BB85:BE85 BB86:BH88 BB89:BE89 BB90:BG92 BH90:BH94 BB93:BE95 BB96:BH96 BB97:BE99 BB100:BG100 BB101:BE103 BB104:BG108 BB109:BE109 BB110:BG110 BB111:BH111 BB112:BG113 BB114:BE115 BB116:BG116 BB117:BE117 BB118:BG118 BB119:BE120 BB121:BG123 BB124:BH124 BB125:BG127 BB128:BE130 BB131:BG131 BB132:BE132 BB133:BG133 BB134:BE137 BB138:BG143 BB144:BE146 BB147:BH156 BB157:BG157 BB158:BH160 BB161:BG162 BB163:BH165 BB166:BG168 BB169:BH172 BB173:BG175 BB176:BH188 BB189:BG205 BB206:BH206 BB207:BG207 BB208:BH208 BB209:BG243 BB244:BH244 BB245:BG290 BB291:BH291 BB292:BG299 BB300:BH300 BB301:BG302 BB303:BH308 BB309:BG309 BB310:BH311 BB312:BG312 BB313:BH338 BB339:BG339 BB340:BH347 BB348:BG349 BB350:BH355 BB356:BG358 BB359:BH419 AV5:AW243 AU359:AV419 AV244:AV358">
    <cfRule type="cellIs" dxfId="191" priority="168" operator="equal">
      <formula>"Reject"</formula>
    </cfRule>
  </conditionalFormatting>
  <conditionalFormatting sqref="BH98 BH101:BH103">
    <cfRule type="cellIs" dxfId="190" priority="56" operator="equal">
      <formula>"OK"</formula>
    </cfRule>
    <cfRule type="containsText" dxfId="189" priority="55" operator="containsText" text="OK">
      <formula>NOT(ISERROR(SEARCH("OK",BH98)))</formula>
    </cfRule>
    <cfRule type="cellIs" dxfId="188" priority="57" operator="equal">
      <formula>"Reject"</formula>
    </cfRule>
  </conditionalFormatting>
  <conditionalFormatting sqref="BM5:BM419">
    <cfRule type="cellIs" dxfId="187" priority="124" operator="equal">
      <formula>"P"</formula>
    </cfRule>
    <cfRule type="cellIs" dxfId="186" priority="125" operator="equal">
      <formula>"O"</formula>
    </cfRule>
    <cfRule type="containsText" dxfId="185" priority="126" operator="containsText" text="OK">
      <formula>NOT(ISERROR(SEARCH("OK",BM5)))</formula>
    </cfRule>
    <cfRule type="cellIs" dxfId="184" priority="127" operator="equal">
      <formula>"Reject"</formula>
    </cfRule>
  </conditionalFormatting>
  <conditionalFormatting sqref="BM5:BN53 AP5:AP82 BM55:BN56 BM58:BN419 AP84:AP85 AP87:AP88 AP90:AP91 AP93 AP97 AP99:AP103 AP105:AP107 AP111 AP114:AP119 AP121:AP122 AP124 AP126 AP128:AP130 AP132:AP136 AP140 AP142 AP144:AP146 AP149 AP152 AP154 AP156 AP158">
    <cfRule type="cellIs" dxfId="183" priority="165" operator="equal">
      <formula>"OK"</formula>
    </cfRule>
  </conditionalFormatting>
  <conditionalFormatting sqref="BN5:BN53 BN55:BN56 BN58:BN419">
    <cfRule type="cellIs" dxfId="182" priority="123" operator="equal">
      <formula>"Reject"</formula>
    </cfRule>
    <cfRule type="containsText" dxfId="181" priority="121" operator="containsText" text="OK">
      <formula>NOT(ISERROR(SEARCH("OK",BN5)))</formula>
    </cfRule>
  </conditionalFormatting>
  <conditionalFormatting sqref="BO5:BO419 BM49:BM67">
    <cfRule type="cellIs" dxfId="180" priority="122" operator="equal">
      <formula>"OK"</formula>
    </cfRule>
  </conditionalFormatting>
  <conditionalFormatting sqref="BO5:BO419">
    <cfRule type="cellIs" dxfId="179" priority="120" operator="equal">
      <formula>"Reject"</formula>
    </cfRule>
    <cfRule type="containsText" dxfId="178" priority="119" operator="containsText" text="OK">
      <formula>NOT(ISERROR(SEARCH("OK",BO5)))</formula>
    </cfRule>
  </conditionalFormatting>
  <conditionalFormatting sqref="BP54">
    <cfRule type="cellIs" dxfId="177" priority="118" operator="equal">
      <formula>"OK"</formula>
    </cfRule>
    <cfRule type="cellIs" dxfId="176" priority="117" operator="equal">
      <formula>"Reject"</formula>
    </cfRule>
    <cfRule type="containsText" dxfId="175" priority="116" operator="containsText" text="OK">
      <formula>NOT(ISERROR(SEARCH("OK",BP54)))</formula>
    </cfRule>
  </conditionalFormatting>
  <conditionalFormatting sqref="BP57">
    <cfRule type="cellIs" dxfId="174" priority="114" operator="equal">
      <formula>"Reject"</formula>
    </cfRule>
    <cfRule type="cellIs" dxfId="173" priority="115" operator="equal">
      <formula>"OK"</formula>
    </cfRule>
    <cfRule type="containsText" dxfId="172" priority="113" operator="containsText" text="OK">
      <formula>NOT(ISERROR(SEARCH("OK",BP57)))</formula>
    </cfRule>
  </conditionalFormatting>
  <conditionalFormatting sqref="BH97">
    <cfRule type="containsText" dxfId="171" priority="6" operator="containsText" text="OK">
      <formula>NOT(ISERROR(SEARCH("OK",BH97)))</formula>
    </cfRule>
  </conditionalFormatting>
  <conditionalFormatting sqref="BH97">
    <cfRule type="cellIs" dxfId="170" priority="7" operator="equal">
      <formula>"OK"</formula>
    </cfRule>
  </conditionalFormatting>
  <conditionalFormatting sqref="BH97">
    <cfRule type="cellIs" dxfId="169" priority="8" operator="equal">
      <formula>"Reject"</formula>
    </cfRule>
  </conditionalFormatting>
  <conditionalFormatting sqref="AH356:AH358 AH348:AH349 AH339 AH312 AH309 AH296 AH294 AH286">
    <cfRule type="cellIs" dxfId="168" priority="4" operator="equal">
      <formula>"Reject"</formula>
    </cfRule>
  </conditionalFormatting>
  <conditionalFormatting sqref="AH356:AH358 AH348:AH349 AH339 AH312 AH309 AH296 AH294 AH286">
    <cfRule type="cellIs" dxfId="167" priority="5" operator="equal">
      <formula>"OK"</formula>
    </cfRule>
  </conditionalFormatting>
  <conditionalFormatting sqref="AU1:AU1048576">
    <cfRule type="cellIs" dxfId="0" priority="3" operator="equal">
      <formula>"Reject"</formula>
    </cfRule>
    <cfRule type="cellIs" dxfId="1" priority="2" operator="equal">
      <formula>"Ok"</formula>
    </cfRule>
    <cfRule type="cellIs" dxfId="2" priority="1" operator="equal">
      <formula>"Hold"</formula>
    </cfRule>
  </conditionalFormatting>
  <pageMargins left="0" right="0" top="0" bottom="0" header="0.31496062992125984" footer="0.31496062992125984"/>
  <pageSetup paperSize="9" scale="1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4545-B66A-4141-AA22-557FA45A6845}">
  <dimension ref="A1:BD363"/>
  <sheetViews>
    <sheetView topLeftCell="AB1" zoomScaleNormal="100" workbookViewId="0">
      <pane ySplit="8" topLeftCell="A283" activePane="bottomLeft" state="frozen"/>
      <selection pane="bottomLeft" activeCell="AU3" sqref="AU3"/>
    </sheetView>
  </sheetViews>
  <sheetFormatPr defaultRowHeight="14.5"/>
  <cols>
    <col min="1" max="1" width="2.81640625" customWidth="1"/>
    <col min="2" max="2" width="5.54296875" bestFit="1" customWidth="1"/>
    <col min="3" max="3" width="17.453125" bestFit="1" customWidth="1"/>
    <col min="4" max="4" width="14" style="26" bestFit="1" customWidth="1"/>
    <col min="5" max="5" width="6.26953125" style="26" bestFit="1" customWidth="1"/>
    <col min="6" max="6" width="8.453125" style="26" bestFit="1" customWidth="1"/>
    <col min="7" max="7" width="7.453125" bestFit="1" customWidth="1"/>
    <col min="8" max="8" width="7.26953125" bestFit="1" customWidth="1"/>
    <col min="9" max="9" width="7.1796875" bestFit="1" customWidth="1"/>
    <col min="10" max="10" width="5.54296875" bestFit="1" customWidth="1"/>
    <col min="11" max="12" width="5.453125" bestFit="1" customWidth="1"/>
    <col min="13" max="13" width="5.54296875" bestFit="1" customWidth="1"/>
    <col min="14" max="14" width="15.7265625" style="26" bestFit="1" customWidth="1"/>
    <col min="15" max="15" width="21.81640625" style="26" bestFit="1" customWidth="1"/>
    <col min="16" max="16" width="7.453125" style="26" bestFit="1" customWidth="1"/>
    <col min="17" max="17" width="7.26953125" style="26" bestFit="1" customWidth="1"/>
    <col min="18" max="18" width="7.1796875" style="26" bestFit="1" customWidth="1"/>
    <col min="19" max="19" width="9" style="26" bestFit="1" customWidth="1"/>
    <col min="20" max="20" width="11.26953125" style="26" bestFit="1" customWidth="1"/>
    <col min="21" max="21" width="12.81640625" style="26" bestFit="1" customWidth="1"/>
    <col min="22" max="22" width="2.54296875" style="26" bestFit="1" customWidth="1"/>
    <col min="23" max="23" width="17.7265625" style="26" bestFit="1" customWidth="1"/>
    <col min="24" max="24" width="17.81640625" bestFit="1" customWidth="1"/>
    <col min="25" max="25" width="15.81640625" bestFit="1" customWidth="1"/>
    <col min="26" max="26" width="8.453125" style="26" customWidth="1"/>
    <col min="27" max="27" width="9" style="26" customWidth="1"/>
    <col min="28" max="28" width="7.54296875" style="26" bestFit="1" customWidth="1"/>
    <col min="29" max="30" width="7.453125" style="26" bestFit="1" customWidth="1"/>
    <col min="31" max="33" width="6.453125" style="26" bestFit="1" customWidth="1"/>
    <col min="34" max="34" width="5.453125" style="26" bestFit="1" customWidth="1"/>
    <col min="35" max="35" width="15.81640625" style="26" bestFit="1" customWidth="1"/>
    <col min="36" max="36" width="6.1796875" bestFit="1" customWidth="1"/>
    <col min="37" max="37" width="10.54296875" bestFit="1" customWidth="1"/>
    <col min="38" max="45" width="10.54296875" customWidth="1"/>
    <col min="46" max="47" width="10.453125" customWidth="1"/>
    <col min="48" max="48" width="9.81640625" bestFit="1" customWidth="1"/>
    <col min="49" max="49" width="10.1796875" bestFit="1" customWidth="1"/>
    <col min="50" max="51" width="10" customWidth="1"/>
    <col min="52" max="53" width="10" style="26" customWidth="1"/>
    <col min="54" max="54" width="26" style="441" customWidth="1"/>
    <col min="55" max="55" width="9.453125" style="26" customWidth="1"/>
    <col min="56" max="56" width="10.453125" style="26" bestFit="1" customWidth="1"/>
  </cols>
  <sheetData>
    <row r="1" spans="1:56">
      <c r="A1" s="122"/>
      <c r="F1" s="21"/>
      <c r="G1" s="377"/>
      <c r="H1" s="378"/>
      <c r="I1" s="378"/>
      <c r="J1" s="379"/>
      <c r="K1" s="379"/>
      <c r="L1" s="379"/>
      <c r="M1" s="378"/>
      <c r="N1" s="380"/>
      <c r="O1" s="380"/>
      <c r="P1" s="381"/>
      <c r="Q1" s="381"/>
      <c r="R1" s="381"/>
      <c r="S1" s="381"/>
      <c r="T1" s="381"/>
      <c r="U1" s="381"/>
      <c r="V1" s="381"/>
      <c r="W1" s="381"/>
      <c r="AK1" t="s">
        <v>593</v>
      </c>
      <c r="AL1" s="382" t="s">
        <v>594</v>
      </c>
      <c r="AM1" s="382" t="s">
        <v>594</v>
      </c>
      <c r="AN1" s="382" t="s">
        <v>595</v>
      </c>
      <c r="AO1" s="382" t="s">
        <v>596</v>
      </c>
      <c r="AQ1" s="382" t="s">
        <v>597</v>
      </c>
      <c r="AR1" s="382" t="s">
        <v>594</v>
      </c>
      <c r="AS1" s="382" t="s">
        <v>596</v>
      </c>
      <c r="BB1"/>
    </row>
    <row r="2" spans="1:56">
      <c r="A2" s="122"/>
      <c r="F2" s="21"/>
      <c r="G2" s="377"/>
      <c r="H2" s="378"/>
      <c r="I2" s="378"/>
      <c r="J2" s="379"/>
      <c r="K2" s="379"/>
      <c r="L2" s="379"/>
      <c r="M2" s="378"/>
      <c r="N2" s="380"/>
      <c r="O2" s="380"/>
      <c r="P2" s="381"/>
      <c r="Q2" s="381"/>
      <c r="R2" s="381"/>
      <c r="S2" s="381"/>
      <c r="T2" s="381"/>
      <c r="U2" s="381"/>
      <c r="V2" s="381"/>
      <c r="W2" s="381"/>
      <c r="AK2" t="s">
        <v>598</v>
      </c>
      <c r="AL2" s="382" t="s">
        <v>594</v>
      </c>
      <c r="AM2" s="382" t="s">
        <v>594</v>
      </c>
      <c r="AN2" s="382" t="s">
        <v>599</v>
      </c>
      <c r="AO2" s="382" t="s">
        <v>596</v>
      </c>
      <c r="AQ2" s="382" t="s">
        <v>600</v>
      </c>
      <c r="AR2" s="382" t="s">
        <v>594</v>
      </c>
      <c r="AS2" s="382" t="s">
        <v>601</v>
      </c>
      <c r="BB2"/>
    </row>
    <row r="3" spans="1:56">
      <c r="A3" s="122"/>
      <c r="F3" s="21"/>
      <c r="G3" s="377"/>
      <c r="H3" s="378"/>
      <c r="I3" s="378"/>
      <c r="J3" s="379"/>
      <c r="K3" s="379"/>
      <c r="L3" s="379"/>
      <c r="M3" s="378"/>
      <c r="N3" s="380"/>
      <c r="O3" s="380"/>
      <c r="P3" s="381"/>
      <c r="Q3" s="381"/>
      <c r="R3" s="381"/>
      <c r="S3" s="381"/>
      <c r="T3" s="381"/>
      <c r="U3" s="381"/>
      <c r="V3" s="381"/>
      <c r="W3" s="381"/>
      <c r="AK3" t="s">
        <v>422</v>
      </c>
      <c r="AL3" s="377">
        <f t="shared" ref="AL3:AS3" si="0">MIN(AL9:AL363)</f>
        <v>-1.8499999999999989E-2</v>
      </c>
      <c r="AM3" s="378">
        <f t="shared" si="0"/>
        <v>-2.5000000000000022E-3</v>
      </c>
      <c r="AN3" s="378">
        <f t="shared" si="0"/>
        <v>-7.0000000000000007E-2</v>
      </c>
      <c r="AO3" s="379">
        <f t="shared" si="0"/>
        <v>-13.25</v>
      </c>
      <c r="AP3" s="379">
        <f t="shared" si="0"/>
        <v>-7.3277500000000053</v>
      </c>
      <c r="AQ3" s="379">
        <f t="shared" si="0"/>
        <v>-12.924999999999997</v>
      </c>
      <c r="AR3" s="378">
        <f t="shared" si="0"/>
        <v>-4.9999999999999989E-2</v>
      </c>
      <c r="AS3" s="379">
        <f t="shared" si="0"/>
        <v>-11</v>
      </c>
      <c r="BB3"/>
    </row>
    <row r="4" spans="1:56">
      <c r="A4" s="122"/>
      <c r="F4" s="21"/>
      <c r="G4" s="377"/>
      <c r="J4" s="383"/>
      <c r="K4" s="379"/>
      <c r="L4" s="379"/>
      <c r="M4" s="378"/>
      <c r="N4" s="383"/>
      <c r="O4" s="383"/>
      <c r="P4" s="384"/>
      <c r="Q4" s="384"/>
      <c r="R4" s="384"/>
      <c r="S4" s="384"/>
      <c r="T4" s="384"/>
      <c r="U4" s="384"/>
      <c r="V4" s="384"/>
      <c r="W4" s="384"/>
      <c r="AK4" t="s">
        <v>423</v>
      </c>
      <c r="AL4" s="377">
        <f t="shared" ref="AL4:AS4" si="1">MAX(AL9:AL363)</f>
        <v>0.10925</v>
      </c>
      <c r="AM4" s="378">
        <f t="shared" si="1"/>
        <v>0.35249999999999998</v>
      </c>
      <c r="AN4" s="378">
        <f t="shared" si="1"/>
        <v>0.4</v>
      </c>
      <c r="AO4" s="379">
        <f t="shared" si="1"/>
        <v>41.5</v>
      </c>
      <c r="AP4" s="379">
        <f t="shared" si="1"/>
        <v>29.465</v>
      </c>
      <c r="AQ4" s="379">
        <f t="shared" si="1"/>
        <v>72.986405977420105</v>
      </c>
      <c r="AR4" s="378">
        <f t="shared" si="1"/>
        <v>0.23</v>
      </c>
      <c r="AS4" s="379">
        <f t="shared" si="1"/>
        <v>82</v>
      </c>
      <c r="BB4"/>
    </row>
    <row r="5" spans="1:56" s="50" customFormat="1">
      <c r="B5" s="514" t="s">
        <v>0</v>
      </c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515" t="s">
        <v>602</v>
      </c>
      <c r="P5" s="516"/>
      <c r="Q5" s="516"/>
      <c r="R5" s="516"/>
      <c r="S5" s="516"/>
      <c r="T5" s="516"/>
      <c r="U5" s="516"/>
      <c r="V5" s="516"/>
      <c r="W5" s="517"/>
      <c r="X5" s="515" t="s">
        <v>603</v>
      </c>
      <c r="Y5" s="516"/>
      <c r="Z5" s="516"/>
      <c r="AA5" s="516"/>
      <c r="AB5" s="516"/>
      <c r="AC5" s="516"/>
      <c r="AD5" s="516"/>
      <c r="AE5" s="516"/>
      <c r="AF5" s="516"/>
      <c r="AG5" s="516"/>
      <c r="AH5" s="516"/>
      <c r="AI5" s="516"/>
      <c r="AJ5" s="516"/>
      <c r="AK5" s="516"/>
      <c r="AL5" s="516"/>
      <c r="AM5" s="516"/>
      <c r="AN5" s="516"/>
      <c r="AO5" s="516"/>
      <c r="AP5" s="516"/>
      <c r="AQ5" s="516"/>
      <c r="AR5" s="516"/>
      <c r="AS5" s="516"/>
      <c r="AT5" s="516"/>
      <c r="AU5" s="516"/>
      <c r="AV5" s="516"/>
      <c r="AW5" s="516"/>
      <c r="AX5" s="516"/>
      <c r="AY5" s="517"/>
      <c r="AZ5" s="515" t="s">
        <v>604</v>
      </c>
      <c r="BA5" s="516"/>
      <c r="BB5" s="516"/>
      <c r="BC5" s="516"/>
      <c r="BD5" s="517"/>
    </row>
    <row r="6" spans="1:56" s="50" customFormat="1">
      <c r="B6" s="514"/>
      <c r="C6" s="514" t="s">
        <v>432</v>
      </c>
      <c r="D6" s="514" t="s">
        <v>437</v>
      </c>
      <c r="E6" s="514"/>
      <c r="F6" s="514"/>
      <c r="G6" s="514"/>
      <c r="H6" s="514"/>
      <c r="I6" s="514"/>
      <c r="J6" s="514"/>
      <c r="K6" s="514"/>
      <c r="L6" s="514"/>
      <c r="M6" s="514"/>
      <c r="N6" s="514"/>
      <c r="O6" s="515" t="s">
        <v>605</v>
      </c>
      <c r="P6" s="516"/>
      <c r="Q6" s="516"/>
      <c r="R6" s="516"/>
      <c r="S6" s="516"/>
      <c r="T6" s="516"/>
      <c r="U6" s="516"/>
      <c r="V6" s="516"/>
      <c r="W6" s="517"/>
      <c r="X6" s="518" t="s">
        <v>133</v>
      </c>
      <c r="Y6" s="518" t="s">
        <v>606</v>
      </c>
      <c r="Z6" s="513" t="s">
        <v>477</v>
      </c>
      <c r="AA6" s="513"/>
      <c r="AB6" s="527" t="s">
        <v>607</v>
      </c>
      <c r="AC6" s="528"/>
      <c r="AD6" s="528"/>
      <c r="AE6" s="528"/>
      <c r="AF6" s="528"/>
      <c r="AG6" s="528"/>
      <c r="AH6" s="528"/>
      <c r="AI6" s="529"/>
      <c r="AJ6" s="518" t="s">
        <v>248</v>
      </c>
      <c r="AK6" s="518" t="s">
        <v>249</v>
      </c>
      <c r="AL6" s="527" t="s">
        <v>608</v>
      </c>
      <c r="AM6" s="528"/>
      <c r="AN6" s="528"/>
      <c r="AO6" s="528"/>
      <c r="AP6" s="528"/>
      <c r="AQ6" s="528"/>
      <c r="AR6" s="528"/>
      <c r="AS6" s="529"/>
      <c r="AT6" s="518" t="s">
        <v>609</v>
      </c>
      <c r="AU6" s="518" t="s">
        <v>610</v>
      </c>
      <c r="AV6" s="518" t="s">
        <v>611</v>
      </c>
      <c r="AW6" s="518" t="s">
        <v>612</v>
      </c>
      <c r="AX6" s="518" t="s">
        <v>613</v>
      </c>
      <c r="AY6" s="518" t="s">
        <v>614</v>
      </c>
      <c r="AZ6" s="513" t="s">
        <v>477</v>
      </c>
      <c r="BA6" s="513"/>
      <c r="BB6" s="518" t="s">
        <v>133</v>
      </c>
      <c r="BC6" s="518" t="s">
        <v>248</v>
      </c>
      <c r="BD6" s="518" t="s">
        <v>249</v>
      </c>
    </row>
    <row r="7" spans="1:56" s="50" customFormat="1">
      <c r="B7" s="514"/>
      <c r="C7" s="514"/>
      <c r="D7" s="128" t="s">
        <v>440</v>
      </c>
      <c r="E7" s="32" t="s">
        <v>441</v>
      </c>
      <c r="F7" s="32" t="s">
        <v>442</v>
      </c>
      <c r="G7" s="32" t="s">
        <v>54</v>
      </c>
      <c r="H7" s="32" t="s">
        <v>417</v>
      </c>
      <c r="I7" s="32" t="s">
        <v>418</v>
      </c>
      <c r="J7" s="32" t="s">
        <v>61</v>
      </c>
      <c r="K7" s="32" t="s">
        <v>62</v>
      </c>
      <c r="L7" s="32" t="s">
        <v>63</v>
      </c>
      <c r="M7" s="32" t="s">
        <v>419</v>
      </c>
      <c r="N7" s="32" t="s">
        <v>420</v>
      </c>
      <c r="O7" s="128" t="s">
        <v>615</v>
      </c>
      <c r="P7" s="32" t="s">
        <v>54</v>
      </c>
      <c r="Q7" s="32" t="s">
        <v>417</v>
      </c>
      <c r="R7" s="32" t="s">
        <v>418</v>
      </c>
      <c r="S7" s="32" t="s">
        <v>61</v>
      </c>
      <c r="T7" s="32" t="s">
        <v>62</v>
      </c>
      <c r="U7" s="32" t="s">
        <v>63</v>
      </c>
      <c r="V7" s="32" t="s">
        <v>419</v>
      </c>
      <c r="W7" s="32" t="s">
        <v>420</v>
      </c>
      <c r="X7" s="522"/>
      <c r="Y7" s="522"/>
      <c r="Z7" s="32" t="s">
        <v>441</v>
      </c>
      <c r="AA7" s="32" t="s">
        <v>442</v>
      </c>
      <c r="AB7" s="32" t="s">
        <v>54</v>
      </c>
      <c r="AC7" s="32" t="s">
        <v>417</v>
      </c>
      <c r="AD7" s="32" t="s">
        <v>418</v>
      </c>
      <c r="AE7" s="32" t="s">
        <v>61</v>
      </c>
      <c r="AF7" s="32" t="s">
        <v>62</v>
      </c>
      <c r="AG7" s="32" t="s">
        <v>63</v>
      </c>
      <c r="AH7" s="32" t="s">
        <v>419</v>
      </c>
      <c r="AI7" s="32" t="s">
        <v>420</v>
      </c>
      <c r="AJ7" s="522"/>
      <c r="AK7" s="522"/>
      <c r="AL7" s="32" t="s">
        <v>54</v>
      </c>
      <c r="AM7" s="32" t="s">
        <v>417</v>
      </c>
      <c r="AN7" s="32" t="s">
        <v>418</v>
      </c>
      <c r="AO7" s="32" t="s">
        <v>61</v>
      </c>
      <c r="AP7" s="32" t="s">
        <v>62</v>
      </c>
      <c r="AQ7" s="32" t="s">
        <v>63</v>
      </c>
      <c r="AR7" s="32" t="s">
        <v>419</v>
      </c>
      <c r="AS7" s="32" t="s">
        <v>420</v>
      </c>
      <c r="AT7" s="522"/>
      <c r="AU7" s="522"/>
      <c r="AV7" s="522"/>
      <c r="AW7" s="522"/>
      <c r="AX7" s="522"/>
      <c r="AY7" s="522"/>
      <c r="AZ7" s="32" t="s">
        <v>441</v>
      </c>
      <c r="BA7" s="32" t="s">
        <v>442</v>
      </c>
      <c r="BB7" s="522"/>
      <c r="BC7" s="522"/>
      <c r="BD7" s="522"/>
    </row>
    <row r="8" spans="1:56" s="50" customFormat="1">
      <c r="B8" s="32"/>
      <c r="C8" s="32"/>
      <c r="D8" s="129"/>
      <c r="E8" s="32"/>
      <c r="F8" s="32"/>
      <c r="G8" s="32"/>
      <c r="H8" s="32"/>
      <c r="I8" s="32"/>
      <c r="J8" s="32"/>
      <c r="K8" s="32"/>
      <c r="L8" s="32"/>
      <c r="M8" s="32"/>
      <c r="N8" s="32"/>
      <c r="O8" s="165"/>
      <c r="P8" s="32"/>
      <c r="Q8" s="32"/>
      <c r="R8" s="32"/>
      <c r="S8" s="32"/>
      <c r="T8" s="32"/>
      <c r="U8" s="32"/>
      <c r="V8" s="32"/>
      <c r="W8" s="32"/>
      <c r="X8" s="162"/>
      <c r="Y8" s="16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162"/>
      <c r="AK8" s="162"/>
      <c r="AL8" s="32"/>
      <c r="AM8" s="32"/>
      <c r="AN8" s="32"/>
      <c r="AO8" s="32"/>
      <c r="AP8" s="32"/>
      <c r="AQ8" s="32"/>
      <c r="AR8" s="32"/>
      <c r="AS8" s="32"/>
      <c r="AT8" s="162"/>
      <c r="AU8" s="162"/>
      <c r="AV8" s="162"/>
      <c r="AW8" s="162"/>
      <c r="AX8" s="162"/>
      <c r="AY8" s="162"/>
      <c r="AZ8" s="32"/>
      <c r="BA8" s="32"/>
      <c r="BB8" s="162"/>
      <c r="BC8" s="162"/>
      <c r="BD8" s="162"/>
    </row>
    <row r="9" spans="1:56" ht="15.5">
      <c r="B9" s="141">
        <v>27</v>
      </c>
      <c r="C9" s="143">
        <v>46146</v>
      </c>
      <c r="D9" s="304">
        <v>46148</v>
      </c>
      <c r="E9" s="133">
        <v>1</v>
      </c>
      <c r="F9" s="155">
        <v>2</v>
      </c>
      <c r="G9" s="138">
        <v>0.10525</v>
      </c>
      <c r="H9" s="8">
        <v>0.27500000000000002</v>
      </c>
      <c r="I9" s="8">
        <v>0.23</v>
      </c>
      <c r="J9" s="139">
        <v>41.5</v>
      </c>
      <c r="K9" s="139">
        <v>30.295000000000002</v>
      </c>
      <c r="L9" s="139">
        <v>73</v>
      </c>
      <c r="M9" s="8">
        <v>0.23</v>
      </c>
      <c r="N9" s="140">
        <v>74.5</v>
      </c>
      <c r="O9" s="339">
        <v>46226</v>
      </c>
      <c r="P9" s="28"/>
      <c r="Q9" s="30"/>
      <c r="R9" s="30"/>
      <c r="S9" s="140">
        <v>43</v>
      </c>
      <c r="T9" s="140">
        <v>28.81</v>
      </c>
      <c r="U9" s="140">
        <v>67</v>
      </c>
      <c r="V9" s="30"/>
      <c r="W9" s="305" t="s">
        <v>490</v>
      </c>
      <c r="X9" s="309">
        <v>46153</v>
      </c>
      <c r="Y9" s="309">
        <v>46153</v>
      </c>
      <c r="Z9" s="312">
        <v>1</v>
      </c>
      <c r="AA9" s="155">
        <v>1</v>
      </c>
      <c r="AB9" s="28">
        <v>0.10525</v>
      </c>
      <c r="AC9" s="30">
        <v>0.27500000000000002</v>
      </c>
      <c r="AD9" s="30">
        <v>0.23</v>
      </c>
      <c r="AE9" s="385">
        <v>40.5</v>
      </c>
      <c r="AF9" s="385">
        <f>AE9*AG9/100</f>
        <v>27.7425</v>
      </c>
      <c r="AG9" s="385">
        <v>68.5</v>
      </c>
      <c r="AH9" s="30">
        <v>0.23</v>
      </c>
      <c r="AI9" s="140">
        <v>80</v>
      </c>
      <c r="AJ9" s="141" t="s">
        <v>458</v>
      </c>
      <c r="AK9" s="141"/>
      <c r="AL9" s="138">
        <f>AB9-G9</f>
        <v>0</v>
      </c>
      <c r="AM9" s="8">
        <f t="shared" ref="AM9:AS24" si="2">AC9-H9</f>
        <v>0</v>
      </c>
      <c r="AN9" s="8">
        <f t="shared" si="2"/>
        <v>0</v>
      </c>
      <c r="AO9" s="139">
        <f t="shared" si="2"/>
        <v>-1</v>
      </c>
      <c r="AP9" s="139">
        <f t="shared" si="2"/>
        <v>-2.552500000000002</v>
      </c>
      <c r="AQ9" s="139">
        <f t="shared" si="2"/>
        <v>-4.5</v>
      </c>
      <c r="AR9" s="8">
        <f t="shared" si="2"/>
        <v>0</v>
      </c>
      <c r="AS9" s="139">
        <f t="shared" si="2"/>
        <v>5.5</v>
      </c>
      <c r="AT9" s="200" t="s">
        <v>222</v>
      </c>
      <c r="AU9" s="200" t="s">
        <v>222</v>
      </c>
      <c r="AV9" s="200" t="s">
        <v>222</v>
      </c>
      <c r="AW9" s="200" t="s">
        <v>222</v>
      </c>
      <c r="AX9" s="200" t="s">
        <v>222</v>
      </c>
      <c r="AY9" s="386">
        <v>3</v>
      </c>
      <c r="AZ9" s="312">
        <f>Z9</f>
        <v>1</v>
      </c>
      <c r="BA9" s="155">
        <f>AA9</f>
        <v>1</v>
      </c>
      <c r="BB9" s="143">
        <v>46142</v>
      </c>
      <c r="BC9" s="23" t="s">
        <v>458</v>
      </c>
      <c r="BD9" s="23"/>
    </row>
    <row r="10" spans="1:56" ht="15.5">
      <c r="B10" s="141">
        <v>27</v>
      </c>
      <c r="C10" s="143">
        <v>46147</v>
      </c>
      <c r="D10" s="304">
        <v>46149</v>
      </c>
      <c r="E10" s="133">
        <v>1</v>
      </c>
      <c r="F10" s="155">
        <v>3</v>
      </c>
      <c r="G10" s="138">
        <v>0.10875</v>
      </c>
      <c r="H10" s="8">
        <v>0.27750000000000002</v>
      </c>
      <c r="I10" s="8">
        <v>0.32</v>
      </c>
      <c r="J10" s="139">
        <v>39.25</v>
      </c>
      <c r="K10" s="139">
        <v>28.240374999999993</v>
      </c>
      <c r="L10" s="139">
        <v>71.949999999999989</v>
      </c>
      <c r="M10" s="8">
        <v>0.23</v>
      </c>
      <c r="N10" s="140">
        <v>74.5</v>
      </c>
      <c r="O10" s="339">
        <v>46226</v>
      </c>
      <c r="P10" s="28"/>
      <c r="Q10" s="30"/>
      <c r="R10" s="30"/>
      <c r="S10" s="140"/>
      <c r="T10" s="140"/>
      <c r="U10" s="140"/>
      <c r="V10" s="30"/>
      <c r="W10" s="305" t="s">
        <v>491</v>
      </c>
      <c r="X10" s="309">
        <v>46153</v>
      </c>
      <c r="Y10" s="309">
        <v>46153</v>
      </c>
      <c r="Z10" s="312">
        <v>1</v>
      </c>
      <c r="AA10" s="155">
        <v>2</v>
      </c>
      <c r="AB10" s="28">
        <v>0.109</v>
      </c>
      <c r="AC10" s="30">
        <v>0.27750000000000002</v>
      </c>
      <c r="AD10" s="30">
        <v>0.32</v>
      </c>
      <c r="AE10" s="385">
        <v>39.25</v>
      </c>
      <c r="AF10" s="385">
        <f t="shared" ref="AF10:AF73" si="3">AE10*AG10/100</f>
        <v>27.475000000000001</v>
      </c>
      <c r="AG10" s="385">
        <v>70</v>
      </c>
      <c r="AH10" s="30">
        <v>0.23</v>
      </c>
      <c r="AI10" s="140">
        <v>80</v>
      </c>
      <c r="AJ10" s="141" t="s">
        <v>458</v>
      </c>
      <c r="AK10" s="141"/>
      <c r="AL10" s="138">
        <f t="shared" ref="AL10:AS54" si="4">AB10-G10</f>
        <v>2.5000000000000022E-4</v>
      </c>
      <c r="AM10" s="8">
        <f t="shared" si="2"/>
        <v>0</v>
      </c>
      <c r="AN10" s="8">
        <f t="shared" si="2"/>
        <v>0</v>
      </c>
      <c r="AO10" s="139">
        <f t="shared" si="2"/>
        <v>0</v>
      </c>
      <c r="AP10" s="139">
        <f t="shared" si="2"/>
        <v>-0.7653749999999917</v>
      </c>
      <c r="AQ10" s="139">
        <f t="shared" si="2"/>
        <v>-1.9499999999999886</v>
      </c>
      <c r="AR10" s="8">
        <f t="shared" si="2"/>
        <v>0</v>
      </c>
      <c r="AS10" s="139">
        <f t="shared" si="2"/>
        <v>5.5</v>
      </c>
      <c r="AT10" s="200" t="s">
        <v>222</v>
      </c>
      <c r="AU10" s="200" t="s">
        <v>222</v>
      </c>
      <c r="AV10" s="200" t="s">
        <v>222</v>
      </c>
      <c r="AW10" s="200" t="s">
        <v>222</v>
      </c>
      <c r="AX10" s="200" t="s">
        <v>222</v>
      </c>
      <c r="AY10" s="386">
        <v>3</v>
      </c>
      <c r="AZ10" s="312">
        <f t="shared" ref="AZ10:BA73" si="5">Z10</f>
        <v>1</v>
      </c>
      <c r="BA10" s="155">
        <f t="shared" si="5"/>
        <v>2</v>
      </c>
      <c r="BB10" s="143">
        <v>46142</v>
      </c>
      <c r="BC10" s="23" t="s">
        <v>458</v>
      </c>
      <c r="BD10" s="23"/>
    </row>
    <row r="11" spans="1:56" ht="15.5">
      <c r="B11" s="141">
        <v>27</v>
      </c>
      <c r="C11" s="143">
        <v>46148</v>
      </c>
      <c r="D11" s="304">
        <v>46150</v>
      </c>
      <c r="E11" s="133">
        <v>1</v>
      </c>
      <c r="F11" s="155">
        <v>4</v>
      </c>
      <c r="G11" s="138">
        <v>0.10875</v>
      </c>
      <c r="H11" s="8">
        <v>0.28000000000000003</v>
      </c>
      <c r="I11" s="8">
        <v>0.27</v>
      </c>
      <c r="J11" s="139">
        <v>37.25</v>
      </c>
      <c r="K11" s="139">
        <v>27.015562500000001</v>
      </c>
      <c r="L11" s="139">
        <v>72.525000000000006</v>
      </c>
      <c r="M11" s="8">
        <v>0.23</v>
      </c>
      <c r="N11" s="140">
        <v>74.5</v>
      </c>
      <c r="O11" s="339">
        <v>46226</v>
      </c>
      <c r="P11" s="28"/>
      <c r="Q11" s="30"/>
      <c r="R11" s="30"/>
      <c r="S11" s="140">
        <v>42</v>
      </c>
      <c r="T11" s="140">
        <v>29.82</v>
      </c>
      <c r="U11" s="140">
        <v>71</v>
      </c>
      <c r="V11" s="30"/>
      <c r="W11" s="305" t="s">
        <v>492</v>
      </c>
      <c r="X11" s="309">
        <v>46153</v>
      </c>
      <c r="Y11" s="309">
        <v>46153</v>
      </c>
      <c r="Z11" s="312">
        <v>1</v>
      </c>
      <c r="AA11" s="155">
        <v>3</v>
      </c>
      <c r="AB11" s="28">
        <v>0.10875</v>
      </c>
      <c r="AC11" s="30">
        <v>0.28000000000000003</v>
      </c>
      <c r="AD11" s="30">
        <v>0.27</v>
      </c>
      <c r="AE11" s="385">
        <v>39.25</v>
      </c>
      <c r="AF11" s="385">
        <f t="shared" si="3"/>
        <v>28.750624999999999</v>
      </c>
      <c r="AG11" s="385">
        <v>73.25</v>
      </c>
      <c r="AH11" s="30">
        <v>0.23</v>
      </c>
      <c r="AI11" s="140">
        <v>80</v>
      </c>
      <c r="AJ11" s="141" t="s">
        <v>458</v>
      </c>
      <c r="AK11" s="141"/>
      <c r="AL11" s="138">
        <f t="shared" si="4"/>
        <v>0</v>
      </c>
      <c r="AM11" s="8">
        <f t="shared" si="2"/>
        <v>0</v>
      </c>
      <c r="AN11" s="8">
        <f t="shared" si="2"/>
        <v>0</v>
      </c>
      <c r="AO11" s="139">
        <f t="shared" si="2"/>
        <v>2</v>
      </c>
      <c r="AP11" s="139">
        <f t="shared" si="2"/>
        <v>1.735062499999998</v>
      </c>
      <c r="AQ11" s="139">
        <f t="shared" si="2"/>
        <v>0.72499999999999432</v>
      </c>
      <c r="AR11" s="8">
        <f t="shared" si="2"/>
        <v>0</v>
      </c>
      <c r="AS11" s="139">
        <f t="shared" si="2"/>
        <v>5.5</v>
      </c>
      <c r="AT11" s="200" t="s">
        <v>222</v>
      </c>
      <c r="AU11" s="200" t="s">
        <v>222</v>
      </c>
      <c r="AV11" s="200" t="s">
        <v>222</v>
      </c>
      <c r="AW11" s="200" t="s">
        <v>222</v>
      </c>
      <c r="AX11" s="200" t="s">
        <v>222</v>
      </c>
      <c r="AY11" s="386">
        <v>3</v>
      </c>
      <c r="AZ11" s="312">
        <f t="shared" si="5"/>
        <v>1</v>
      </c>
      <c r="BA11" s="155">
        <f t="shared" si="5"/>
        <v>3</v>
      </c>
      <c r="BB11" s="143">
        <v>46142</v>
      </c>
      <c r="BC11" s="23" t="s">
        <v>458</v>
      </c>
      <c r="BD11" s="23"/>
    </row>
    <row r="12" spans="1:56" ht="15.5">
      <c r="B12" s="5">
        <v>28</v>
      </c>
      <c r="C12" s="39">
        <v>46150</v>
      </c>
      <c r="D12" s="304">
        <v>46152</v>
      </c>
      <c r="E12" s="133">
        <v>1</v>
      </c>
      <c r="F12" s="155">
        <v>5</v>
      </c>
      <c r="G12" s="138">
        <v>0.1065</v>
      </c>
      <c r="H12" s="8">
        <v>0.3075</v>
      </c>
      <c r="I12" s="8">
        <v>0.4</v>
      </c>
      <c r="J12" s="139">
        <v>38.75</v>
      </c>
      <c r="K12" s="139">
        <v>27.241250000000001</v>
      </c>
      <c r="L12" s="139">
        <v>70.3</v>
      </c>
      <c r="M12" s="8">
        <v>0.23</v>
      </c>
      <c r="N12" s="140">
        <v>71.5</v>
      </c>
      <c r="O12" s="339">
        <v>46226</v>
      </c>
      <c r="P12" s="28"/>
      <c r="Q12" s="30"/>
      <c r="R12" s="30"/>
      <c r="S12" s="305">
        <v>38</v>
      </c>
      <c r="T12" s="140">
        <v>25.992000000000004</v>
      </c>
      <c r="U12" s="387">
        <v>68.400000000000006</v>
      </c>
      <c r="V12" s="30"/>
      <c r="W12" s="305" t="s">
        <v>494</v>
      </c>
      <c r="X12" s="309">
        <v>46153</v>
      </c>
      <c r="Y12" s="309">
        <v>46153</v>
      </c>
      <c r="Z12" s="312">
        <v>1</v>
      </c>
      <c r="AA12" s="155">
        <v>4</v>
      </c>
      <c r="AB12" s="28">
        <v>0.1065</v>
      </c>
      <c r="AC12" s="30">
        <v>0.3075</v>
      </c>
      <c r="AD12" s="30">
        <v>0.4</v>
      </c>
      <c r="AE12" s="385">
        <v>38.25</v>
      </c>
      <c r="AF12" s="385">
        <f t="shared" si="3"/>
        <v>26.966249999999999</v>
      </c>
      <c r="AG12" s="385">
        <v>70.5</v>
      </c>
      <c r="AH12" s="30">
        <v>0.23</v>
      </c>
      <c r="AI12" s="140">
        <v>80</v>
      </c>
      <c r="AJ12" s="141" t="s">
        <v>458</v>
      </c>
      <c r="AK12" s="141"/>
      <c r="AL12" s="138">
        <f t="shared" si="4"/>
        <v>0</v>
      </c>
      <c r="AM12" s="8">
        <f t="shared" si="2"/>
        <v>0</v>
      </c>
      <c r="AN12" s="8">
        <f t="shared" si="2"/>
        <v>0</v>
      </c>
      <c r="AO12" s="139">
        <f t="shared" si="2"/>
        <v>-0.5</v>
      </c>
      <c r="AP12" s="139">
        <f t="shared" si="2"/>
        <v>-0.27500000000000213</v>
      </c>
      <c r="AQ12" s="139">
        <f t="shared" si="2"/>
        <v>0.20000000000000284</v>
      </c>
      <c r="AR12" s="8">
        <f t="shared" si="2"/>
        <v>0</v>
      </c>
      <c r="AS12" s="139">
        <f t="shared" si="2"/>
        <v>8.5</v>
      </c>
      <c r="AT12" s="200" t="s">
        <v>222</v>
      </c>
      <c r="AU12" s="200" t="s">
        <v>222</v>
      </c>
      <c r="AV12" s="200" t="s">
        <v>222</v>
      </c>
      <c r="AW12" s="200" t="s">
        <v>222</v>
      </c>
      <c r="AX12" s="200" t="s">
        <v>222</v>
      </c>
      <c r="AY12" s="386">
        <v>3</v>
      </c>
      <c r="AZ12" s="312">
        <f t="shared" si="5"/>
        <v>1</v>
      </c>
      <c r="BA12" s="155">
        <f t="shared" si="5"/>
        <v>4</v>
      </c>
      <c r="BB12" s="143">
        <v>46151</v>
      </c>
      <c r="BC12" s="23" t="s">
        <v>458</v>
      </c>
      <c r="BD12" s="23"/>
    </row>
    <row r="13" spans="1:56" ht="15.5">
      <c r="B13" s="5">
        <v>28</v>
      </c>
      <c r="C13" s="39">
        <v>46153</v>
      </c>
      <c r="D13" s="304">
        <v>46155</v>
      </c>
      <c r="E13" s="133">
        <v>2</v>
      </c>
      <c r="F13" s="155">
        <v>9</v>
      </c>
      <c r="G13" s="138">
        <v>0.11249999999999999</v>
      </c>
      <c r="H13" s="8">
        <v>0.3125</v>
      </c>
      <c r="I13" s="8">
        <v>0.31</v>
      </c>
      <c r="J13" s="139">
        <v>38.75</v>
      </c>
      <c r="K13" s="139">
        <v>28.239062499999999</v>
      </c>
      <c r="L13" s="139">
        <v>72.875</v>
      </c>
      <c r="M13" s="8">
        <v>0.21</v>
      </c>
      <c r="N13" s="140">
        <v>71</v>
      </c>
      <c r="O13" s="339">
        <v>46226</v>
      </c>
      <c r="P13" s="28"/>
      <c r="Q13" s="30"/>
      <c r="R13" s="30"/>
      <c r="S13" s="140"/>
      <c r="T13" s="140"/>
      <c r="U13" s="140"/>
      <c r="V13" s="30"/>
      <c r="W13" s="140" t="s">
        <v>506</v>
      </c>
      <c r="X13" s="309">
        <v>46153</v>
      </c>
      <c r="Y13" s="309">
        <v>46153</v>
      </c>
      <c r="Z13" s="312">
        <v>1</v>
      </c>
      <c r="AA13" s="155">
        <v>5</v>
      </c>
      <c r="AB13" s="28">
        <v>0.10150000000000001</v>
      </c>
      <c r="AC13" s="30">
        <v>0.3125</v>
      </c>
      <c r="AD13" s="30">
        <v>0.31</v>
      </c>
      <c r="AE13" s="385">
        <v>37.75</v>
      </c>
      <c r="AF13" s="385">
        <f t="shared" si="3"/>
        <v>27.463125000000002</v>
      </c>
      <c r="AG13" s="385">
        <v>72.75</v>
      </c>
      <c r="AH13" s="30">
        <v>0.23</v>
      </c>
      <c r="AI13" s="140">
        <v>79</v>
      </c>
      <c r="AJ13" s="141" t="s">
        <v>458</v>
      </c>
      <c r="AK13" s="141"/>
      <c r="AL13" s="138">
        <f t="shared" si="4"/>
        <v>-1.0999999999999982E-2</v>
      </c>
      <c r="AM13" s="8">
        <f t="shared" si="2"/>
        <v>0</v>
      </c>
      <c r="AN13" s="8">
        <f t="shared" si="2"/>
        <v>0</v>
      </c>
      <c r="AO13" s="139">
        <f t="shared" si="2"/>
        <v>-1</v>
      </c>
      <c r="AP13" s="139">
        <f t="shared" si="2"/>
        <v>-0.77593749999999773</v>
      </c>
      <c r="AQ13" s="139">
        <f t="shared" si="2"/>
        <v>-0.125</v>
      </c>
      <c r="AR13" s="8">
        <f t="shared" si="2"/>
        <v>2.0000000000000018E-2</v>
      </c>
      <c r="AS13" s="139">
        <f t="shared" si="2"/>
        <v>8</v>
      </c>
      <c r="AT13" s="200" t="s">
        <v>222</v>
      </c>
      <c r="AU13" s="200" t="s">
        <v>222</v>
      </c>
      <c r="AV13" s="200" t="s">
        <v>222</v>
      </c>
      <c r="AW13" s="200" t="s">
        <v>222</v>
      </c>
      <c r="AX13" s="200" t="s">
        <v>222</v>
      </c>
      <c r="AY13" s="386">
        <v>3</v>
      </c>
      <c r="AZ13" s="312">
        <f t="shared" si="5"/>
        <v>1</v>
      </c>
      <c r="BA13" s="155">
        <f t="shared" si="5"/>
        <v>5</v>
      </c>
      <c r="BB13" s="143">
        <v>46151</v>
      </c>
      <c r="BC13" s="23" t="s">
        <v>458</v>
      </c>
      <c r="BD13" s="23"/>
    </row>
    <row r="14" spans="1:56" ht="15.5">
      <c r="B14" s="5">
        <v>28</v>
      </c>
      <c r="C14" s="39">
        <v>46153</v>
      </c>
      <c r="D14" s="304">
        <v>46155</v>
      </c>
      <c r="E14" s="133">
        <v>2</v>
      </c>
      <c r="F14" s="155">
        <v>12</v>
      </c>
      <c r="G14" s="138">
        <v>0.11399999999999999</v>
      </c>
      <c r="H14" s="8">
        <v>0.3175</v>
      </c>
      <c r="I14" s="8">
        <v>0.37</v>
      </c>
      <c r="J14" s="139">
        <v>41</v>
      </c>
      <c r="K14" s="139">
        <v>28.997249999999998</v>
      </c>
      <c r="L14" s="139">
        <v>70.724999999999994</v>
      </c>
      <c r="M14" s="8">
        <v>0.21</v>
      </c>
      <c r="N14" s="140">
        <v>71</v>
      </c>
      <c r="O14" s="339">
        <v>46226</v>
      </c>
      <c r="P14" s="28"/>
      <c r="Q14" s="30"/>
      <c r="R14" s="30"/>
      <c r="S14" s="140"/>
      <c r="T14" s="140"/>
      <c r="U14" s="140"/>
      <c r="V14" s="30"/>
      <c r="W14" s="140" t="s">
        <v>509</v>
      </c>
      <c r="X14" s="309">
        <v>46153</v>
      </c>
      <c r="Y14" s="309">
        <v>46153</v>
      </c>
      <c r="Z14" s="312">
        <v>1</v>
      </c>
      <c r="AA14" s="155">
        <v>6</v>
      </c>
      <c r="AB14" s="28">
        <v>0.10150000000000001</v>
      </c>
      <c r="AC14" s="30">
        <v>0.3175</v>
      </c>
      <c r="AD14" s="30">
        <v>0.37</v>
      </c>
      <c r="AE14" s="385">
        <v>38.5</v>
      </c>
      <c r="AF14" s="385">
        <f t="shared" si="3"/>
        <v>28.297499999999999</v>
      </c>
      <c r="AG14" s="385">
        <v>73.5</v>
      </c>
      <c r="AH14" s="30">
        <v>0.23</v>
      </c>
      <c r="AI14" s="140">
        <v>79</v>
      </c>
      <c r="AJ14" s="141" t="s">
        <v>458</v>
      </c>
      <c r="AK14" s="141"/>
      <c r="AL14" s="138">
        <f t="shared" si="4"/>
        <v>-1.2499999999999983E-2</v>
      </c>
      <c r="AM14" s="8">
        <f t="shared" si="2"/>
        <v>0</v>
      </c>
      <c r="AN14" s="8">
        <f t="shared" si="2"/>
        <v>0</v>
      </c>
      <c r="AO14" s="139">
        <f t="shared" si="2"/>
        <v>-2.5</v>
      </c>
      <c r="AP14" s="139">
        <f t="shared" si="2"/>
        <v>-0.6997499999999981</v>
      </c>
      <c r="AQ14" s="139">
        <f t="shared" si="2"/>
        <v>2.7750000000000057</v>
      </c>
      <c r="AR14" s="8">
        <f t="shared" si="2"/>
        <v>2.0000000000000018E-2</v>
      </c>
      <c r="AS14" s="139">
        <f t="shared" si="2"/>
        <v>8</v>
      </c>
      <c r="AT14" s="200" t="s">
        <v>222</v>
      </c>
      <c r="AU14" s="200" t="s">
        <v>222</v>
      </c>
      <c r="AV14" s="200" t="s">
        <v>222</v>
      </c>
      <c r="AW14" s="200" t="s">
        <v>222</v>
      </c>
      <c r="AX14" s="200" t="s">
        <v>222</v>
      </c>
      <c r="AY14" s="386">
        <v>3</v>
      </c>
      <c r="AZ14" s="312">
        <f t="shared" si="5"/>
        <v>1</v>
      </c>
      <c r="BA14" s="155">
        <f t="shared" si="5"/>
        <v>6</v>
      </c>
      <c r="BB14" s="143">
        <v>46154</v>
      </c>
      <c r="BC14" s="23" t="s">
        <v>458</v>
      </c>
      <c r="BD14" s="23"/>
    </row>
    <row r="15" spans="1:56" ht="15.5">
      <c r="B15" s="5">
        <v>28</v>
      </c>
      <c r="C15" s="39">
        <v>46153</v>
      </c>
      <c r="D15" s="304">
        <v>46155</v>
      </c>
      <c r="E15" s="133">
        <v>2</v>
      </c>
      <c r="F15" s="155">
        <v>13</v>
      </c>
      <c r="G15" s="138">
        <v>0.11549999999999999</v>
      </c>
      <c r="H15" s="8">
        <v>0.31</v>
      </c>
      <c r="I15" s="8">
        <v>0.39</v>
      </c>
      <c r="J15" s="139">
        <v>40.25</v>
      </c>
      <c r="K15" s="139">
        <v>29.000124999999997</v>
      </c>
      <c r="L15" s="139">
        <v>72.05</v>
      </c>
      <c r="M15" s="8">
        <v>0.21</v>
      </c>
      <c r="N15" s="140">
        <v>73</v>
      </c>
      <c r="O15" s="339">
        <v>46226</v>
      </c>
      <c r="P15" s="28"/>
      <c r="Q15" s="30"/>
      <c r="R15" s="30"/>
      <c r="S15" s="140"/>
      <c r="T15" s="140"/>
      <c r="U15" s="140"/>
      <c r="V15" s="30"/>
      <c r="W15" s="140" t="s">
        <v>510</v>
      </c>
      <c r="X15" s="309">
        <v>46153</v>
      </c>
      <c r="Y15" s="309">
        <v>46153</v>
      </c>
      <c r="Z15" s="312">
        <v>1</v>
      </c>
      <c r="AA15" s="155">
        <v>7</v>
      </c>
      <c r="AB15" s="28">
        <v>9.7000000000000003E-2</v>
      </c>
      <c r="AC15" s="30">
        <v>0.31</v>
      </c>
      <c r="AD15" s="30">
        <v>0.39</v>
      </c>
      <c r="AE15" s="385">
        <v>41.5</v>
      </c>
      <c r="AF15" s="385">
        <f t="shared" si="3"/>
        <v>29.465</v>
      </c>
      <c r="AG15" s="385">
        <v>71</v>
      </c>
      <c r="AH15" s="30">
        <v>0.23</v>
      </c>
      <c r="AI15" s="140">
        <v>79</v>
      </c>
      <c r="AJ15" s="141" t="s">
        <v>458</v>
      </c>
      <c r="AK15" s="141"/>
      <c r="AL15" s="138">
        <f t="shared" si="4"/>
        <v>-1.8499999999999989E-2</v>
      </c>
      <c r="AM15" s="8">
        <f t="shared" si="2"/>
        <v>0</v>
      </c>
      <c r="AN15" s="8">
        <f t="shared" si="2"/>
        <v>0</v>
      </c>
      <c r="AO15" s="139">
        <f t="shared" si="2"/>
        <v>1.25</v>
      </c>
      <c r="AP15" s="139">
        <f t="shared" si="2"/>
        <v>0.46487500000000281</v>
      </c>
      <c r="AQ15" s="139">
        <f t="shared" si="2"/>
        <v>-1.0499999999999972</v>
      </c>
      <c r="AR15" s="8">
        <f t="shared" si="2"/>
        <v>2.0000000000000018E-2</v>
      </c>
      <c r="AS15" s="139">
        <f t="shared" si="2"/>
        <v>6</v>
      </c>
      <c r="AT15" s="200" t="s">
        <v>222</v>
      </c>
      <c r="AU15" s="200" t="s">
        <v>222</v>
      </c>
      <c r="AV15" s="200" t="s">
        <v>222</v>
      </c>
      <c r="AW15" s="200" t="s">
        <v>222</v>
      </c>
      <c r="AX15" s="200" t="s">
        <v>222</v>
      </c>
      <c r="AY15" s="386">
        <v>3</v>
      </c>
      <c r="AZ15" s="312">
        <f t="shared" si="5"/>
        <v>1</v>
      </c>
      <c r="BA15" s="155">
        <f t="shared" si="5"/>
        <v>7</v>
      </c>
      <c r="BB15" s="143">
        <v>46154</v>
      </c>
      <c r="BC15" s="23" t="s">
        <v>458</v>
      </c>
      <c r="BD15" s="23"/>
    </row>
    <row r="16" spans="1:56" ht="15.5">
      <c r="B16" s="5">
        <v>28</v>
      </c>
      <c r="C16" s="39">
        <v>46153</v>
      </c>
      <c r="D16" s="304">
        <v>46155</v>
      </c>
      <c r="E16" s="133">
        <v>2</v>
      </c>
      <c r="F16" s="155">
        <v>14</v>
      </c>
      <c r="G16" s="138">
        <v>0.113</v>
      </c>
      <c r="H16" s="8">
        <v>0.3175</v>
      </c>
      <c r="I16" s="8">
        <v>0.32</v>
      </c>
      <c r="J16" s="139">
        <v>40.75</v>
      </c>
      <c r="K16" s="139">
        <v>29.747499999999999</v>
      </c>
      <c r="L16" s="139">
        <v>73</v>
      </c>
      <c r="M16" s="8">
        <v>0.21</v>
      </c>
      <c r="N16" s="140">
        <v>73</v>
      </c>
      <c r="O16" s="339">
        <v>46226</v>
      </c>
      <c r="P16" s="28"/>
      <c r="Q16" s="30"/>
      <c r="R16" s="30"/>
      <c r="S16" s="305">
        <v>40</v>
      </c>
      <c r="T16" s="140">
        <v>28</v>
      </c>
      <c r="U16" s="140">
        <v>70</v>
      </c>
      <c r="V16" s="30"/>
      <c r="W16" s="140" t="s">
        <v>511</v>
      </c>
      <c r="X16" s="309">
        <v>46153</v>
      </c>
      <c r="Y16" s="309">
        <v>46153</v>
      </c>
      <c r="Z16" s="312">
        <v>1</v>
      </c>
      <c r="AA16" s="155">
        <v>8</v>
      </c>
      <c r="AB16" s="28">
        <v>0.10025000000000001</v>
      </c>
      <c r="AC16" s="30">
        <v>0.3175</v>
      </c>
      <c r="AD16" s="30">
        <v>0.32</v>
      </c>
      <c r="AE16" s="385">
        <v>38.75</v>
      </c>
      <c r="AF16" s="385">
        <f t="shared" si="3"/>
        <v>27.996874999999999</v>
      </c>
      <c r="AG16" s="385">
        <v>72.25</v>
      </c>
      <c r="AH16" s="30">
        <v>0.23</v>
      </c>
      <c r="AI16" s="140">
        <v>79</v>
      </c>
      <c r="AJ16" s="141" t="s">
        <v>458</v>
      </c>
      <c r="AK16" s="141"/>
      <c r="AL16" s="138">
        <f t="shared" si="4"/>
        <v>-1.2749999999999997E-2</v>
      </c>
      <c r="AM16" s="8">
        <f t="shared" si="2"/>
        <v>0</v>
      </c>
      <c r="AN16" s="8">
        <f t="shared" si="2"/>
        <v>0</v>
      </c>
      <c r="AO16" s="139">
        <f t="shared" si="2"/>
        <v>-2</v>
      </c>
      <c r="AP16" s="139">
        <f t="shared" si="2"/>
        <v>-1.7506249999999994</v>
      </c>
      <c r="AQ16" s="139">
        <f t="shared" si="2"/>
        <v>-0.75</v>
      </c>
      <c r="AR16" s="8">
        <f t="shared" si="2"/>
        <v>2.0000000000000018E-2</v>
      </c>
      <c r="AS16" s="139">
        <f t="shared" si="2"/>
        <v>6</v>
      </c>
      <c r="AT16" s="200" t="s">
        <v>222</v>
      </c>
      <c r="AU16" s="200" t="s">
        <v>222</v>
      </c>
      <c r="AV16" s="200" t="s">
        <v>222</v>
      </c>
      <c r="AW16" s="200" t="s">
        <v>222</v>
      </c>
      <c r="AX16" s="200" t="s">
        <v>222</v>
      </c>
      <c r="AY16" s="386">
        <v>3</v>
      </c>
      <c r="AZ16" s="312">
        <f t="shared" si="5"/>
        <v>1</v>
      </c>
      <c r="BA16" s="155">
        <f t="shared" si="5"/>
        <v>8</v>
      </c>
      <c r="BB16" s="143">
        <v>46154</v>
      </c>
      <c r="BC16" s="23" t="s">
        <v>458</v>
      </c>
      <c r="BD16" s="23"/>
    </row>
    <row r="17" spans="2:56" ht="15.5">
      <c r="B17" s="5">
        <v>28</v>
      </c>
      <c r="C17" s="39">
        <v>46153</v>
      </c>
      <c r="D17" s="304">
        <v>46155</v>
      </c>
      <c r="E17" s="133">
        <v>2</v>
      </c>
      <c r="F17" s="155">
        <v>15</v>
      </c>
      <c r="G17" s="138">
        <v>0.115</v>
      </c>
      <c r="H17" s="8">
        <v>0.33250000000000002</v>
      </c>
      <c r="I17" s="8">
        <v>0.28000000000000003</v>
      </c>
      <c r="J17" s="139">
        <v>39.5</v>
      </c>
      <c r="K17" s="139">
        <v>28.943625000000001</v>
      </c>
      <c r="L17" s="139">
        <v>73.275000000000006</v>
      </c>
      <c r="M17" s="8">
        <v>0.21</v>
      </c>
      <c r="N17" s="140">
        <v>73</v>
      </c>
      <c r="O17" s="339">
        <v>46226</v>
      </c>
      <c r="P17" s="28"/>
      <c r="Q17" s="30"/>
      <c r="R17" s="30"/>
      <c r="S17" s="140"/>
      <c r="T17" s="140"/>
      <c r="U17" s="140"/>
      <c r="V17" s="30"/>
      <c r="W17" s="140" t="s">
        <v>512</v>
      </c>
      <c r="X17" s="309">
        <v>46154</v>
      </c>
      <c r="Y17" s="309">
        <v>46154</v>
      </c>
      <c r="Z17" s="312">
        <v>2</v>
      </c>
      <c r="AA17" s="155">
        <v>9</v>
      </c>
      <c r="AB17" s="28">
        <v>0.10175000000000001</v>
      </c>
      <c r="AC17" s="30">
        <v>0.33250000000000002</v>
      </c>
      <c r="AD17" s="30">
        <v>0.28000000000000003</v>
      </c>
      <c r="AE17" s="385">
        <v>39.75</v>
      </c>
      <c r="AF17" s="385">
        <f t="shared" si="3"/>
        <v>29.017499999999998</v>
      </c>
      <c r="AG17" s="385">
        <v>73</v>
      </c>
      <c r="AH17" s="30">
        <v>0.21</v>
      </c>
      <c r="AI17" s="140">
        <v>81</v>
      </c>
      <c r="AJ17" s="141" t="s">
        <v>458</v>
      </c>
      <c r="AK17" s="141"/>
      <c r="AL17" s="138">
        <f t="shared" si="4"/>
        <v>-1.3249999999999998E-2</v>
      </c>
      <c r="AM17" s="8">
        <f t="shared" si="2"/>
        <v>0</v>
      </c>
      <c r="AN17" s="8">
        <f t="shared" si="2"/>
        <v>0</v>
      </c>
      <c r="AO17" s="139">
        <f t="shared" si="2"/>
        <v>0.25</v>
      </c>
      <c r="AP17" s="139">
        <f t="shared" si="2"/>
        <v>7.387499999999747E-2</v>
      </c>
      <c r="AQ17" s="139">
        <f t="shared" si="2"/>
        <v>-0.27500000000000568</v>
      </c>
      <c r="AR17" s="8">
        <f t="shared" si="2"/>
        <v>0</v>
      </c>
      <c r="AS17" s="139">
        <f t="shared" si="2"/>
        <v>8</v>
      </c>
      <c r="AT17" s="200" t="s">
        <v>222</v>
      </c>
      <c r="AU17" s="200" t="s">
        <v>222</v>
      </c>
      <c r="AV17" s="200" t="s">
        <v>222</v>
      </c>
      <c r="AW17" s="200" t="s">
        <v>222</v>
      </c>
      <c r="AX17" s="200" t="s">
        <v>222</v>
      </c>
      <c r="AY17" s="386">
        <v>3</v>
      </c>
      <c r="AZ17" s="312">
        <f t="shared" si="5"/>
        <v>2</v>
      </c>
      <c r="BA17" s="155">
        <f t="shared" si="5"/>
        <v>9</v>
      </c>
      <c r="BB17" s="143">
        <v>46154</v>
      </c>
      <c r="BC17" s="23" t="s">
        <v>458</v>
      </c>
      <c r="BD17" s="23"/>
    </row>
    <row r="18" spans="2:56" ht="15.5">
      <c r="B18" s="5">
        <v>28</v>
      </c>
      <c r="C18" s="39">
        <v>46154</v>
      </c>
      <c r="D18" s="304">
        <v>46156</v>
      </c>
      <c r="E18" s="133">
        <v>2</v>
      </c>
      <c r="F18" s="155">
        <v>16</v>
      </c>
      <c r="G18" s="138">
        <v>0.11175</v>
      </c>
      <c r="H18" s="8">
        <v>0.30499999999999999</v>
      </c>
      <c r="I18" s="8">
        <v>0.34</v>
      </c>
      <c r="J18" s="139">
        <v>38</v>
      </c>
      <c r="K18" s="139">
        <v>31.0365</v>
      </c>
      <c r="L18" s="139">
        <v>81.674999999999997</v>
      </c>
      <c r="M18" s="8">
        <v>0.21</v>
      </c>
      <c r="N18" s="140">
        <v>73</v>
      </c>
      <c r="O18" s="339">
        <v>46226</v>
      </c>
      <c r="P18" s="28"/>
      <c r="Q18" s="30"/>
      <c r="R18" s="30"/>
      <c r="S18" s="140"/>
      <c r="T18" s="140"/>
      <c r="U18" s="140"/>
      <c r="V18" s="30"/>
      <c r="W18" s="140" t="s">
        <v>513</v>
      </c>
      <c r="X18" s="309">
        <v>46154</v>
      </c>
      <c r="Y18" s="309">
        <v>46154</v>
      </c>
      <c r="Z18" s="312">
        <v>2</v>
      </c>
      <c r="AA18" s="155">
        <v>10</v>
      </c>
      <c r="AB18" s="28">
        <v>9.9000000000000005E-2</v>
      </c>
      <c r="AC18" s="30">
        <v>0.30499999999999999</v>
      </c>
      <c r="AD18" s="30">
        <v>0.34</v>
      </c>
      <c r="AE18" s="385">
        <v>40.75</v>
      </c>
      <c r="AF18" s="385">
        <f t="shared" si="3"/>
        <v>28.015625</v>
      </c>
      <c r="AG18" s="385">
        <v>68.75</v>
      </c>
      <c r="AH18" s="30">
        <v>0.21</v>
      </c>
      <c r="AI18" s="140">
        <v>81</v>
      </c>
      <c r="AJ18" s="141" t="s">
        <v>458</v>
      </c>
      <c r="AK18" s="141"/>
      <c r="AL18" s="138">
        <f t="shared" si="4"/>
        <v>-1.2749999999999997E-2</v>
      </c>
      <c r="AM18" s="8">
        <f t="shared" si="2"/>
        <v>0</v>
      </c>
      <c r="AN18" s="8">
        <f t="shared" si="2"/>
        <v>0</v>
      </c>
      <c r="AO18" s="139">
        <f t="shared" si="2"/>
        <v>2.75</v>
      </c>
      <c r="AP18" s="139">
        <f t="shared" si="2"/>
        <v>-3.0208750000000002</v>
      </c>
      <c r="AQ18" s="139">
        <f t="shared" si="2"/>
        <v>-12.924999999999997</v>
      </c>
      <c r="AR18" s="8">
        <f t="shared" si="2"/>
        <v>0</v>
      </c>
      <c r="AS18" s="139">
        <f t="shared" si="2"/>
        <v>8</v>
      </c>
      <c r="AT18" s="200" t="s">
        <v>222</v>
      </c>
      <c r="AU18" s="200" t="s">
        <v>222</v>
      </c>
      <c r="AV18" s="200" t="s">
        <v>222</v>
      </c>
      <c r="AW18" s="200" t="s">
        <v>222</v>
      </c>
      <c r="AX18" s="200" t="s">
        <v>222</v>
      </c>
      <c r="AY18" s="386">
        <v>3</v>
      </c>
      <c r="AZ18" s="312">
        <f t="shared" si="5"/>
        <v>2</v>
      </c>
      <c r="BA18" s="155">
        <f t="shared" si="5"/>
        <v>10</v>
      </c>
      <c r="BB18" s="143">
        <v>46154</v>
      </c>
      <c r="BC18" s="23" t="s">
        <v>458</v>
      </c>
      <c r="BD18" s="23"/>
    </row>
    <row r="19" spans="2:56" ht="15.5">
      <c r="B19" s="5">
        <v>28</v>
      </c>
      <c r="C19" s="39">
        <v>46154</v>
      </c>
      <c r="D19" s="304">
        <v>46156</v>
      </c>
      <c r="E19" s="133">
        <v>3</v>
      </c>
      <c r="F19" s="155">
        <v>17</v>
      </c>
      <c r="G19" s="138">
        <v>0.11125</v>
      </c>
      <c r="H19" s="8">
        <v>0.3</v>
      </c>
      <c r="I19" s="8">
        <v>0.28999999999999998</v>
      </c>
      <c r="J19" s="139">
        <v>38.5</v>
      </c>
      <c r="K19" s="139">
        <v>27.989500000000003</v>
      </c>
      <c r="L19" s="139">
        <v>72.7</v>
      </c>
      <c r="M19" s="8">
        <v>0.22</v>
      </c>
      <c r="N19" s="140">
        <v>73</v>
      </c>
      <c r="O19" s="339">
        <v>46226</v>
      </c>
      <c r="P19" s="28"/>
      <c r="Q19" s="30"/>
      <c r="R19" s="30"/>
      <c r="S19" s="140"/>
      <c r="T19" s="140"/>
      <c r="U19" s="140"/>
      <c r="V19" s="30"/>
      <c r="W19" s="140" t="s">
        <v>514</v>
      </c>
      <c r="X19" s="309">
        <v>46154</v>
      </c>
      <c r="Y19" s="309">
        <v>46154</v>
      </c>
      <c r="Z19" s="312">
        <v>2</v>
      </c>
      <c r="AA19" s="155">
        <v>11</v>
      </c>
      <c r="AB19" s="28">
        <v>0.11125</v>
      </c>
      <c r="AC19" s="30">
        <v>0.3</v>
      </c>
      <c r="AD19" s="30">
        <v>0.34</v>
      </c>
      <c r="AE19" s="385">
        <v>38.75</v>
      </c>
      <c r="AF19" s="385">
        <f t="shared" si="3"/>
        <v>28.481249999999999</v>
      </c>
      <c r="AG19" s="385">
        <v>73.5</v>
      </c>
      <c r="AH19" s="30">
        <v>0.21</v>
      </c>
      <c r="AI19" s="140">
        <v>81</v>
      </c>
      <c r="AJ19" s="141" t="s">
        <v>458</v>
      </c>
      <c r="AK19" s="141"/>
      <c r="AL19" s="138">
        <f t="shared" si="4"/>
        <v>0</v>
      </c>
      <c r="AM19" s="8">
        <f t="shared" si="2"/>
        <v>0</v>
      </c>
      <c r="AN19" s="8">
        <f t="shared" si="2"/>
        <v>5.0000000000000044E-2</v>
      </c>
      <c r="AO19" s="139">
        <f t="shared" si="2"/>
        <v>0.25</v>
      </c>
      <c r="AP19" s="139">
        <f t="shared" si="2"/>
        <v>0.49174999999999613</v>
      </c>
      <c r="AQ19" s="139">
        <f t="shared" si="2"/>
        <v>0.79999999999999716</v>
      </c>
      <c r="AR19" s="8">
        <f t="shared" si="2"/>
        <v>-1.0000000000000009E-2</v>
      </c>
      <c r="AS19" s="139">
        <f t="shared" si="2"/>
        <v>8</v>
      </c>
      <c r="AT19" s="200" t="s">
        <v>222</v>
      </c>
      <c r="AU19" s="200" t="s">
        <v>222</v>
      </c>
      <c r="AV19" s="200" t="s">
        <v>222</v>
      </c>
      <c r="AW19" s="200" t="s">
        <v>222</v>
      </c>
      <c r="AX19" s="200" t="s">
        <v>222</v>
      </c>
      <c r="AY19" s="386">
        <v>3</v>
      </c>
      <c r="AZ19" s="312">
        <f t="shared" si="5"/>
        <v>2</v>
      </c>
      <c r="BA19" s="155">
        <f t="shared" si="5"/>
        <v>11</v>
      </c>
      <c r="BB19" s="143">
        <v>46157</v>
      </c>
      <c r="BC19" s="23" t="s">
        <v>458</v>
      </c>
      <c r="BD19" s="23"/>
    </row>
    <row r="20" spans="2:56" ht="15.5">
      <c r="B20" s="5">
        <v>28</v>
      </c>
      <c r="C20" s="39">
        <v>46154</v>
      </c>
      <c r="D20" s="304">
        <v>46156</v>
      </c>
      <c r="E20" s="133">
        <v>3</v>
      </c>
      <c r="F20" s="155">
        <v>18</v>
      </c>
      <c r="G20" s="138">
        <v>0.113</v>
      </c>
      <c r="H20" s="8">
        <v>0.28750000000000003</v>
      </c>
      <c r="I20" s="8">
        <v>0.26</v>
      </c>
      <c r="J20" s="139">
        <v>37.75</v>
      </c>
      <c r="K20" s="139">
        <v>27.472562500000002</v>
      </c>
      <c r="L20" s="139">
        <v>72.775000000000006</v>
      </c>
      <c r="M20" s="8">
        <v>0.22</v>
      </c>
      <c r="N20" s="140">
        <v>73</v>
      </c>
      <c r="O20" s="339">
        <v>46226</v>
      </c>
      <c r="P20" s="28"/>
      <c r="Q20" s="30"/>
      <c r="R20" s="30"/>
      <c r="S20" s="305">
        <v>41</v>
      </c>
      <c r="T20" s="140">
        <v>27.88</v>
      </c>
      <c r="U20" s="140">
        <v>68</v>
      </c>
      <c r="V20" s="30"/>
      <c r="W20" s="140" t="s">
        <v>515</v>
      </c>
      <c r="X20" s="309">
        <v>46154</v>
      </c>
      <c r="Y20" s="309">
        <v>46154</v>
      </c>
      <c r="Z20" s="312">
        <v>2</v>
      </c>
      <c r="AA20" s="155">
        <v>12</v>
      </c>
      <c r="AB20" s="28">
        <v>0.113</v>
      </c>
      <c r="AC20" s="30">
        <v>0.28750000000000003</v>
      </c>
      <c r="AD20" s="30">
        <v>0.39</v>
      </c>
      <c r="AE20" s="385">
        <v>40.75</v>
      </c>
      <c r="AF20" s="385">
        <f t="shared" si="3"/>
        <v>28.830625000000001</v>
      </c>
      <c r="AG20" s="385">
        <v>70.75</v>
      </c>
      <c r="AH20" s="30">
        <v>0.21</v>
      </c>
      <c r="AI20" s="140">
        <v>81</v>
      </c>
      <c r="AJ20" s="141" t="s">
        <v>458</v>
      </c>
      <c r="AK20" s="141"/>
      <c r="AL20" s="138">
        <f t="shared" si="4"/>
        <v>0</v>
      </c>
      <c r="AM20" s="8">
        <f t="shared" si="2"/>
        <v>0</v>
      </c>
      <c r="AN20" s="8">
        <f t="shared" si="2"/>
        <v>0.13</v>
      </c>
      <c r="AO20" s="139">
        <f t="shared" si="2"/>
        <v>3</v>
      </c>
      <c r="AP20" s="139">
        <f t="shared" si="2"/>
        <v>1.3580624999999991</v>
      </c>
      <c r="AQ20" s="139">
        <f t="shared" si="2"/>
        <v>-2.0250000000000057</v>
      </c>
      <c r="AR20" s="8">
        <f t="shared" si="2"/>
        <v>-1.0000000000000009E-2</v>
      </c>
      <c r="AS20" s="139">
        <f t="shared" si="2"/>
        <v>8</v>
      </c>
      <c r="AT20" s="200" t="s">
        <v>222</v>
      </c>
      <c r="AU20" s="200" t="s">
        <v>222</v>
      </c>
      <c r="AV20" s="200" t="s">
        <v>222</v>
      </c>
      <c r="AW20" s="200" t="s">
        <v>222</v>
      </c>
      <c r="AX20" s="200" t="s">
        <v>222</v>
      </c>
      <c r="AY20" s="386">
        <v>3</v>
      </c>
      <c r="AZ20" s="312">
        <f t="shared" si="5"/>
        <v>2</v>
      </c>
      <c r="BA20" s="155">
        <f t="shared" si="5"/>
        <v>12</v>
      </c>
      <c r="BB20" s="143">
        <v>46157</v>
      </c>
      <c r="BC20" s="23" t="s">
        <v>458</v>
      </c>
      <c r="BD20" s="23"/>
    </row>
    <row r="21" spans="2:56" ht="15.5">
      <c r="B21" s="5">
        <v>28</v>
      </c>
      <c r="C21" s="39">
        <v>46154</v>
      </c>
      <c r="D21" s="304">
        <v>46156</v>
      </c>
      <c r="E21" s="133">
        <v>3</v>
      </c>
      <c r="F21" s="155">
        <v>19</v>
      </c>
      <c r="G21" s="138">
        <v>0.11549999999999999</v>
      </c>
      <c r="H21" s="8">
        <v>0.29000000000000004</v>
      </c>
      <c r="I21" s="8">
        <v>0.3</v>
      </c>
      <c r="J21" s="139">
        <v>39.75</v>
      </c>
      <c r="K21" s="139">
        <v>27.258562500000004</v>
      </c>
      <c r="L21" s="139">
        <v>68.575000000000003</v>
      </c>
      <c r="M21" s="8">
        <v>0.22</v>
      </c>
      <c r="N21" s="140">
        <v>73</v>
      </c>
      <c r="O21" s="339">
        <v>46226</v>
      </c>
      <c r="P21" s="28"/>
      <c r="Q21" s="30"/>
      <c r="R21" s="30"/>
      <c r="S21" s="140"/>
      <c r="T21" s="140"/>
      <c r="U21" s="140"/>
      <c r="V21" s="30"/>
      <c r="W21" s="140" t="s">
        <v>516</v>
      </c>
      <c r="X21" s="309">
        <v>46154</v>
      </c>
      <c r="Y21" s="309">
        <v>46154</v>
      </c>
      <c r="Z21" s="312">
        <v>2</v>
      </c>
      <c r="AA21" s="155">
        <v>13</v>
      </c>
      <c r="AB21" s="28">
        <v>0.11549999999999999</v>
      </c>
      <c r="AC21" s="30">
        <v>0.29000000000000004</v>
      </c>
      <c r="AD21" s="30">
        <v>0.37</v>
      </c>
      <c r="AE21" s="385">
        <v>38.25</v>
      </c>
      <c r="AF21" s="385">
        <f t="shared" si="3"/>
        <v>27.826875000000001</v>
      </c>
      <c r="AG21" s="385">
        <v>72.75</v>
      </c>
      <c r="AH21" s="30">
        <v>0.21</v>
      </c>
      <c r="AI21" s="140">
        <v>80</v>
      </c>
      <c r="AJ21" s="141" t="s">
        <v>458</v>
      </c>
      <c r="AK21" s="141"/>
      <c r="AL21" s="138">
        <f t="shared" si="4"/>
        <v>0</v>
      </c>
      <c r="AM21" s="8">
        <f t="shared" si="2"/>
        <v>0</v>
      </c>
      <c r="AN21" s="8">
        <f t="shared" si="2"/>
        <v>7.0000000000000007E-2</v>
      </c>
      <c r="AO21" s="139">
        <f t="shared" si="2"/>
        <v>-1.5</v>
      </c>
      <c r="AP21" s="139">
        <f t="shared" si="2"/>
        <v>0.56831249999999756</v>
      </c>
      <c r="AQ21" s="139">
        <f t="shared" si="2"/>
        <v>4.1749999999999972</v>
      </c>
      <c r="AR21" s="8">
        <f t="shared" si="2"/>
        <v>-1.0000000000000009E-2</v>
      </c>
      <c r="AS21" s="139">
        <f t="shared" si="2"/>
        <v>7</v>
      </c>
      <c r="AT21" s="200" t="s">
        <v>222</v>
      </c>
      <c r="AU21" s="200" t="s">
        <v>222</v>
      </c>
      <c r="AV21" s="200" t="s">
        <v>222</v>
      </c>
      <c r="AW21" s="200" t="s">
        <v>222</v>
      </c>
      <c r="AX21" s="200" t="s">
        <v>222</v>
      </c>
      <c r="AY21" s="386">
        <v>3</v>
      </c>
      <c r="AZ21" s="312">
        <f t="shared" si="5"/>
        <v>2</v>
      </c>
      <c r="BA21" s="155">
        <f t="shared" si="5"/>
        <v>13</v>
      </c>
      <c r="BB21" s="143">
        <v>46157</v>
      </c>
      <c r="BC21" s="23" t="s">
        <v>458</v>
      </c>
      <c r="BD21" s="23"/>
    </row>
    <row r="22" spans="2:56" ht="15.5">
      <c r="B22" s="5">
        <v>28</v>
      </c>
      <c r="C22" s="39">
        <v>46154</v>
      </c>
      <c r="D22" s="304">
        <v>46156</v>
      </c>
      <c r="E22" s="133">
        <v>3</v>
      </c>
      <c r="F22" s="155">
        <v>20</v>
      </c>
      <c r="G22" s="138">
        <v>0.11475</v>
      </c>
      <c r="H22" s="8">
        <v>0.3</v>
      </c>
      <c r="I22" s="8">
        <v>0.27</v>
      </c>
      <c r="J22" s="139">
        <v>38.5</v>
      </c>
      <c r="K22" s="139">
        <v>25.997125</v>
      </c>
      <c r="L22" s="139">
        <v>67.525000000000006</v>
      </c>
      <c r="M22" s="8">
        <v>0.22</v>
      </c>
      <c r="N22" s="140">
        <v>73</v>
      </c>
      <c r="O22" s="339">
        <v>46226</v>
      </c>
      <c r="P22" s="28"/>
      <c r="Q22" s="30"/>
      <c r="R22" s="30"/>
      <c r="S22" s="305">
        <v>38</v>
      </c>
      <c r="T22" s="140">
        <v>28.12</v>
      </c>
      <c r="U22" s="140">
        <v>74</v>
      </c>
      <c r="V22" s="30"/>
      <c r="W22" s="140" t="s">
        <v>517</v>
      </c>
      <c r="X22" s="309">
        <v>46154</v>
      </c>
      <c r="Y22" s="309">
        <v>46154</v>
      </c>
      <c r="Z22" s="312">
        <v>2</v>
      </c>
      <c r="AA22" s="155">
        <v>14</v>
      </c>
      <c r="AB22" s="28">
        <v>0.11475</v>
      </c>
      <c r="AC22" s="30">
        <v>0.3</v>
      </c>
      <c r="AD22" s="30">
        <v>0.36</v>
      </c>
      <c r="AE22" s="385">
        <v>38.25</v>
      </c>
      <c r="AF22" s="385">
        <f t="shared" si="3"/>
        <v>27.444375000000001</v>
      </c>
      <c r="AG22" s="385">
        <v>71.75</v>
      </c>
      <c r="AH22" s="30">
        <v>0.21</v>
      </c>
      <c r="AI22" s="140">
        <v>80</v>
      </c>
      <c r="AJ22" s="141" t="s">
        <v>458</v>
      </c>
      <c r="AK22" s="141"/>
      <c r="AL22" s="138">
        <f t="shared" si="4"/>
        <v>0</v>
      </c>
      <c r="AM22" s="8">
        <f t="shared" si="2"/>
        <v>0</v>
      </c>
      <c r="AN22" s="8">
        <f t="shared" si="2"/>
        <v>8.9999999999999969E-2</v>
      </c>
      <c r="AO22" s="139">
        <f t="shared" si="2"/>
        <v>-0.25</v>
      </c>
      <c r="AP22" s="139">
        <f t="shared" si="2"/>
        <v>1.4472500000000004</v>
      </c>
      <c r="AQ22" s="139">
        <f t="shared" si="2"/>
        <v>4.2249999999999943</v>
      </c>
      <c r="AR22" s="8">
        <f t="shared" si="2"/>
        <v>-1.0000000000000009E-2</v>
      </c>
      <c r="AS22" s="139">
        <f t="shared" si="2"/>
        <v>7</v>
      </c>
      <c r="AT22" s="200" t="s">
        <v>222</v>
      </c>
      <c r="AU22" s="200" t="s">
        <v>222</v>
      </c>
      <c r="AV22" s="200" t="s">
        <v>222</v>
      </c>
      <c r="AW22" s="200" t="s">
        <v>222</v>
      </c>
      <c r="AX22" s="200" t="s">
        <v>222</v>
      </c>
      <c r="AY22" s="386">
        <v>3</v>
      </c>
      <c r="AZ22" s="312">
        <f t="shared" si="5"/>
        <v>2</v>
      </c>
      <c r="BA22" s="155">
        <f t="shared" si="5"/>
        <v>14</v>
      </c>
      <c r="BB22" s="143">
        <v>46157</v>
      </c>
      <c r="BC22" s="23" t="s">
        <v>458</v>
      </c>
      <c r="BD22" s="23"/>
    </row>
    <row r="23" spans="2:56" ht="15.5">
      <c r="B23" s="5">
        <v>28</v>
      </c>
      <c r="C23" s="39">
        <v>46154</v>
      </c>
      <c r="D23" s="304">
        <v>46156</v>
      </c>
      <c r="E23" s="133">
        <v>3</v>
      </c>
      <c r="F23" s="155">
        <v>21</v>
      </c>
      <c r="G23" s="138">
        <v>0.11749999999999999</v>
      </c>
      <c r="H23" s="8">
        <v>0.31</v>
      </c>
      <c r="I23" s="8">
        <v>0.37</v>
      </c>
      <c r="J23" s="139">
        <v>38.25</v>
      </c>
      <c r="K23" s="139">
        <v>26.794124999999998</v>
      </c>
      <c r="L23" s="139">
        <v>70.05</v>
      </c>
      <c r="M23" s="8">
        <v>0.22</v>
      </c>
      <c r="N23" s="140">
        <v>74</v>
      </c>
      <c r="O23" s="339">
        <v>46226</v>
      </c>
      <c r="P23" s="28"/>
      <c r="Q23" s="30"/>
      <c r="R23" s="30"/>
      <c r="S23" s="140"/>
      <c r="T23" s="140"/>
      <c r="U23" s="140"/>
      <c r="V23" s="30"/>
      <c r="W23" s="140" t="s">
        <v>518</v>
      </c>
      <c r="X23" s="309">
        <v>46154</v>
      </c>
      <c r="Y23" s="309">
        <v>46154</v>
      </c>
      <c r="Z23" s="312">
        <v>2</v>
      </c>
      <c r="AA23" s="155">
        <v>15</v>
      </c>
      <c r="AB23" s="28">
        <v>0.11749999999999999</v>
      </c>
      <c r="AC23" s="30">
        <v>0.31</v>
      </c>
      <c r="AD23" s="30">
        <v>0.39</v>
      </c>
      <c r="AE23" s="385">
        <v>41</v>
      </c>
      <c r="AF23" s="385">
        <f t="shared" si="3"/>
        <v>28.802499999999998</v>
      </c>
      <c r="AG23" s="385">
        <v>70.25</v>
      </c>
      <c r="AH23" s="30">
        <v>0.21</v>
      </c>
      <c r="AI23" s="140">
        <v>80</v>
      </c>
      <c r="AJ23" s="141" t="s">
        <v>458</v>
      </c>
      <c r="AK23" s="141"/>
      <c r="AL23" s="138">
        <f t="shared" si="4"/>
        <v>0</v>
      </c>
      <c r="AM23" s="8">
        <f t="shared" si="2"/>
        <v>0</v>
      </c>
      <c r="AN23" s="8">
        <f t="shared" si="2"/>
        <v>2.0000000000000018E-2</v>
      </c>
      <c r="AO23" s="139">
        <f t="shared" si="2"/>
        <v>2.75</v>
      </c>
      <c r="AP23" s="139">
        <f t="shared" si="2"/>
        <v>2.0083750000000009</v>
      </c>
      <c r="AQ23" s="139">
        <f t="shared" si="2"/>
        <v>0.20000000000000284</v>
      </c>
      <c r="AR23" s="8">
        <f t="shared" si="2"/>
        <v>-1.0000000000000009E-2</v>
      </c>
      <c r="AS23" s="139">
        <f t="shared" si="2"/>
        <v>6</v>
      </c>
      <c r="AT23" s="200" t="s">
        <v>222</v>
      </c>
      <c r="AU23" s="200" t="s">
        <v>222</v>
      </c>
      <c r="AV23" s="200" t="s">
        <v>222</v>
      </c>
      <c r="AW23" s="200" t="s">
        <v>222</v>
      </c>
      <c r="AX23" s="200" t="s">
        <v>222</v>
      </c>
      <c r="AY23" s="386">
        <v>3</v>
      </c>
      <c r="AZ23" s="312">
        <f t="shared" si="5"/>
        <v>2</v>
      </c>
      <c r="BA23" s="155">
        <f t="shared" si="5"/>
        <v>15</v>
      </c>
      <c r="BB23" s="143">
        <v>46157</v>
      </c>
      <c r="BC23" s="23" t="s">
        <v>458</v>
      </c>
      <c r="BD23" s="23"/>
    </row>
    <row r="24" spans="2:56" ht="15.5">
      <c r="B24" s="5">
        <v>28</v>
      </c>
      <c r="C24" s="39">
        <v>46157</v>
      </c>
      <c r="D24" s="304">
        <v>46159</v>
      </c>
      <c r="E24" s="133">
        <v>4</v>
      </c>
      <c r="F24" s="155">
        <v>25</v>
      </c>
      <c r="G24" s="138">
        <v>0.113</v>
      </c>
      <c r="H24" s="8">
        <v>0.35499999999999998</v>
      </c>
      <c r="I24" s="8">
        <v>0.27</v>
      </c>
      <c r="J24" s="139">
        <v>43</v>
      </c>
      <c r="K24" s="139">
        <v>28.261749999999996</v>
      </c>
      <c r="L24" s="139">
        <v>65.724999999999994</v>
      </c>
      <c r="M24" s="8">
        <v>0.22</v>
      </c>
      <c r="N24" s="140">
        <v>74</v>
      </c>
      <c r="O24" s="339">
        <v>46226</v>
      </c>
      <c r="P24" s="28"/>
      <c r="Q24" s="30"/>
      <c r="R24" s="30"/>
      <c r="S24" s="305">
        <v>44</v>
      </c>
      <c r="T24" s="140">
        <v>29.04</v>
      </c>
      <c r="U24" s="140">
        <v>66</v>
      </c>
      <c r="V24" s="30"/>
      <c r="W24" s="140" t="s">
        <v>523</v>
      </c>
      <c r="X24" s="309">
        <v>46154</v>
      </c>
      <c r="Y24" s="309">
        <v>46154</v>
      </c>
      <c r="Z24" s="312">
        <v>2</v>
      </c>
      <c r="AA24" s="155">
        <v>16</v>
      </c>
      <c r="AB24" s="28">
        <v>0.113</v>
      </c>
      <c r="AC24" s="30">
        <v>0.35499999999999998</v>
      </c>
      <c r="AD24" s="30">
        <v>0.27</v>
      </c>
      <c r="AE24" s="385">
        <v>41.25</v>
      </c>
      <c r="AF24" s="385">
        <f t="shared" si="3"/>
        <v>28.978124999999999</v>
      </c>
      <c r="AG24" s="385">
        <v>70.25</v>
      </c>
      <c r="AH24" s="30">
        <v>0.21</v>
      </c>
      <c r="AI24" s="140">
        <v>80</v>
      </c>
      <c r="AJ24" s="141" t="s">
        <v>458</v>
      </c>
      <c r="AK24" s="141"/>
      <c r="AL24" s="138">
        <f t="shared" si="4"/>
        <v>0</v>
      </c>
      <c r="AM24" s="8">
        <f t="shared" si="2"/>
        <v>0</v>
      </c>
      <c r="AN24" s="8">
        <f t="shared" si="2"/>
        <v>0</v>
      </c>
      <c r="AO24" s="139">
        <f t="shared" si="2"/>
        <v>-1.75</v>
      </c>
      <c r="AP24" s="139">
        <f t="shared" si="2"/>
        <v>0.71637500000000287</v>
      </c>
      <c r="AQ24" s="139">
        <f t="shared" si="2"/>
        <v>4.5250000000000057</v>
      </c>
      <c r="AR24" s="8">
        <f t="shared" si="2"/>
        <v>-1.0000000000000009E-2</v>
      </c>
      <c r="AS24" s="139">
        <f t="shared" si="2"/>
        <v>6</v>
      </c>
      <c r="AT24" s="200" t="s">
        <v>222</v>
      </c>
      <c r="AU24" s="200" t="s">
        <v>222</v>
      </c>
      <c r="AV24" s="200" t="s">
        <v>222</v>
      </c>
      <c r="AW24" s="200" t="s">
        <v>222</v>
      </c>
      <c r="AX24" s="200" t="s">
        <v>222</v>
      </c>
      <c r="AY24" s="386">
        <v>3</v>
      </c>
      <c r="AZ24" s="312">
        <f t="shared" si="5"/>
        <v>2</v>
      </c>
      <c r="BA24" s="155">
        <f t="shared" si="5"/>
        <v>16</v>
      </c>
      <c r="BB24" s="143">
        <v>46160</v>
      </c>
      <c r="BC24" s="23" t="s">
        <v>458</v>
      </c>
      <c r="BD24" s="23"/>
    </row>
    <row r="25" spans="2:56" ht="15.5">
      <c r="B25" s="5">
        <v>28</v>
      </c>
      <c r="C25" s="39">
        <v>46157</v>
      </c>
      <c r="D25" s="304">
        <v>46159</v>
      </c>
      <c r="E25" s="133">
        <v>4</v>
      </c>
      <c r="F25" s="155">
        <v>26</v>
      </c>
      <c r="G25" s="138">
        <v>0.1135</v>
      </c>
      <c r="H25" s="8">
        <v>0.315</v>
      </c>
      <c r="I25" s="8">
        <v>0.28999999999999998</v>
      </c>
      <c r="J25" s="139">
        <v>42.25</v>
      </c>
      <c r="K25" s="139">
        <v>28.751125000000005</v>
      </c>
      <c r="L25" s="139">
        <v>68.050000000000011</v>
      </c>
      <c r="M25" s="8">
        <v>0.22</v>
      </c>
      <c r="N25" s="140">
        <v>74</v>
      </c>
      <c r="O25" s="339">
        <v>46226</v>
      </c>
      <c r="P25" s="28"/>
      <c r="Q25" s="30"/>
      <c r="R25" s="30"/>
      <c r="S25" s="305">
        <v>45</v>
      </c>
      <c r="T25" s="140">
        <v>32.85</v>
      </c>
      <c r="U25" s="140">
        <v>73</v>
      </c>
      <c r="V25" s="30"/>
      <c r="W25" s="140" t="s">
        <v>524</v>
      </c>
      <c r="X25" s="309">
        <v>46154</v>
      </c>
      <c r="Y25" s="309">
        <v>46154</v>
      </c>
      <c r="Z25" s="312">
        <v>3</v>
      </c>
      <c r="AA25" s="155">
        <v>17</v>
      </c>
      <c r="AB25" s="28">
        <v>0.1135</v>
      </c>
      <c r="AC25" s="30">
        <v>0.315</v>
      </c>
      <c r="AD25" s="30">
        <v>0.28999999999999998</v>
      </c>
      <c r="AE25" s="385">
        <v>41</v>
      </c>
      <c r="AF25" s="385">
        <f t="shared" si="3"/>
        <v>28.802499999999998</v>
      </c>
      <c r="AG25" s="385">
        <v>70.25</v>
      </c>
      <c r="AH25" s="30">
        <v>0.22</v>
      </c>
      <c r="AI25" s="140">
        <v>81</v>
      </c>
      <c r="AJ25" s="141" t="s">
        <v>458</v>
      </c>
      <c r="AK25" s="141"/>
      <c r="AL25" s="138">
        <f t="shared" si="4"/>
        <v>0</v>
      </c>
      <c r="AM25" s="8">
        <f t="shared" si="4"/>
        <v>0</v>
      </c>
      <c r="AN25" s="8">
        <f t="shared" si="4"/>
        <v>0</v>
      </c>
      <c r="AO25" s="139">
        <f t="shared" si="4"/>
        <v>-1.25</v>
      </c>
      <c r="AP25" s="139">
        <f t="shared" si="4"/>
        <v>5.1374999999993065E-2</v>
      </c>
      <c r="AQ25" s="139">
        <f t="shared" si="4"/>
        <v>2.1999999999999886</v>
      </c>
      <c r="AR25" s="8">
        <f t="shared" si="4"/>
        <v>0</v>
      </c>
      <c r="AS25" s="139">
        <f t="shared" si="4"/>
        <v>7</v>
      </c>
      <c r="AT25" s="200" t="s">
        <v>222</v>
      </c>
      <c r="AU25" s="200" t="s">
        <v>222</v>
      </c>
      <c r="AV25" s="200" t="s">
        <v>222</v>
      </c>
      <c r="AW25" s="200" t="s">
        <v>222</v>
      </c>
      <c r="AX25" s="200" t="s">
        <v>222</v>
      </c>
      <c r="AY25" s="386">
        <v>3</v>
      </c>
      <c r="AZ25" s="312">
        <f t="shared" si="5"/>
        <v>3</v>
      </c>
      <c r="BA25" s="155">
        <f t="shared" si="5"/>
        <v>17</v>
      </c>
      <c r="BB25" s="143">
        <v>46160</v>
      </c>
      <c r="BC25" s="23" t="s">
        <v>458</v>
      </c>
      <c r="BD25" s="23"/>
    </row>
    <row r="26" spans="2:56" ht="15.5">
      <c r="B26" s="5">
        <v>28</v>
      </c>
      <c r="C26" s="39">
        <v>46157</v>
      </c>
      <c r="D26" s="304">
        <v>46159</v>
      </c>
      <c r="E26" s="133">
        <v>4</v>
      </c>
      <c r="F26" s="155">
        <v>27</v>
      </c>
      <c r="G26" s="138">
        <v>0.11549999999999999</v>
      </c>
      <c r="H26" s="8">
        <v>0.315</v>
      </c>
      <c r="I26" s="8">
        <v>0.28000000000000003</v>
      </c>
      <c r="J26" s="139">
        <v>41.75</v>
      </c>
      <c r="K26" s="139">
        <v>27.774187499999996</v>
      </c>
      <c r="L26" s="139">
        <v>66.524999999999991</v>
      </c>
      <c r="M26" s="8">
        <v>0.22</v>
      </c>
      <c r="N26" s="140">
        <v>74</v>
      </c>
      <c r="O26" s="339">
        <v>46226</v>
      </c>
      <c r="P26" s="28"/>
      <c r="Q26" s="30"/>
      <c r="R26" s="30"/>
      <c r="S26" s="305">
        <v>42</v>
      </c>
      <c r="T26" s="140">
        <v>31.08</v>
      </c>
      <c r="U26" s="140">
        <v>74</v>
      </c>
      <c r="V26" s="30"/>
      <c r="W26" s="140" t="s">
        <v>525</v>
      </c>
      <c r="X26" s="309">
        <v>46154</v>
      </c>
      <c r="Y26" s="309">
        <v>46154</v>
      </c>
      <c r="Z26" s="312">
        <v>3</v>
      </c>
      <c r="AA26" s="155">
        <v>18</v>
      </c>
      <c r="AB26" s="28">
        <v>0.11549999999999999</v>
      </c>
      <c r="AC26" s="30">
        <v>0.315</v>
      </c>
      <c r="AD26" s="30">
        <v>0.28000000000000003</v>
      </c>
      <c r="AE26" s="385">
        <v>39.25</v>
      </c>
      <c r="AF26" s="385">
        <f t="shared" si="3"/>
        <v>28.456250000000001</v>
      </c>
      <c r="AG26" s="385">
        <v>72.5</v>
      </c>
      <c r="AH26" s="30">
        <v>0.22</v>
      </c>
      <c r="AI26" s="140">
        <v>81</v>
      </c>
      <c r="AJ26" s="141" t="s">
        <v>458</v>
      </c>
      <c r="AK26" s="141"/>
      <c r="AL26" s="138">
        <f t="shared" si="4"/>
        <v>0</v>
      </c>
      <c r="AM26" s="8">
        <f t="shared" si="4"/>
        <v>0</v>
      </c>
      <c r="AN26" s="8">
        <f t="shared" si="4"/>
        <v>0</v>
      </c>
      <c r="AO26" s="139">
        <f t="shared" si="4"/>
        <v>-2.5</v>
      </c>
      <c r="AP26" s="139">
        <f t="shared" si="4"/>
        <v>0.68206250000000423</v>
      </c>
      <c r="AQ26" s="139">
        <f t="shared" si="4"/>
        <v>5.9750000000000085</v>
      </c>
      <c r="AR26" s="8">
        <f t="shared" si="4"/>
        <v>0</v>
      </c>
      <c r="AS26" s="139">
        <f t="shared" si="4"/>
        <v>7</v>
      </c>
      <c r="AT26" s="200" t="s">
        <v>222</v>
      </c>
      <c r="AU26" s="200" t="s">
        <v>222</v>
      </c>
      <c r="AV26" s="200" t="s">
        <v>222</v>
      </c>
      <c r="AW26" s="200" t="s">
        <v>222</v>
      </c>
      <c r="AX26" s="200" t="s">
        <v>222</v>
      </c>
      <c r="AY26" s="386">
        <v>3</v>
      </c>
      <c r="AZ26" s="312">
        <f t="shared" si="5"/>
        <v>3</v>
      </c>
      <c r="BA26" s="155">
        <f t="shared" si="5"/>
        <v>18</v>
      </c>
      <c r="BB26" s="143">
        <v>46160</v>
      </c>
      <c r="BC26" s="23" t="s">
        <v>458</v>
      </c>
      <c r="BD26" s="23"/>
    </row>
    <row r="27" spans="2:56" ht="15.5">
      <c r="B27" s="5">
        <v>28</v>
      </c>
      <c r="C27" s="39">
        <v>46157</v>
      </c>
      <c r="D27" s="304">
        <v>46159</v>
      </c>
      <c r="E27" s="133">
        <v>4</v>
      </c>
      <c r="F27" s="155">
        <v>29</v>
      </c>
      <c r="G27" s="138">
        <v>0.1105</v>
      </c>
      <c r="H27" s="8">
        <v>0.32750000000000001</v>
      </c>
      <c r="I27" s="8">
        <v>0.27</v>
      </c>
      <c r="J27" s="139">
        <v>40.5</v>
      </c>
      <c r="K27" s="139">
        <v>27.469124999999998</v>
      </c>
      <c r="L27" s="139">
        <v>67.825000000000003</v>
      </c>
      <c r="M27" s="8">
        <v>0.22</v>
      </c>
      <c r="N27" s="140">
        <v>77</v>
      </c>
      <c r="O27" s="339">
        <v>46226</v>
      </c>
      <c r="P27" s="28"/>
      <c r="Q27" s="30"/>
      <c r="R27" s="30"/>
      <c r="S27" s="305">
        <v>43</v>
      </c>
      <c r="T27" s="140">
        <v>28.81</v>
      </c>
      <c r="U27" s="140">
        <v>67</v>
      </c>
      <c r="V27" s="30"/>
      <c r="W27" s="140">
        <v>82</v>
      </c>
      <c r="X27" s="309">
        <v>46154</v>
      </c>
      <c r="Y27" s="309">
        <v>46154</v>
      </c>
      <c r="Z27" s="312">
        <v>3</v>
      </c>
      <c r="AA27" s="155">
        <v>19</v>
      </c>
      <c r="AB27" s="28">
        <v>0.1105</v>
      </c>
      <c r="AC27" s="30">
        <v>0.32750000000000001</v>
      </c>
      <c r="AD27" s="30">
        <v>0.27</v>
      </c>
      <c r="AE27" s="385">
        <v>38.25</v>
      </c>
      <c r="AF27" s="385">
        <f t="shared" si="3"/>
        <v>27.731249999999999</v>
      </c>
      <c r="AG27" s="385">
        <v>72.5</v>
      </c>
      <c r="AH27" s="30">
        <v>0.22</v>
      </c>
      <c r="AI27" s="140">
        <v>81</v>
      </c>
      <c r="AJ27" s="141" t="s">
        <v>458</v>
      </c>
      <c r="AK27" s="141"/>
      <c r="AL27" s="138">
        <f t="shared" si="4"/>
        <v>0</v>
      </c>
      <c r="AM27" s="8">
        <f t="shared" si="4"/>
        <v>0</v>
      </c>
      <c r="AN27" s="8">
        <f t="shared" si="4"/>
        <v>0</v>
      </c>
      <c r="AO27" s="139">
        <f t="shared" si="4"/>
        <v>-2.25</v>
      </c>
      <c r="AP27" s="139">
        <f t="shared" si="4"/>
        <v>0.26212500000000105</v>
      </c>
      <c r="AQ27" s="139">
        <f t="shared" si="4"/>
        <v>4.6749999999999972</v>
      </c>
      <c r="AR27" s="8">
        <f t="shared" si="4"/>
        <v>0</v>
      </c>
      <c r="AS27" s="139">
        <f t="shared" si="4"/>
        <v>4</v>
      </c>
      <c r="AT27" s="200" t="s">
        <v>222</v>
      </c>
      <c r="AU27" s="200" t="s">
        <v>222</v>
      </c>
      <c r="AV27" s="200" t="s">
        <v>222</v>
      </c>
      <c r="AW27" s="200" t="s">
        <v>222</v>
      </c>
      <c r="AX27" s="200" t="s">
        <v>222</v>
      </c>
      <c r="AY27" s="386">
        <v>3</v>
      </c>
      <c r="AZ27" s="312">
        <f t="shared" si="5"/>
        <v>3</v>
      </c>
      <c r="BA27" s="155">
        <f t="shared" si="5"/>
        <v>19</v>
      </c>
      <c r="BB27" s="143">
        <v>46160</v>
      </c>
      <c r="BC27" s="23" t="s">
        <v>458</v>
      </c>
      <c r="BD27" s="23"/>
    </row>
    <row r="28" spans="2:56" ht="15.5">
      <c r="B28" s="5">
        <v>28</v>
      </c>
      <c r="C28" s="39">
        <v>46157</v>
      </c>
      <c r="D28" s="304">
        <v>46159</v>
      </c>
      <c r="E28" s="133">
        <v>4</v>
      </c>
      <c r="F28" s="155">
        <v>30</v>
      </c>
      <c r="G28" s="138">
        <v>0.1075</v>
      </c>
      <c r="H28" s="8">
        <v>0.32500000000000001</v>
      </c>
      <c r="I28" s="8">
        <v>0.28000000000000003</v>
      </c>
      <c r="J28" s="139">
        <v>41.25</v>
      </c>
      <c r="K28" s="139">
        <v>27.2971875</v>
      </c>
      <c r="L28" s="139">
        <v>66.174999999999997</v>
      </c>
      <c r="M28" s="8">
        <v>0.22</v>
      </c>
      <c r="N28" s="140">
        <v>77</v>
      </c>
      <c r="O28" s="339">
        <v>46226</v>
      </c>
      <c r="P28" s="28"/>
      <c r="Q28" s="30"/>
      <c r="R28" s="30"/>
      <c r="S28" s="140"/>
      <c r="T28" s="140"/>
      <c r="U28" s="140"/>
      <c r="V28" s="30"/>
      <c r="W28" s="140">
        <v>83</v>
      </c>
      <c r="X28" s="309">
        <v>46154</v>
      </c>
      <c r="Y28" s="309">
        <v>46154</v>
      </c>
      <c r="Z28" s="312">
        <v>3</v>
      </c>
      <c r="AA28" s="155">
        <v>20</v>
      </c>
      <c r="AB28" s="28">
        <v>0.1075</v>
      </c>
      <c r="AC28" s="30">
        <v>0.32500000000000001</v>
      </c>
      <c r="AD28" s="30">
        <v>0.28000000000000003</v>
      </c>
      <c r="AE28" s="385">
        <v>39.25</v>
      </c>
      <c r="AF28" s="385">
        <f t="shared" si="3"/>
        <v>27.475000000000001</v>
      </c>
      <c r="AG28" s="385">
        <v>70</v>
      </c>
      <c r="AH28" s="30">
        <v>0.22</v>
      </c>
      <c r="AI28" s="140">
        <v>81</v>
      </c>
      <c r="AJ28" s="141" t="s">
        <v>458</v>
      </c>
      <c r="AK28" s="141"/>
      <c r="AL28" s="138">
        <f t="shared" si="4"/>
        <v>0</v>
      </c>
      <c r="AM28" s="8">
        <f t="shared" si="4"/>
        <v>0</v>
      </c>
      <c r="AN28" s="8">
        <f t="shared" si="4"/>
        <v>0</v>
      </c>
      <c r="AO28" s="139">
        <f t="shared" si="4"/>
        <v>-2</v>
      </c>
      <c r="AP28" s="139">
        <f t="shared" si="4"/>
        <v>0.17781250000000171</v>
      </c>
      <c r="AQ28" s="139">
        <f t="shared" si="4"/>
        <v>3.8250000000000028</v>
      </c>
      <c r="AR28" s="8">
        <f t="shared" si="4"/>
        <v>0</v>
      </c>
      <c r="AS28" s="139">
        <f t="shared" si="4"/>
        <v>4</v>
      </c>
      <c r="AT28" s="200" t="s">
        <v>222</v>
      </c>
      <c r="AU28" s="200" t="s">
        <v>222</v>
      </c>
      <c r="AV28" s="200" t="s">
        <v>222</v>
      </c>
      <c r="AW28" s="200" t="s">
        <v>222</v>
      </c>
      <c r="AX28" s="200" t="s">
        <v>222</v>
      </c>
      <c r="AY28" s="386">
        <v>3</v>
      </c>
      <c r="AZ28" s="312">
        <f t="shared" si="5"/>
        <v>3</v>
      </c>
      <c r="BA28" s="155">
        <f t="shared" si="5"/>
        <v>20</v>
      </c>
      <c r="BB28" s="143">
        <v>46160</v>
      </c>
      <c r="BC28" s="23" t="s">
        <v>458</v>
      </c>
      <c r="BD28" s="23"/>
    </row>
    <row r="29" spans="2:56" ht="15.5">
      <c r="B29" s="5">
        <v>28</v>
      </c>
      <c r="C29" s="39">
        <v>46151</v>
      </c>
      <c r="D29" s="304">
        <v>46153</v>
      </c>
      <c r="E29" s="133">
        <v>1</v>
      </c>
      <c r="F29" s="155">
        <v>8</v>
      </c>
      <c r="G29" s="138">
        <v>0.10925</v>
      </c>
      <c r="H29" s="8">
        <v>0.3125</v>
      </c>
      <c r="I29" s="8">
        <v>0.35</v>
      </c>
      <c r="J29" s="139">
        <v>37.25</v>
      </c>
      <c r="K29" s="139">
        <v>27.490500000000008</v>
      </c>
      <c r="L29" s="139">
        <v>73.800000000000011</v>
      </c>
      <c r="M29" s="8">
        <v>0.23</v>
      </c>
      <c r="N29" s="140">
        <v>71.5</v>
      </c>
      <c r="O29" s="339">
        <v>46226</v>
      </c>
      <c r="P29" s="28"/>
      <c r="Q29" s="30"/>
      <c r="R29" s="30"/>
      <c r="S29" s="305" t="s">
        <v>501</v>
      </c>
      <c r="T29" s="140" t="s">
        <v>502</v>
      </c>
      <c r="U29" s="387" t="s">
        <v>503</v>
      </c>
      <c r="V29" s="30"/>
      <c r="W29" s="305" t="s">
        <v>504</v>
      </c>
      <c r="X29" s="309">
        <v>46160</v>
      </c>
      <c r="Y29" s="309">
        <v>46160</v>
      </c>
      <c r="Z29" s="312">
        <v>3</v>
      </c>
      <c r="AA29" s="155">
        <v>21</v>
      </c>
      <c r="AB29" s="28">
        <v>0.10925</v>
      </c>
      <c r="AC29" s="30">
        <v>0.3125</v>
      </c>
      <c r="AD29" s="30">
        <v>0.35</v>
      </c>
      <c r="AE29" s="385">
        <v>38</v>
      </c>
      <c r="AF29" s="385">
        <f t="shared" si="3"/>
        <v>26.41</v>
      </c>
      <c r="AG29" s="385">
        <v>69.5</v>
      </c>
      <c r="AH29" s="30">
        <v>0.23</v>
      </c>
      <c r="AI29" s="140">
        <v>82</v>
      </c>
      <c r="AJ29" s="141" t="s">
        <v>458</v>
      </c>
      <c r="AK29" s="141"/>
      <c r="AL29" s="138">
        <f t="shared" si="4"/>
        <v>0</v>
      </c>
      <c r="AM29" s="8">
        <f t="shared" si="4"/>
        <v>0</v>
      </c>
      <c r="AN29" s="8">
        <f t="shared" si="4"/>
        <v>0</v>
      </c>
      <c r="AO29" s="139">
        <f t="shared" si="4"/>
        <v>0.75</v>
      </c>
      <c r="AP29" s="139">
        <f t="shared" si="4"/>
        <v>-1.0805000000000078</v>
      </c>
      <c r="AQ29" s="139">
        <f t="shared" si="4"/>
        <v>-4.3000000000000114</v>
      </c>
      <c r="AR29" s="8">
        <f t="shared" si="4"/>
        <v>0</v>
      </c>
      <c r="AS29" s="139">
        <f t="shared" si="4"/>
        <v>10.5</v>
      </c>
      <c r="AT29" s="200" t="s">
        <v>222</v>
      </c>
      <c r="AU29" s="200" t="s">
        <v>222</v>
      </c>
      <c r="AV29" s="200" t="s">
        <v>222</v>
      </c>
      <c r="AW29" s="200" t="s">
        <v>222</v>
      </c>
      <c r="AX29" s="200" t="s">
        <v>222</v>
      </c>
      <c r="AY29" s="386">
        <v>4</v>
      </c>
      <c r="AZ29" s="312">
        <f t="shared" si="5"/>
        <v>3</v>
      </c>
      <c r="BA29" s="155">
        <f t="shared" si="5"/>
        <v>21</v>
      </c>
      <c r="BB29" s="143">
        <v>46151</v>
      </c>
      <c r="BC29" s="23" t="s">
        <v>458</v>
      </c>
      <c r="BD29" s="23" t="s">
        <v>616</v>
      </c>
    </row>
    <row r="30" spans="2:56" ht="15.5">
      <c r="B30" s="5">
        <v>28</v>
      </c>
      <c r="C30" s="39">
        <v>46160</v>
      </c>
      <c r="D30" s="304">
        <v>46162</v>
      </c>
      <c r="E30" s="133">
        <v>4</v>
      </c>
      <c r="F30" s="155">
        <v>31</v>
      </c>
      <c r="G30" s="138">
        <v>0.11499999999999999</v>
      </c>
      <c r="H30" s="8">
        <v>0.315</v>
      </c>
      <c r="I30" s="8">
        <v>0.28999999999999998</v>
      </c>
      <c r="J30" s="139">
        <v>38.25</v>
      </c>
      <c r="K30" s="139">
        <v>23.055187499999999</v>
      </c>
      <c r="L30" s="139">
        <v>60.274999999999999</v>
      </c>
      <c r="M30" s="8">
        <v>0.22</v>
      </c>
      <c r="N30" s="140">
        <v>77</v>
      </c>
      <c r="O30" s="339">
        <v>46226</v>
      </c>
      <c r="P30" s="140"/>
      <c r="Q30" s="140"/>
      <c r="R30" s="140"/>
      <c r="S30" s="305">
        <v>37</v>
      </c>
      <c r="T30" s="140">
        <v>24.05</v>
      </c>
      <c r="U30" s="140">
        <v>65</v>
      </c>
      <c r="V30" s="140"/>
      <c r="W30" s="140">
        <v>79</v>
      </c>
      <c r="X30" s="309">
        <v>46160</v>
      </c>
      <c r="Y30" s="309">
        <v>46160</v>
      </c>
      <c r="Z30" s="312">
        <v>3</v>
      </c>
      <c r="AA30" s="155">
        <v>22</v>
      </c>
      <c r="AB30" s="28">
        <v>0.11499999999999999</v>
      </c>
      <c r="AC30" s="30">
        <v>0.315</v>
      </c>
      <c r="AD30" s="30">
        <v>0.28999999999999998</v>
      </c>
      <c r="AE30" s="385">
        <v>38.75</v>
      </c>
      <c r="AF30" s="385">
        <f t="shared" si="3"/>
        <v>27.028124999999999</v>
      </c>
      <c r="AG30" s="385">
        <v>69.75</v>
      </c>
      <c r="AH30" s="30">
        <v>0.23</v>
      </c>
      <c r="AI30" s="140">
        <v>82</v>
      </c>
      <c r="AJ30" s="141" t="s">
        <v>458</v>
      </c>
      <c r="AK30" s="141"/>
      <c r="AL30" s="138">
        <f t="shared" si="4"/>
        <v>0</v>
      </c>
      <c r="AM30" s="8">
        <f t="shared" si="4"/>
        <v>0</v>
      </c>
      <c r="AN30" s="8">
        <f t="shared" si="4"/>
        <v>0</v>
      </c>
      <c r="AO30" s="139">
        <f t="shared" si="4"/>
        <v>0.5</v>
      </c>
      <c r="AP30" s="139">
        <f t="shared" si="4"/>
        <v>3.9729375000000005</v>
      </c>
      <c r="AQ30" s="139">
        <f t="shared" si="4"/>
        <v>9.4750000000000014</v>
      </c>
      <c r="AR30" s="8">
        <f t="shared" si="4"/>
        <v>1.0000000000000009E-2</v>
      </c>
      <c r="AS30" s="139">
        <f t="shared" si="4"/>
        <v>5</v>
      </c>
      <c r="AT30" s="200" t="s">
        <v>222</v>
      </c>
      <c r="AU30" s="200" t="s">
        <v>222</v>
      </c>
      <c r="AV30" s="200" t="s">
        <v>222</v>
      </c>
      <c r="AW30" s="200" t="s">
        <v>222</v>
      </c>
      <c r="AX30" s="200" t="s">
        <v>222</v>
      </c>
      <c r="AY30" s="386">
        <v>4</v>
      </c>
      <c r="AZ30" s="312">
        <f t="shared" si="5"/>
        <v>3</v>
      </c>
      <c r="BA30" s="155">
        <f t="shared" si="5"/>
        <v>22</v>
      </c>
      <c r="BB30" s="143">
        <v>46160</v>
      </c>
      <c r="BC30" s="23" t="s">
        <v>458</v>
      </c>
      <c r="BD30" s="23" t="s">
        <v>616</v>
      </c>
    </row>
    <row r="31" spans="2:56" ht="15.5">
      <c r="B31" s="5">
        <v>28</v>
      </c>
      <c r="C31" s="39">
        <v>46160</v>
      </c>
      <c r="D31" s="304">
        <v>46162</v>
      </c>
      <c r="E31" s="133">
        <v>5</v>
      </c>
      <c r="F31" s="155">
        <v>33</v>
      </c>
      <c r="G31" s="138">
        <v>0.11749999999999999</v>
      </c>
      <c r="H31" s="8">
        <v>0.315</v>
      </c>
      <c r="I31" s="8">
        <v>0.27</v>
      </c>
      <c r="J31" s="139">
        <v>40.75</v>
      </c>
      <c r="K31" s="139">
        <v>26.725042682926826</v>
      </c>
      <c r="L31" s="139">
        <v>65.582926829268288</v>
      </c>
      <c r="M31" s="8">
        <v>0.23</v>
      </c>
      <c r="N31" s="140">
        <v>76</v>
      </c>
      <c r="O31" s="339">
        <v>46226</v>
      </c>
      <c r="P31" s="28"/>
      <c r="Q31" s="30"/>
      <c r="R31" s="30"/>
      <c r="S31" s="140" t="s">
        <v>529</v>
      </c>
      <c r="T31" s="140" t="s">
        <v>530</v>
      </c>
      <c r="U31" s="140" t="s">
        <v>531</v>
      </c>
      <c r="V31" s="140"/>
      <c r="W31" s="140" t="s">
        <v>532</v>
      </c>
      <c r="X31" s="309">
        <v>46160</v>
      </c>
      <c r="Y31" s="309">
        <v>46160</v>
      </c>
      <c r="Z31" s="312">
        <v>3</v>
      </c>
      <c r="AA31" s="155">
        <v>23</v>
      </c>
      <c r="AB31" s="28">
        <v>0.11749999999999999</v>
      </c>
      <c r="AC31" s="30">
        <v>0.315</v>
      </c>
      <c r="AD31" s="30">
        <v>0.27</v>
      </c>
      <c r="AE31" s="385">
        <v>38.5</v>
      </c>
      <c r="AF31" s="385">
        <f t="shared" si="3"/>
        <v>26.95</v>
      </c>
      <c r="AG31" s="385">
        <v>70</v>
      </c>
      <c r="AH31" s="30">
        <v>0.23</v>
      </c>
      <c r="AI31" s="140">
        <v>82</v>
      </c>
      <c r="AJ31" s="141" t="s">
        <v>458</v>
      </c>
      <c r="AK31" s="141"/>
      <c r="AL31" s="138">
        <f t="shared" si="4"/>
        <v>0</v>
      </c>
      <c r="AM31" s="8">
        <f t="shared" si="4"/>
        <v>0</v>
      </c>
      <c r="AN31" s="8">
        <f t="shared" si="4"/>
        <v>0</v>
      </c>
      <c r="AO31" s="139">
        <f t="shared" si="4"/>
        <v>-2.25</v>
      </c>
      <c r="AP31" s="139">
        <f t="shared" si="4"/>
        <v>0.2249573170731729</v>
      </c>
      <c r="AQ31" s="139">
        <f t="shared" si="4"/>
        <v>4.4170731707317117</v>
      </c>
      <c r="AR31" s="8">
        <f t="shared" si="4"/>
        <v>0</v>
      </c>
      <c r="AS31" s="139">
        <f t="shared" si="4"/>
        <v>6</v>
      </c>
      <c r="AT31" s="200" t="s">
        <v>222</v>
      </c>
      <c r="AU31" s="200" t="s">
        <v>222</v>
      </c>
      <c r="AV31" s="200" t="s">
        <v>222</v>
      </c>
      <c r="AW31" s="200" t="s">
        <v>222</v>
      </c>
      <c r="AX31" s="200" t="s">
        <v>222</v>
      </c>
      <c r="AY31" s="386">
        <v>4</v>
      </c>
      <c r="AZ31" s="312">
        <f t="shared" si="5"/>
        <v>3</v>
      </c>
      <c r="BA31" s="155">
        <f t="shared" si="5"/>
        <v>23</v>
      </c>
      <c r="BB31" s="143">
        <v>46161</v>
      </c>
      <c r="BC31" s="23" t="s">
        <v>458</v>
      </c>
      <c r="BD31" s="23" t="s">
        <v>616</v>
      </c>
    </row>
    <row r="32" spans="2:56" ht="15.5">
      <c r="B32" s="5">
        <v>28</v>
      </c>
      <c r="C32" s="39">
        <v>46161</v>
      </c>
      <c r="D32" s="304">
        <v>46163</v>
      </c>
      <c r="E32" s="133">
        <v>5</v>
      </c>
      <c r="F32" s="155">
        <v>34</v>
      </c>
      <c r="G32" s="138">
        <v>0.11175</v>
      </c>
      <c r="H32" s="8">
        <v>0.3175</v>
      </c>
      <c r="I32" s="8">
        <v>0.28999999999999998</v>
      </c>
      <c r="J32" s="139">
        <v>39.75</v>
      </c>
      <c r="K32" s="139">
        <v>24.431359365179134</v>
      </c>
      <c r="L32" s="139">
        <v>61.462539283469518</v>
      </c>
      <c r="M32" s="8">
        <v>0.23</v>
      </c>
      <c r="N32" s="140">
        <v>76</v>
      </c>
      <c r="O32" s="339">
        <v>46226</v>
      </c>
      <c r="P32" s="28"/>
      <c r="Q32" s="30"/>
      <c r="R32" s="30"/>
      <c r="S32" s="305">
        <v>46</v>
      </c>
      <c r="T32" s="140">
        <v>28.98</v>
      </c>
      <c r="U32" s="140">
        <v>63</v>
      </c>
      <c r="V32" s="140"/>
      <c r="W32" s="140">
        <v>85</v>
      </c>
      <c r="X32" s="309">
        <v>46160</v>
      </c>
      <c r="Y32" s="309">
        <v>46160</v>
      </c>
      <c r="Z32" s="312">
        <v>3</v>
      </c>
      <c r="AA32" s="155">
        <v>24</v>
      </c>
      <c r="AB32" s="28">
        <v>0.11175</v>
      </c>
      <c r="AC32" s="30">
        <v>0.3175</v>
      </c>
      <c r="AD32" s="30">
        <v>0.28999999999999998</v>
      </c>
      <c r="AE32" s="385">
        <v>41</v>
      </c>
      <c r="AF32" s="385">
        <f t="shared" si="3"/>
        <v>29.827500000000001</v>
      </c>
      <c r="AG32" s="385">
        <v>72.75</v>
      </c>
      <c r="AH32" s="30">
        <v>0.23</v>
      </c>
      <c r="AI32" s="140">
        <v>82</v>
      </c>
      <c r="AJ32" s="141" t="s">
        <v>458</v>
      </c>
      <c r="AK32" s="141"/>
      <c r="AL32" s="138">
        <f t="shared" si="4"/>
        <v>0</v>
      </c>
      <c r="AM32" s="8">
        <f t="shared" si="4"/>
        <v>0</v>
      </c>
      <c r="AN32" s="8">
        <f t="shared" si="4"/>
        <v>0</v>
      </c>
      <c r="AO32" s="139">
        <f t="shared" si="4"/>
        <v>1.25</v>
      </c>
      <c r="AP32" s="139">
        <f t="shared" si="4"/>
        <v>5.3961406348208669</v>
      </c>
      <c r="AQ32" s="139">
        <f t="shared" si="4"/>
        <v>11.287460716530482</v>
      </c>
      <c r="AR32" s="8">
        <f t="shared" si="4"/>
        <v>0</v>
      </c>
      <c r="AS32" s="139">
        <f t="shared" si="4"/>
        <v>6</v>
      </c>
      <c r="AT32" s="200" t="s">
        <v>222</v>
      </c>
      <c r="AU32" s="200" t="s">
        <v>222</v>
      </c>
      <c r="AV32" s="200" t="s">
        <v>222</v>
      </c>
      <c r="AW32" s="200" t="s">
        <v>222</v>
      </c>
      <c r="AX32" s="200" t="s">
        <v>222</v>
      </c>
      <c r="AY32" s="386">
        <v>4</v>
      </c>
      <c r="AZ32" s="312">
        <f t="shared" si="5"/>
        <v>3</v>
      </c>
      <c r="BA32" s="155">
        <f t="shared" si="5"/>
        <v>24</v>
      </c>
      <c r="BB32" s="143">
        <v>46161</v>
      </c>
      <c r="BC32" s="23" t="s">
        <v>458</v>
      </c>
      <c r="BD32" s="23" t="s">
        <v>616</v>
      </c>
    </row>
    <row r="33" spans="1:56" ht="15.5">
      <c r="B33" s="5">
        <v>28</v>
      </c>
      <c r="C33" s="39">
        <v>46162</v>
      </c>
      <c r="D33" s="304">
        <v>46164</v>
      </c>
      <c r="E33" s="133">
        <v>5</v>
      </c>
      <c r="F33" s="155">
        <v>39</v>
      </c>
      <c r="G33" s="138">
        <v>0.1065</v>
      </c>
      <c r="H33" s="8">
        <v>0.29499999999999998</v>
      </c>
      <c r="I33" s="8">
        <v>0.28999999999999998</v>
      </c>
      <c r="J33" s="139">
        <v>42</v>
      </c>
      <c r="K33" s="139">
        <v>26.725332594235034</v>
      </c>
      <c r="L33" s="139">
        <v>63.631744271988175</v>
      </c>
      <c r="M33" s="8">
        <v>0.23</v>
      </c>
      <c r="N33" s="140">
        <v>76.5</v>
      </c>
      <c r="O33" s="339">
        <v>46226</v>
      </c>
      <c r="P33" s="28"/>
      <c r="Q33" s="30"/>
      <c r="R33" s="30"/>
      <c r="S33" s="305">
        <v>45</v>
      </c>
      <c r="T33" s="139">
        <v>31.05</v>
      </c>
      <c r="U33" s="139">
        <v>69</v>
      </c>
      <c r="V33" s="8"/>
      <c r="W33" s="140">
        <v>84</v>
      </c>
      <c r="X33" s="309">
        <v>46160</v>
      </c>
      <c r="Y33" s="309">
        <v>46160</v>
      </c>
      <c r="Z33" s="312">
        <v>4</v>
      </c>
      <c r="AA33" s="155">
        <v>25</v>
      </c>
      <c r="AB33" s="28">
        <v>0.1065</v>
      </c>
      <c r="AC33" s="30">
        <v>0.29499999999999998</v>
      </c>
      <c r="AD33" s="30">
        <v>0.28999999999999998</v>
      </c>
      <c r="AE33" s="385">
        <v>38.25</v>
      </c>
      <c r="AF33" s="385">
        <f t="shared" si="3"/>
        <v>27.731249999999999</v>
      </c>
      <c r="AG33" s="385">
        <v>72.5</v>
      </c>
      <c r="AH33" s="30">
        <v>0.21</v>
      </c>
      <c r="AI33" s="140">
        <v>83</v>
      </c>
      <c r="AJ33" s="141" t="s">
        <v>458</v>
      </c>
      <c r="AK33" s="141"/>
      <c r="AL33" s="138">
        <f t="shared" si="4"/>
        <v>0</v>
      </c>
      <c r="AM33" s="8">
        <f t="shared" si="4"/>
        <v>0</v>
      </c>
      <c r="AN33" s="8">
        <f t="shared" si="4"/>
        <v>0</v>
      </c>
      <c r="AO33" s="139">
        <f t="shared" si="4"/>
        <v>-3.75</v>
      </c>
      <c r="AP33" s="139">
        <f t="shared" si="4"/>
        <v>1.0059174057649649</v>
      </c>
      <c r="AQ33" s="139">
        <f t="shared" si="4"/>
        <v>8.8682557280118246</v>
      </c>
      <c r="AR33" s="8">
        <f t="shared" si="4"/>
        <v>-2.0000000000000018E-2</v>
      </c>
      <c r="AS33" s="139">
        <f t="shared" si="4"/>
        <v>6.5</v>
      </c>
      <c r="AT33" s="200" t="s">
        <v>222</v>
      </c>
      <c r="AU33" s="200" t="s">
        <v>222</v>
      </c>
      <c r="AV33" s="200" t="s">
        <v>222</v>
      </c>
      <c r="AW33" s="200" t="s">
        <v>222</v>
      </c>
      <c r="AX33" s="200" t="s">
        <v>222</v>
      </c>
      <c r="AY33" s="386">
        <v>4</v>
      </c>
      <c r="AZ33" s="312">
        <f t="shared" si="5"/>
        <v>4</v>
      </c>
      <c r="BA33" s="155">
        <f t="shared" si="5"/>
        <v>25</v>
      </c>
      <c r="BB33" s="143">
        <v>46161</v>
      </c>
      <c r="BC33" s="23" t="s">
        <v>458</v>
      </c>
      <c r="BD33" s="23" t="s">
        <v>616</v>
      </c>
    </row>
    <row r="34" spans="1:56" ht="15.5">
      <c r="B34" s="5">
        <v>28</v>
      </c>
      <c r="C34" s="39">
        <v>46162</v>
      </c>
      <c r="D34" s="304">
        <v>46164</v>
      </c>
      <c r="E34" s="133">
        <v>5</v>
      </c>
      <c r="F34" s="155">
        <v>40</v>
      </c>
      <c r="G34" s="138">
        <v>0.11374999999999999</v>
      </c>
      <c r="H34" s="8">
        <v>0.30499999999999999</v>
      </c>
      <c r="I34" s="8">
        <v>0.3</v>
      </c>
      <c r="J34" s="139">
        <v>41.25</v>
      </c>
      <c r="K34" s="139">
        <v>26.262440113240419</v>
      </c>
      <c r="L34" s="139">
        <v>63.666521486643433</v>
      </c>
      <c r="M34" s="8">
        <v>0.23</v>
      </c>
      <c r="N34" s="140">
        <v>76.5</v>
      </c>
      <c r="O34" s="339">
        <v>46226</v>
      </c>
      <c r="P34" s="140"/>
      <c r="Q34" s="140"/>
      <c r="R34" s="140"/>
      <c r="S34" s="305">
        <v>44</v>
      </c>
      <c r="T34" s="139">
        <v>29.04</v>
      </c>
      <c r="U34" s="139">
        <v>66</v>
      </c>
      <c r="V34" s="8"/>
      <c r="W34" s="140">
        <v>84</v>
      </c>
      <c r="X34" s="309">
        <v>46160</v>
      </c>
      <c r="Y34" s="309">
        <v>46160</v>
      </c>
      <c r="Z34" s="312">
        <v>4</v>
      </c>
      <c r="AA34" s="155">
        <v>26</v>
      </c>
      <c r="AB34" s="28">
        <v>0.11374999999999999</v>
      </c>
      <c r="AC34" s="30">
        <v>0.30499999999999999</v>
      </c>
      <c r="AD34" s="30">
        <v>0.3</v>
      </c>
      <c r="AE34" s="385">
        <v>40.75</v>
      </c>
      <c r="AF34" s="385">
        <f t="shared" si="3"/>
        <v>28.321249999999999</v>
      </c>
      <c r="AG34" s="385">
        <v>69.5</v>
      </c>
      <c r="AH34" s="30">
        <v>0.21</v>
      </c>
      <c r="AI34" s="140">
        <v>83</v>
      </c>
      <c r="AJ34" s="141" t="s">
        <v>458</v>
      </c>
      <c r="AK34" s="141"/>
      <c r="AL34" s="138">
        <f t="shared" si="4"/>
        <v>0</v>
      </c>
      <c r="AM34" s="8">
        <f t="shared" si="4"/>
        <v>0</v>
      </c>
      <c r="AN34" s="8">
        <f t="shared" si="4"/>
        <v>0</v>
      </c>
      <c r="AO34" s="139">
        <f t="shared" si="4"/>
        <v>-0.5</v>
      </c>
      <c r="AP34" s="139">
        <f t="shared" si="4"/>
        <v>2.0588098867595797</v>
      </c>
      <c r="AQ34" s="139">
        <f t="shared" si="4"/>
        <v>5.8334785133565674</v>
      </c>
      <c r="AR34" s="8">
        <f t="shared" si="4"/>
        <v>-2.0000000000000018E-2</v>
      </c>
      <c r="AS34" s="139">
        <f t="shared" si="4"/>
        <v>6.5</v>
      </c>
      <c r="AT34" s="200" t="s">
        <v>222</v>
      </c>
      <c r="AU34" s="200" t="s">
        <v>222</v>
      </c>
      <c r="AV34" s="200" t="s">
        <v>222</v>
      </c>
      <c r="AW34" s="200" t="s">
        <v>222</v>
      </c>
      <c r="AX34" s="200" t="s">
        <v>222</v>
      </c>
      <c r="AY34" s="386">
        <v>4</v>
      </c>
      <c r="AZ34" s="312">
        <f t="shared" si="5"/>
        <v>4</v>
      </c>
      <c r="BA34" s="155">
        <f t="shared" si="5"/>
        <v>26</v>
      </c>
      <c r="BB34" s="143">
        <v>46161</v>
      </c>
      <c r="BC34" s="23" t="s">
        <v>458</v>
      </c>
      <c r="BD34" s="23" t="s">
        <v>616</v>
      </c>
    </row>
    <row r="35" spans="1:56" ht="15.5">
      <c r="B35" s="5">
        <v>28</v>
      </c>
      <c r="C35" s="39">
        <v>46162</v>
      </c>
      <c r="D35" s="304">
        <v>46164</v>
      </c>
      <c r="E35" s="133">
        <v>6</v>
      </c>
      <c r="F35" s="155">
        <v>41</v>
      </c>
      <c r="G35" s="138">
        <v>0.111</v>
      </c>
      <c r="H35" s="8">
        <v>0.30000000000000004</v>
      </c>
      <c r="I35" s="8">
        <v>0.27</v>
      </c>
      <c r="J35" s="139">
        <v>39.75</v>
      </c>
      <c r="K35" s="139">
        <v>26.960437500000001</v>
      </c>
      <c r="L35" s="139">
        <v>67.825000000000003</v>
      </c>
      <c r="M35" s="8">
        <v>0.21</v>
      </c>
      <c r="N35" s="140">
        <v>74</v>
      </c>
      <c r="O35" s="339">
        <v>46226</v>
      </c>
      <c r="P35" s="140"/>
      <c r="Q35" s="140"/>
      <c r="R35" s="140"/>
      <c r="S35" s="305">
        <v>50</v>
      </c>
      <c r="T35" s="139">
        <v>30</v>
      </c>
      <c r="U35" s="139">
        <v>60</v>
      </c>
      <c r="V35" s="8"/>
      <c r="W35" s="305" t="s">
        <v>535</v>
      </c>
      <c r="X35" s="309">
        <v>46160</v>
      </c>
      <c r="Y35" s="309">
        <v>46160</v>
      </c>
      <c r="Z35" s="312">
        <v>4</v>
      </c>
      <c r="AA35" s="155">
        <v>27</v>
      </c>
      <c r="AB35" s="28">
        <v>0.111</v>
      </c>
      <c r="AC35" s="30">
        <v>0.30000000000000004</v>
      </c>
      <c r="AD35" s="30">
        <v>0.27</v>
      </c>
      <c r="AE35" s="385">
        <v>39.75</v>
      </c>
      <c r="AF35" s="385">
        <f t="shared" si="3"/>
        <v>28.520624999999999</v>
      </c>
      <c r="AG35" s="385">
        <v>71.75</v>
      </c>
      <c r="AH35" s="30">
        <v>0.21</v>
      </c>
      <c r="AI35" s="140">
        <v>83</v>
      </c>
      <c r="AJ35" s="141" t="s">
        <v>458</v>
      </c>
      <c r="AK35" s="141"/>
      <c r="AL35" s="138">
        <f t="shared" si="4"/>
        <v>0</v>
      </c>
      <c r="AM35" s="8">
        <f t="shared" si="4"/>
        <v>0</v>
      </c>
      <c r="AN35" s="8">
        <f t="shared" si="4"/>
        <v>0</v>
      </c>
      <c r="AO35" s="139">
        <f t="shared" si="4"/>
        <v>0</v>
      </c>
      <c r="AP35" s="139">
        <f t="shared" si="4"/>
        <v>1.5601874999999978</v>
      </c>
      <c r="AQ35" s="139">
        <f t="shared" si="4"/>
        <v>3.9249999999999972</v>
      </c>
      <c r="AR35" s="8">
        <f t="shared" si="4"/>
        <v>0</v>
      </c>
      <c r="AS35" s="139">
        <f t="shared" si="4"/>
        <v>9</v>
      </c>
      <c r="AT35" s="200" t="s">
        <v>222</v>
      </c>
      <c r="AU35" s="200" t="s">
        <v>222</v>
      </c>
      <c r="AV35" s="200" t="s">
        <v>222</v>
      </c>
      <c r="AW35" s="200" t="s">
        <v>222</v>
      </c>
      <c r="AX35" s="200" t="s">
        <v>222</v>
      </c>
      <c r="AY35" s="386">
        <v>4</v>
      </c>
      <c r="AZ35" s="312">
        <f t="shared" si="5"/>
        <v>4</v>
      </c>
      <c r="BA35" s="155">
        <f t="shared" si="5"/>
        <v>27</v>
      </c>
      <c r="BB35" s="143">
        <v>46163</v>
      </c>
      <c r="BC35" s="23" t="s">
        <v>458</v>
      </c>
      <c r="BD35" s="23" t="s">
        <v>616</v>
      </c>
    </row>
    <row r="36" spans="1:56" ht="15.5">
      <c r="B36" s="5">
        <v>28</v>
      </c>
      <c r="C36" s="39">
        <v>46162</v>
      </c>
      <c r="D36" s="304">
        <v>46164</v>
      </c>
      <c r="E36" s="133">
        <v>6</v>
      </c>
      <c r="F36" s="155">
        <v>42</v>
      </c>
      <c r="G36" s="138">
        <v>0.11175</v>
      </c>
      <c r="H36" s="8">
        <v>0.32750000000000001</v>
      </c>
      <c r="I36" s="8">
        <v>0.28999999999999998</v>
      </c>
      <c r="J36" s="139">
        <v>45.25</v>
      </c>
      <c r="K36" s="139">
        <v>29.231499999999997</v>
      </c>
      <c r="L36" s="139">
        <v>64.599999999999994</v>
      </c>
      <c r="M36" s="8">
        <v>0.21</v>
      </c>
      <c r="N36" s="140">
        <v>74</v>
      </c>
      <c r="O36" s="339">
        <v>46226</v>
      </c>
      <c r="P36" s="140"/>
      <c r="Q36" s="140"/>
      <c r="R36" s="140"/>
      <c r="S36" s="305">
        <v>43</v>
      </c>
      <c r="T36" s="139">
        <v>27.09</v>
      </c>
      <c r="U36" s="139">
        <v>63</v>
      </c>
      <c r="V36" s="8"/>
      <c r="W36" s="305" t="s">
        <v>537</v>
      </c>
      <c r="X36" s="309">
        <v>46160</v>
      </c>
      <c r="Y36" s="309">
        <v>46160</v>
      </c>
      <c r="Z36" s="312">
        <v>4</v>
      </c>
      <c r="AA36" s="155">
        <v>28</v>
      </c>
      <c r="AB36" s="28">
        <v>0.11175</v>
      </c>
      <c r="AC36" s="30">
        <v>0.32750000000000001</v>
      </c>
      <c r="AD36" s="30">
        <v>0.28999999999999998</v>
      </c>
      <c r="AE36" s="385">
        <v>39.75</v>
      </c>
      <c r="AF36" s="385">
        <f t="shared" si="3"/>
        <v>28.719374999999999</v>
      </c>
      <c r="AG36" s="385">
        <v>72.25</v>
      </c>
      <c r="AH36" s="30">
        <v>0.21</v>
      </c>
      <c r="AI36" s="140">
        <v>83</v>
      </c>
      <c r="AJ36" s="141" t="s">
        <v>458</v>
      </c>
      <c r="AK36" s="141"/>
      <c r="AL36" s="138">
        <f t="shared" si="4"/>
        <v>0</v>
      </c>
      <c r="AM36" s="8">
        <f t="shared" si="4"/>
        <v>0</v>
      </c>
      <c r="AN36" s="8">
        <f t="shared" si="4"/>
        <v>0</v>
      </c>
      <c r="AO36" s="139">
        <f t="shared" si="4"/>
        <v>-5.5</v>
      </c>
      <c r="AP36" s="139">
        <f t="shared" si="4"/>
        <v>-0.5121249999999975</v>
      </c>
      <c r="AQ36" s="139">
        <f t="shared" si="4"/>
        <v>7.6500000000000057</v>
      </c>
      <c r="AR36" s="8">
        <f t="shared" si="4"/>
        <v>0</v>
      </c>
      <c r="AS36" s="139">
        <f t="shared" si="4"/>
        <v>9</v>
      </c>
      <c r="AT36" s="200" t="s">
        <v>222</v>
      </c>
      <c r="AU36" s="200" t="s">
        <v>222</v>
      </c>
      <c r="AV36" s="200" t="s">
        <v>222</v>
      </c>
      <c r="AW36" s="200" t="s">
        <v>222</v>
      </c>
      <c r="AX36" s="200" t="s">
        <v>222</v>
      </c>
      <c r="AY36" s="386">
        <v>4</v>
      </c>
      <c r="AZ36" s="312">
        <f t="shared" si="5"/>
        <v>4</v>
      </c>
      <c r="BA36" s="155">
        <f t="shared" si="5"/>
        <v>28</v>
      </c>
      <c r="BB36" s="143">
        <v>46163</v>
      </c>
      <c r="BC36" s="23" t="s">
        <v>458</v>
      </c>
      <c r="BD36" s="23" t="s">
        <v>616</v>
      </c>
    </row>
    <row r="37" spans="1:56" ht="15.5">
      <c r="B37" s="5">
        <v>28</v>
      </c>
      <c r="C37" s="39">
        <v>46162</v>
      </c>
      <c r="D37" s="304">
        <v>46164</v>
      </c>
      <c r="E37" s="133">
        <v>6</v>
      </c>
      <c r="F37" s="155">
        <v>43</v>
      </c>
      <c r="G37" s="138">
        <v>0.11724999999999999</v>
      </c>
      <c r="H37" s="8">
        <v>0.31</v>
      </c>
      <c r="I37" s="8">
        <v>0.28999999999999998</v>
      </c>
      <c r="J37" s="139">
        <v>47.5</v>
      </c>
      <c r="K37" s="139">
        <v>27.775624999999994</v>
      </c>
      <c r="L37" s="139">
        <v>58.474999999999994</v>
      </c>
      <c r="M37" s="8">
        <v>0.21</v>
      </c>
      <c r="N37" s="140">
        <v>74</v>
      </c>
      <c r="O37" s="339">
        <v>46226</v>
      </c>
      <c r="P37" s="140"/>
      <c r="Q37" s="140"/>
      <c r="R37" s="140"/>
      <c r="S37" s="139" t="s">
        <v>539</v>
      </c>
      <c r="T37" s="139" t="s">
        <v>540</v>
      </c>
      <c r="U37" s="139" t="s">
        <v>541</v>
      </c>
      <c r="V37" s="8"/>
      <c r="W37" s="305" t="s">
        <v>542</v>
      </c>
      <c r="X37" s="309">
        <v>46160</v>
      </c>
      <c r="Y37" s="309">
        <v>46160</v>
      </c>
      <c r="Z37" s="312">
        <v>4</v>
      </c>
      <c r="AA37" s="155">
        <v>29</v>
      </c>
      <c r="AB37" s="28">
        <v>0.11724999999999999</v>
      </c>
      <c r="AC37" s="30">
        <v>0.31</v>
      </c>
      <c r="AD37" s="30">
        <v>0.28999999999999998</v>
      </c>
      <c r="AE37" s="385">
        <v>41.5</v>
      </c>
      <c r="AF37" s="385">
        <f t="shared" si="3"/>
        <v>28.946249999999999</v>
      </c>
      <c r="AG37" s="385">
        <v>69.75</v>
      </c>
      <c r="AH37" s="30">
        <v>0.21</v>
      </c>
      <c r="AI37" s="140">
        <v>82</v>
      </c>
      <c r="AJ37" s="141" t="s">
        <v>458</v>
      </c>
      <c r="AK37" s="141"/>
      <c r="AL37" s="138">
        <f t="shared" si="4"/>
        <v>0</v>
      </c>
      <c r="AM37" s="8">
        <f t="shared" si="4"/>
        <v>0</v>
      </c>
      <c r="AN37" s="8">
        <f t="shared" si="4"/>
        <v>0</v>
      </c>
      <c r="AO37" s="139">
        <f t="shared" si="4"/>
        <v>-6</v>
      </c>
      <c r="AP37" s="139">
        <f t="shared" si="4"/>
        <v>1.1706250000000047</v>
      </c>
      <c r="AQ37" s="139">
        <f t="shared" si="4"/>
        <v>11.275000000000006</v>
      </c>
      <c r="AR37" s="8">
        <f t="shared" si="4"/>
        <v>0</v>
      </c>
      <c r="AS37" s="139">
        <f t="shared" si="4"/>
        <v>8</v>
      </c>
      <c r="AT37" s="200" t="s">
        <v>222</v>
      </c>
      <c r="AU37" s="200" t="s">
        <v>222</v>
      </c>
      <c r="AV37" s="200" t="s">
        <v>222</v>
      </c>
      <c r="AW37" s="200" t="s">
        <v>222</v>
      </c>
      <c r="AX37" s="200" t="s">
        <v>222</v>
      </c>
      <c r="AY37" s="386">
        <v>4</v>
      </c>
      <c r="AZ37" s="312">
        <f t="shared" si="5"/>
        <v>4</v>
      </c>
      <c r="BA37" s="155">
        <f t="shared" si="5"/>
        <v>29</v>
      </c>
      <c r="BB37" s="143">
        <v>46163</v>
      </c>
      <c r="BC37" s="23" t="s">
        <v>458</v>
      </c>
      <c r="BD37" s="23" t="s">
        <v>616</v>
      </c>
    </row>
    <row r="38" spans="1:56" ht="15.5">
      <c r="B38" s="5">
        <v>4</v>
      </c>
      <c r="C38" s="39">
        <v>46163</v>
      </c>
      <c r="D38" s="304">
        <v>46165</v>
      </c>
      <c r="E38" s="133">
        <v>6</v>
      </c>
      <c r="F38" s="155">
        <v>45</v>
      </c>
      <c r="G38" s="138">
        <v>0.10975</v>
      </c>
      <c r="H38" s="8">
        <v>0.32250000000000001</v>
      </c>
      <c r="I38" s="8">
        <v>0.28000000000000003</v>
      </c>
      <c r="J38" s="139">
        <v>42.75</v>
      </c>
      <c r="K38" s="139">
        <v>30.021187499999996</v>
      </c>
      <c r="L38" s="139">
        <v>70.224999999999994</v>
      </c>
      <c r="M38" s="8">
        <v>0.21</v>
      </c>
      <c r="N38" s="140">
        <v>78</v>
      </c>
      <c r="O38" s="339">
        <v>46226</v>
      </c>
      <c r="P38" s="140"/>
      <c r="Q38" s="140"/>
      <c r="R38" s="140"/>
      <c r="S38" s="305">
        <v>42</v>
      </c>
      <c r="T38" s="139">
        <v>28.98</v>
      </c>
      <c r="U38" s="139">
        <v>69</v>
      </c>
      <c r="V38" s="8"/>
      <c r="W38" s="140">
        <v>82</v>
      </c>
      <c r="X38" s="309">
        <v>46160</v>
      </c>
      <c r="Y38" s="309">
        <v>46160</v>
      </c>
      <c r="Z38" s="312">
        <v>4</v>
      </c>
      <c r="AA38" s="155">
        <v>30</v>
      </c>
      <c r="AB38" s="28">
        <v>0.10975</v>
      </c>
      <c r="AC38" s="30">
        <v>0.32250000000000001</v>
      </c>
      <c r="AD38" s="30">
        <v>0.28000000000000003</v>
      </c>
      <c r="AE38" s="385">
        <v>40.75</v>
      </c>
      <c r="AF38" s="385">
        <f t="shared" si="3"/>
        <v>28.830625000000001</v>
      </c>
      <c r="AG38" s="385">
        <v>70.75</v>
      </c>
      <c r="AH38" s="30">
        <v>0.21</v>
      </c>
      <c r="AI38" s="140">
        <v>82</v>
      </c>
      <c r="AJ38" s="141" t="s">
        <v>458</v>
      </c>
      <c r="AK38" s="141"/>
      <c r="AL38" s="138">
        <f t="shared" si="4"/>
        <v>0</v>
      </c>
      <c r="AM38" s="8">
        <f t="shared" si="4"/>
        <v>0</v>
      </c>
      <c r="AN38" s="8">
        <f t="shared" si="4"/>
        <v>0</v>
      </c>
      <c r="AO38" s="139">
        <f t="shared" si="4"/>
        <v>-2</v>
      </c>
      <c r="AP38" s="139">
        <f t="shared" si="4"/>
        <v>-1.1905624999999951</v>
      </c>
      <c r="AQ38" s="139">
        <f t="shared" si="4"/>
        <v>0.52500000000000568</v>
      </c>
      <c r="AR38" s="8">
        <f t="shared" si="4"/>
        <v>0</v>
      </c>
      <c r="AS38" s="139">
        <f t="shared" si="4"/>
        <v>4</v>
      </c>
      <c r="AT38" s="200" t="s">
        <v>222</v>
      </c>
      <c r="AU38" s="200" t="s">
        <v>222</v>
      </c>
      <c r="AV38" s="200" t="s">
        <v>222</v>
      </c>
      <c r="AW38" s="200" t="s">
        <v>222</v>
      </c>
      <c r="AX38" s="200" t="s">
        <v>222</v>
      </c>
      <c r="AY38" s="386">
        <v>4</v>
      </c>
      <c r="AZ38" s="312">
        <f t="shared" si="5"/>
        <v>4</v>
      </c>
      <c r="BA38" s="155">
        <f t="shared" si="5"/>
        <v>30</v>
      </c>
      <c r="BB38" s="143">
        <v>46163</v>
      </c>
      <c r="BC38" s="23" t="s">
        <v>458</v>
      </c>
      <c r="BD38" s="23" t="s">
        <v>616</v>
      </c>
    </row>
    <row r="39" spans="1:56" ht="15.5">
      <c r="B39" s="5">
        <v>4</v>
      </c>
      <c r="C39" s="39">
        <v>46163</v>
      </c>
      <c r="D39" s="304">
        <v>46165</v>
      </c>
      <c r="E39" s="133">
        <v>6</v>
      </c>
      <c r="F39" s="155">
        <v>46</v>
      </c>
      <c r="G39" s="138">
        <v>0.1085</v>
      </c>
      <c r="H39" s="8">
        <v>0.3175</v>
      </c>
      <c r="I39" s="8">
        <v>0.28999999999999998</v>
      </c>
      <c r="J39" s="139">
        <v>43.5</v>
      </c>
      <c r="K39" s="139">
        <v>28.079249999999998</v>
      </c>
      <c r="L39" s="139">
        <v>64.55</v>
      </c>
      <c r="M39" s="8">
        <v>0.21</v>
      </c>
      <c r="N39" s="140">
        <v>78</v>
      </c>
      <c r="O39" s="339">
        <v>46226</v>
      </c>
      <c r="P39" s="140"/>
      <c r="Q39" s="140"/>
      <c r="R39" s="140"/>
      <c r="S39" s="305">
        <v>50</v>
      </c>
      <c r="T39" s="139">
        <v>33</v>
      </c>
      <c r="U39" s="139">
        <v>66</v>
      </c>
      <c r="V39" s="8"/>
      <c r="W39" s="140">
        <v>88</v>
      </c>
      <c r="X39" s="309">
        <v>46160</v>
      </c>
      <c r="Y39" s="309">
        <v>46160</v>
      </c>
      <c r="Z39" s="312">
        <v>4</v>
      </c>
      <c r="AA39" s="155">
        <v>31</v>
      </c>
      <c r="AB39" s="28">
        <v>0.1085</v>
      </c>
      <c r="AC39" s="30">
        <v>0.3175</v>
      </c>
      <c r="AD39" s="30">
        <v>0.28999999999999998</v>
      </c>
      <c r="AE39" s="385">
        <v>41.75</v>
      </c>
      <c r="AF39" s="385">
        <f t="shared" si="3"/>
        <v>29.955625000000001</v>
      </c>
      <c r="AG39" s="385">
        <v>71.75</v>
      </c>
      <c r="AH39" s="30">
        <v>0.21</v>
      </c>
      <c r="AI39" s="140">
        <v>82</v>
      </c>
      <c r="AJ39" s="141" t="s">
        <v>458</v>
      </c>
      <c r="AK39" s="141"/>
      <c r="AL39" s="138">
        <f t="shared" si="4"/>
        <v>0</v>
      </c>
      <c r="AM39" s="8">
        <f t="shared" si="4"/>
        <v>0</v>
      </c>
      <c r="AN39" s="8">
        <f t="shared" si="4"/>
        <v>0</v>
      </c>
      <c r="AO39" s="139">
        <f t="shared" si="4"/>
        <v>-1.75</v>
      </c>
      <c r="AP39" s="139">
        <f t="shared" si="4"/>
        <v>1.876375000000003</v>
      </c>
      <c r="AQ39" s="139">
        <f t="shared" si="4"/>
        <v>7.2000000000000028</v>
      </c>
      <c r="AR39" s="8">
        <f t="shared" si="4"/>
        <v>0</v>
      </c>
      <c r="AS39" s="139">
        <f t="shared" si="4"/>
        <v>4</v>
      </c>
      <c r="AT39" s="200" t="s">
        <v>222</v>
      </c>
      <c r="AU39" s="200" t="s">
        <v>222</v>
      </c>
      <c r="AV39" s="200" t="s">
        <v>222</v>
      </c>
      <c r="AW39" s="200" t="s">
        <v>222</v>
      </c>
      <c r="AX39" s="200" t="s">
        <v>222</v>
      </c>
      <c r="AY39" s="386">
        <v>4</v>
      </c>
      <c r="AZ39" s="312">
        <f t="shared" si="5"/>
        <v>4</v>
      </c>
      <c r="BA39" s="155">
        <f t="shared" si="5"/>
        <v>31</v>
      </c>
      <c r="BB39" s="143">
        <v>46163</v>
      </c>
      <c r="BC39" s="23" t="s">
        <v>458</v>
      </c>
      <c r="BD39" s="23" t="s">
        <v>616</v>
      </c>
    </row>
    <row r="40" spans="1:56" ht="15.5">
      <c r="B40" s="5">
        <v>4</v>
      </c>
      <c r="C40" s="39">
        <v>46163</v>
      </c>
      <c r="D40" s="304">
        <v>46165</v>
      </c>
      <c r="E40" s="133">
        <v>6</v>
      </c>
      <c r="F40" s="155">
        <v>47</v>
      </c>
      <c r="G40" s="138">
        <v>0.11424999999999999</v>
      </c>
      <c r="H40" s="8">
        <v>0.32750000000000001</v>
      </c>
      <c r="I40" s="8">
        <v>0.3</v>
      </c>
      <c r="J40" s="139">
        <v>45</v>
      </c>
      <c r="K40" s="139">
        <v>26.505000000000006</v>
      </c>
      <c r="L40" s="139">
        <v>58.900000000000006</v>
      </c>
      <c r="M40" s="8">
        <v>0.21</v>
      </c>
      <c r="N40" s="140">
        <v>78</v>
      </c>
      <c r="O40" s="339">
        <v>46226</v>
      </c>
      <c r="P40" s="140"/>
      <c r="Q40" s="140"/>
      <c r="R40" s="140"/>
      <c r="S40" s="387" t="s">
        <v>546</v>
      </c>
      <c r="T40" s="139" t="s">
        <v>547</v>
      </c>
      <c r="U40" s="387" t="s">
        <v>548</v>
      </c>
      <c r="V40" s="8"/>
      <c r="W40" s="140">
        <v>87</v>
      </c>
      <c r="X40" s="309">
        <v>46160</v>
      </c>
      <c r="Y40" s="309">
        <v>46160</v>
      </c>
      <c r="Z40" s="312">
        <v>4</v>
      </c>
      <c r="AA40" s="155">
        <v>32</v>
      </c>
      <c r="AB40" s="28">
        <v>0.11424999999999999</v>
      </c>
      <c r="AC40" s="30">
        <v>0.32750000000000001</v>
      </c>
      <c r="AD40" s="30">
        <v>0.3</v>
      </c>
      <c r="AE40" s="385">
        <v>41</v>
      </c>
      <c r="AF40" s="385">
        <f t="shared" si="3"/>
        <v>28.29</v>
      </c>
      <c r="AG40" s="385">
        <v>69</v>
      </c>
      <c r="AH40" s="30">
        <v>0.21</v>
      </c>
      <c r="AI40" s="140">
        <v>82</v>
      </c>
      <c r="AJ40" s="141" t="s">
        <v>458</v>
      </c>
      <c r="AK40" s="141"/>
      <c r="AL40" s="138">
        <f t="shared" si="4"/>
        <v>0</v>
      </c>
      <c r="AM40" s="8">
        <f t="shared" si="4"/>
        <v>0</v>
      </c>
      <c r="AN40" s="8">
        <f t="shared" si="4"/>
        <v>0</v>
      </c>
      <c r="AO40" s="139">
        <f t="shared" si="4"/>
        <v>-4</v>
      </c>
      <c r="AP40" s="139">
        <f t="shared" si="4"/>
        <v>1.784999999999993</v>
      </c>
      <c r="AQ40" s="139">
        <f t="shared" si="4"/>
        <v>10.099999999999994</v>
      </c>
      <c r="AR40" s="8">
        <f t="shared" si="4"/>
        <v>0</v>
      </c>
      <c r="AS40" s="139">
        <f t="shared" si="4"/>
        <v>4</v>
      </c>
      <c r="AT40" s="200" t="s">
        <v>222</v>
      </c>
      <c r="AU40" s="200" t="s">
        <v>222</v>
      </c>
      <c r="AV40" s="200" t="s">
        <v>222</v>
      </c>
      <c r="AW40" s="200" t="s">
        <v>222</v>
      </c>
      <c r="AX40" s="200" t="s">
        <v>222</v>
      </c>
      <c r="AY40" s="386">
        <v>4</v>
      </c>
      <c r="AZ40" s="312">
        <f t="shared" si="5"/>
        <v>4</v>
      </c>
      <c r="BA40" s="155">
        <f t="shared" si="5"/>
        <v>32</v>
      </c>
      <c r="BB40" s="143">
        <v>46163</v>
      </c>
      <c r="BC40" s="23" t="s">
        <v>458</v>
      </c>
      <c r="BD40" s="23" t="s">
        <v>616</v>
      </c>
    </row>
    <row r="41" spans="1:56" ht="15.5">
      <c r="B41" s="5">
        <v>4</v>
      </c>
      <c r="C41" s="39">
        <v>46163</v>
      </c>
      <c r="D41" s="304">
        <v>46165</v>
      </c>
      <c r="E41" s="133">
        <v>6</v>
      </c>
      <c r="F41" s="155">
        <v>48</v>
      </c>
      <c r="G41" s="138">
        <v>0.11075</v>
      </c>
      <c r="H41" s="8">
        <v>0.30499999999999999</v>
      </c>
      <c r="I41" s="8">
        <v>0.3</v>
      </c>
      <c r="J41" s="139">
        <v>45.5</v>
      </c>
      <c r="K41" s="139">
        <v>29.006250000000005</v>
      </c>
      <c r="L41" s="139">
        <v>63.750000000000007</v>
      </c>
      <c r="M41" s="8">
        <v>0.21</v>
      </c>
      <c r="N41" s="140">
        <v>78</v>
      </c>
      <c r="O41" s="339">
        <v>46226</v>
      </c>
      <c r="P41" s="140"/>
      <c r="Q41" s="140"/>
      <c r="R41" s="140"/>
      <c r="S41" s="305">
        <v>46</v>
      </c>
      <c r="T41" s="139">
        <v>30.82</v>
      </c>
      <c r="U41" s="139">
        <v>67</v>
      </c>
      <c r="V41" s="8"/>
      <c r="W41" s="140">
        <v>90</v>
      </c>
      <c r="X41" s="309">
        <v>46160</v>
      </c>
      <c r="Y41" s="309">
        <v>46161</v>
      </c>
      <c r="Z41" s="312">
        <v>5</v>
      </c>
      <c r="AA41" s="155">
        <v>33</v>
      </c>
      <c r="AB41" s="28">
        <v>0.11075</v>
      </c>
      <c r="AC41" s="30">
        <v>0.30499999999999999</v>
      </c>
      <c r="AD41" s="30">
        <v>0.3</v>
      </c>
      <c r="AE41" s="385">
        <v>39</v>
      </c>
      <c r="AF41" s="385">
        <f t="shared" si="3"/>
        <v>27.982500000000002</v>
      </c>
      <c r="AG41" s="385">
        <v>71.75</v>
      </c>
      <c r="AH41" s="30">
        <v>0.21</v>
      </c>
      <c r="AI41" s="140">
        <v>80</v>
      </c>
      <c r="AJ41" s="141" t="s">
        <v>458</v>
      </c>
      <c r="AK41" s="141"/>
      <c r="AL41" s="138">
        <f t="shared" si="4"/>
        <v>0</v>
      </c>
      <c r="AM41" s="8">
        <f t="shared" si="4"/>
        <v>0</v>
      </c>
      <c r="AN41" s="8">
        <f t="shared" si="4"/>
        <v>0</v>
      </c>
      <c r="AO41" s="139">
        <f t="shared" si="4"/>
        <v>-6.5</v>
      </c>
      <c r="AP41" s="139">
        <f t="shared" si="4"/>
        <v>-1.0237500000000033</v>
      </c>
      <c r="AQ41" s="139">
        <f t="shared" si="4"/>
        <v>7.9999999999999929</v>
      </c>
      <c r="AR41" s="8">
        <f t="shared" si="4"/>
        <v>0</v>
      </c>
      <c r="AS41" s="139">
        <f t="shared" si="4"/>
        <v>2</v>
      </c>
      <c r="AT41" s="200" t="s">
        <v>222</v>
      </c>
      <c r="AU41" s="200" t="s">
        <v>222</v>
      </c>
      <c r="AV41" s="200" t="s">
        <v>222</v>
      </c>
      <c r="AW41" s="200" t="s">
        <v>222</v>
      </c>
      <c r="AX41" s="200" t="s">
        <v>222</v>
      </c>
      <c r="AY41" s="386">
        <v>4</v>
      </c>
      <c r="AZ41" s="312">
        <f t="shared" si="5"/>
        <v>5</v>
      </c>
      <c r="BA41" s="155">
        <f t="shared" si="5"/>
        <v>33</v>
      </c>
      <c r="BB41" s="143">
        <v>46163</v>
      </c>
      <c r="BC41" s="23" t="s">
        <v>458</v>
      </c>
      <c r="BD41" s="23" t="s">
        <v>616</v>
      </c>
    </row>
    <row r="42" spans="1:56" ht="15.5">
      <c r="B42" s="5">
        <v>4</v>
      </c>
      <c r="C42" s="39">
        <v>46163</v>
      </c>
      <c r="D42" s="304">
        <v>46165</v>
      </c>
      <c r="E42" s="133">
        <v>7</v>
      </c>
      <c r="F42" s="155">
        <v>49</v>
      </c>
      <c r="G42" s="138">
        <v>0.108</v>
      </c>
      <c r="H42" s="8">
        <v>0.32500000000000001</v>
      </c>
      <c r="I42" s="8">
        <v>0.31</v>
      </c>
      <c r="J42" s="139">
        <v>42.25</v>
      </c>
      <c r="K42" s="139">
        <v>29.448250000000002</v>
      </c>
      <c r="L42" s="139">
        <v>69.7</v>
      </c>
      <c r="M42" s="8">
        <v>0.21</v>
      </c>
      <c r="N42" s="140">
        <v>80</v>
      </c>
      <c r="O42" s="339">
        <v>46226</v>
      </c>
      <c r="P42" s="140"/>
      <c r="Q42" s="140"/>
      <c r="R42" s="140"/>
      <c r="S42" s="305">
        <v>48</v>
      </c>
      <c r="T42" s="139">
        <v>32.159999999999997</v>
      </c>
      <c r="U42" s="139">
        <v>67</v>
      </c>
      <c r="V42" s="8"/>
      <c r="W42" s="140">
        <v>89</v>
      </c>
      <c r="X42" s="309">
        <v>46160</v>
      </c>
      <c r="Y42" s="309">
        <v>46161</v>
      </c>
      <c r="Z42" s="312">
        <v>5</v>
      </c>
      <c r="AA42" s="155">
        <v>34</v>
      </c>
      <c r="AB42" s="28">
        <v>0.108</v>
      </c>
      <c r="AC42" s="30">
        <v>0.32500000000000001</v>
      </c>
      <c r="AD42" s="30">
        <v>0.31</v>
      </c>
      <c r="AE42" s="385">
        <v>40</v>
      </c>
      <c r="AF42" s="385">
        <f t="shared" si="3"/>
        <v>27.8</v>
      </c>
      <c r="AG42" s="385">
        <v>69.5</v>
      </c>
      <c r="AH42" s="30">
        <v>0.21</v>
      </c>
      <c r="AI42" s="140">
        <v>80</v>
      </c>
      <c r="AJ42" s="141" t="s">
        <v>458</v>
      </c>
      <c r="AK42" s="141"/>
      <c r="AL42" s="138">
        <f t="shared" si="4"/>
        <v>0</v>
      </c>
      <c r="AM42" s="8">
        <f t="shared" si="4"/>
        <v>0</v>
      </c>
      <c r="AN42" s="8">
        <f t="shared" si="4"/>
        <v>0</v>
      </c>
      <c r="AO42" s="139">
        <f t="shared" si="4"/>
        <v>-2.25</v>
      </c>
      <c r="AP42" s="139">
        <f t="shared" si="4"/>
        <v>-1.6482500000000009</v>
      </c>
      <c r="AQ42" s="139">
        <f t="shared" si="4"/>
        <v>-0.20000000000000284</v>
      </c>
      <c r="AR42" s="8">
        <f t="shared" si="4"/>
        <v>0</v>
      </c>
      <c r="AS42" s="139">
        <f t="shared" si="4"/>
        <v>0</v>
      </c>
      <c r="AT42" s="200" t="s">
        <v>222</v>
      </c>
      <c r="AU42" s="200" t="s">
        <v>222</v>
      </c>
      <c r="AV42" s="200" t="s">
        <v>222</v>
      </c>
      <c r="AW42" s="200" t="s">
        <v>222</v>
      </c>
      <c r="AX42" s="200" t="s">
        <v>222</v>
      </c>
      <c r="AY42" s="386">
        <v>4</v>
      </c>
      <c r="AZ42" s="312">
        <f t="shared" si="5"/>
        <v>5</v>
      </c>
      <c r="BA42" s="155">
        <f t="shared" si="5"/>
        <v>34</v>
      </c>
      <c r="BB42" s="143">
        <v>46164</v>
      </c>
      <c r="BC42" s="23" t="s">
        <v>458</v>
      </c>
      <c r="BD42" s="23" t="s">
        <v>616</v>
      </c>
    </row>
    <row r="43" spans="1:56" ht="15.5">
      <c r="B43" s="5">
        <v>4</v>
      </c>
      <c r="C43" s="39">
        <v>46163</v>
      </c>
      <c r="D43" s="304">
        <v>46165</v>
      </c>
      <c r="E43" s="133">
        <v>7</v>
      </c>
      <c r="F43" s="155">
        <v>51</v>
      </c>
      <c r="G43" s="138">
        <v>0.11025</v>
      </c>
      <c r="H43" s="8">
        <v>0.32500000000000001</v>
      </c>
      <c r="I43" s="8">
        <v>0.26</v>
      </c>
      <c r="J43" s="139">
        <v>40.25</v>
      </c>
      <c r="K43" s="139">
        <v>25.297125000000001</v>
      </c>
      <c r="L43" s="139">
        <v>62.85</v>
      </c>
      <c r="M43" s="8">
        <v>0.21</v>
      </c>
      <c r="N43" s="140">
        <v>80</v>
      </c>
      <c r="O43" s="339">
        <v>46226</v>
      </c>
      <c r="P43" s="140"/>
      <c r="Q43" s="140"/>
      <c r="R43" s="140"/>
      <c r="S43" s="305">
        <v>43</v>
      </c>
      <c r="T43" s="139">
        <v>30.1</v>
      </c>
      <c r="U43" s="139">
        <v>70</v>
      </c>
      <c r="V43" s="8"/>
      <c r="W43" s="140">
        <v>82</v>
      </c>
      <c r="X43" s="309">
        <v>46160</v>
      </c>
      <c r="Y43" s="309">
        <v>46161</v>
      </c>
      <c r="Z43" s="312">
        <v>5</v>
      </c>
      <c r="AA43" s="155">
        <v>35</v>
      </c>
      <c r="AB43" s="28">
        <v>0.11025</v>
      </c>
      <c r="AC43" s="30">
        <v>0.32500000000000001</v>
      </c>
      <c r="AD43" s="30">
        <v>0.26</v>
      </c>
      <c r="AE43" s="385">
        <v>37.75</v>
      </c>
      <c r="AF43" s="385">
        <f t="shared" si="3"/>
        <v>27.274374999999999</v>
      </c>
      <c r="AG43" s="385">
        <v>72.25</v>
      </c>
      <c r="AH43" s="30">
        <v>0.21</v>
      </c>
      <c r="AI43" s="140">
        <v>80</v>
      </c>
      <c r="AJ43" s="141" t="s">
        <v>458</v>
      </c>
      <c r="AK43" s="141"/>
      <c r="AL43" s="138">
        <f t="shared" si="4"/>
        <v>0</v>
      </c>
      <c r="AM43" s="8">
        <f t="shared" si="4"/>
        <v>0</v>
      </c>
      <c r="AN43" s="8">
        <f t="shared" si="4"/>
        <v>0</v>
      </c>
      <c r="AO43" s="139">
        <f t="shared" si="4"/>
        <v>-2.5</v>
      </c>
      <c r="AP43" s="139">
        <f t="shared" si="4"/>
        <v>1.977249999999998</v>
      </c>
      <c r="AQ43" s="139">
        <f t="shared" si="4"/>
        <v>9.3999999999999986</v>
      </c>
      <c r="AR43" s="8">
        <f t="shared" si="4"/>
        <v>0</v>
      </c>
      <c r="AS43" s="139">
        <f t="shared" si="4"/>
        <v>0</v>
      </c>
      <c r="AT43" s="200" t="s">
        <v>222</v>
      </c>
      <c r="AU43" s="200" t="s">
        <v>222</v>
      </c>
      <c r="AV43" s="200" t="s">
        <v>222</v>
      </c>
      <c r="AW43" s="200" t="s">
        <v>222</v>
      </c>
      <c r="AX43" s="200" t="s">
        <v>222</v>
      </c>
      <c r="AY43" s="386">
        <v>4</v>
      </c>
      <c r="AZ43" s="312">
        <f t="shared" si="5"/>
        <v>5</v>
      </c>
      <c r="BA43" s="155">
        <f t="shared" si="5"/>
        <v>35</v>
      </c>
      <c r="BB43" s="143">
        <v>46164</v>
      </c>
      <c r="BC43" s="23" t="s">
        <v>458</v>
      </c>
      <c r="BD43" s="23" t="s">
        <v>616</v>
      </c>
    </row>
    <row r="44" spans="1:56" ht="15.5">
      <c r="B44" s="388">
        <v>4</v>
      </c>
      <c r="C44" s="389">
        <v>46163</v>
      </c>
      <c r="D44" s="390">
        <v>46165</v>
      </c>
      <c r="E44" s="187">
        <v>7</v>
      </c>
      <c r="F44" s="188">
        <v>52</v>
      </c>
      <c r="G44" s="189">
        <v>0.111</v>
      </c>
      <c r="H44" s="190">
        <v>0.34499999999999997</v>
      </c>
      <c r="I44" s="190">
        <v>0.28000000000000003</v>
      </c>
      <c r="J44" s="191">
        <v>46.5</v>
      </c>
      <c r="K44" s="191">
        <v>28.260375</v>
      </c>
      <c r="L44" s="191">
        <v>60.774999999999999</v>
      </c>
      <c r="M44" s="190">
        <v>0.21</v>
      </c>
      <c r="N44" s="391">
        <v>80</v>
      </c>
      <c r="O44" s="339"/>
      <c r="P44" s="391"/>
      <c r="Q44" s="391"/>
      <c r="R44" s="391"/>
      <c r="S44" s="191"/>
      <c r="T44" s="191"/>
      <c r="U44" s="191"/>
      <c r="V44" s="190"/>
      <c r="W44" s="391"/>
      <c r="X44" s="309">
        <v>46160</v>
      </c>
      <c r="Y44" s="309">
        <v>46161</v>
      </c>
      <c r="Z44" s="312">
        <v>5</v>
      </c>
      <c r="AA44" s="155">
        <v>36</v>
      </c>
      <c r="AB44" s="28">
        <v>0.111</v>
      </c>
      <c r="AC44" s="30">
        <v>0.34499999999999997</v>
      </c>
      <c r="AD44" s="30">
        <v>0.28000000000000003</v>
      </c>
      <c r="AE44" s="385">
        <v>40.25</v>
      </c>
      <c r="AF44" s="385">
        <f t="shared" si="3"/>
        <v>28.074375</v>
      </c>
      <c r="AG44" s="385">
        <v>69.75</v>
      </c>
      <c r="AH44" s="30">
        <v>0.21</v>
      </c>
      <c r="AI44" s="140">
        <v>80</v>
      </c>
      <c r="AJ44" s="141" t="s">
        <v>458</v>
      </c>
      <c r="AK44" s="141"/>
      <c r="AL44" s="138">
        <f t="shared" si="4"/>
        <v>0</v>
      </c>
      <c r="AM44" s="8">
        <f t="shared" si="4"/>
        <v>0</v>
      </c>
      <c r="AN44" s="8">
        <f t="shared" si="4"/>
        <v>0</v>
      </c>
      <c r="AO44" s="139">
        <f t="shared" si="4"/>
        <v>-6.25</v>
      </c>
      <c r="AP44" s="139">
        <f t="shared" si="4"/>
        <v>-0.18599999999999994</v>
      </c>
      <c r="AQ44" s="139">
        <f t="shared" si="4"/>
        <v>8.9750000000000014</v>
      </c>
      <c r="AR44" s="8">
        <f t="shared" si="4"/>
        <v>0</v>
      </c>
      <c r="AS44" s="139">
        <f t="shared" si="4"/>
        <v>0</v>
      </c>
      <c r="AT44" s="200" t="s">
        <v>222</v>
      </c>
      <c r="AU44" s="200" t="s">
        <v>222</v>
      </c>
      <c r="AV44" s="200" t="s">
        <v>222</v>
      </c>
      <c r="AW44" s="200" t="s">
        <v>222</v>
      </c>
      <c r="AX44" s="200" t="s">
        <v>222</v>
      </c>
      <c r="AY44" s="386">
        <v>4</v>
      </c>
      <c r="AZ44" s="312">
        <f t="shared" si="5"/>
        <v>5</v>
      </c>
      <c r="BA44" s="155">
        <f t="shared" si="5"/>
        <v>36</v>
      </c>
      <c r="BB44" s="143">
        <v>46164</v>
      </c>
      <c r="BC44" s="23" t="s">
        <v>458</v>
      </c>
      <c r="BD44" s="23" t="s">
        <v>616</v>
      </c>
    </row>
    <row r="45" spans="1:56" ht="15.5">
      <c r="A45" s="344" t="s">
        <v>617</v>
      </c>
      <c r="B45" s="5">
        <v>28</v>
      </c>
      <c r="C45" s="39">
        <v>46162</v>
      </c>
      <c r="D45" s="304">
        <v>46164</v>
      </c>
      <c r="E45" s="133">
        <v>5</v>
      </c>
      <c r="F45" s="155">
        <v>38</v>
      </c>
      <c r="G45" s="138">
        <v>0.11824999999999999</v>
      </c>
      <c r="H45" s="8">
        <v>0.31</v>
      </c>
      <c r="I45" s="8">
        <v>0.38</v>
      </c>
      <c r="J45" s="139">
        <v>40</v>
      </c>
      <c r="K45" s="139">
        <v>27.976666666666667</v>
      </c>
      <c r="L45" s="139">
        <v>69.941666666666663</v>
      </c>
      <c r="M45" s="8">
        <v>0.23</v>
      </c>
      <c r="N45" s="140">
        <v>76.5</v>
      </c>
      <c r="O45" s="339">
        <v>46226</v>
      </c>
      <c r="P45" s="138"/>
      <c r="Q45" s="8"/>
      <c r="R45" s="8"/>
      <c r="S45" s="305">
        <v>43</v>
      </c>
      <c r="T45" s="139">
        <v>30.1</v>
      </c>
      <c r="U45" s="139">
        <v>70</v>
      </c>
      <c r="V45" s="8"/>
      <c r="W45" s="140">
        <v>85</v>
      </c>
      <c r="X45" s="309">
        <v>46167</v>
      </c>
      <c r="Y45" s="309">
        <v>46167</v>
      </c>
      <c r="Z45" s="312">
        <v>5</v>
      </c>
      <c r="AA45" s="392">
        <v>37</v>
      </c>
      <c r="AB45" s="28">
        <v>0.11824999999999999</v>
      </c>
      <c r="AC45" s="30">
        <v>0.31</v>
      </c>
      <c r="AD45" s="30">
        <v>0.38</v>
      </c>
      <c r="AE45" s="385">
        <v>39.75</v>
      </c>
      <c r="AF45" s="385">
        <f t="shared" si="3"/>
        <v>28.818750000000001</v>
      </c>
      <c r="AG45" s="385">
        <v>72.5</v>
      </c>
      <c r="AH45" s="30">
        <v>0.23</v>
      </c>
      <c r="AI45" s="140">
        <v>83</v>
      </c>
      <c r="AJ45" s="141" t="s">
        <v>458</v>
      </c>
      <c r="AK45" s="141"/>
      <c r="AL45" s="138">
        <f t="shared" si="4"/>
        <v>0</v>
      </c>
      <c r="AM45" s="8">
        <f t="shared" si="4"/>
        <v>0</v>
      </c>
      <c r="AN45" s="8">
        <f t="shared" si="4"/>
        <v>0</v>
      </c>
      <c r="AO45" s="139">
        <f t="shared" si="4"/>
        <v>-0.25</v>
      </c>
      <c r="AP45" s="139">
        <f t="shared" si="4"/>
        <v>0.84208333333333485</v>
      </c>
      <c r="AQ45" s="139">
        <f t="shared" si="4"/>
        <v>2.5583333333333371</v>
      </c>
      <c r="AR45" s="8">
        <f t="shared" si="4"/>
        <v>0</v>
      </c>
      <c r="AS45" s="139">
        <f t="shared" si="4"/>
        <v>6.5</v>
      </c>
      <c r="AT45" s="200" t="s">
        <v>222</v>
      </c>
      <c r="AU45" s="200" t="s">
        <v>222</v>
      </c>
      <c r="AV45" s="200" t="s">
        <v>222</v>
      </c>
      <c r="AW45" s="200" t="s">
        <v>222</v>
      </c>
      <c r="AX45" s="200" t="s">
        <v>222</v>
      </c>
      <c r="AY45" s="386">
        <v>5</v>
      </c>
      <c r="AZ45" s="312">
        <f t="shared" si="5"/>
        <v>5</v>
      </c>
      <c r="BA45" s="155">
        <f t="shared" si="5"/>
        <v>37</v>
      </c>
      <c r="BB45" s="143">
        <v>46161</v>
      </c>
      <c r="BC45" s="23" t="s">
        <v>458</v>
      </c>
      <c r="BD45" s="23" t="s">
        <v>550</v>
      </c>
    </row>
    <row r="46" spans="1:56" s="250" customFormat="1" ht="15.5">
      <c r="B46" s="228">
        <v>4</v>
      </c>
      <c r="C46" s="393">
        <v>46163</v>
      </c>
      <c r="D46" s="232">
        <v>46165</v>
      </c>
      <c r="E46" s="233">
        <v>7</v>
      </c>
      <c r="F46" s="234">
        <v>50</v>
      </c>
      <c r="G46" s="235">
        <v>0.1095</v>
      </c>
      <c r="H46" s="236">
        <v>0.33</v>
      </c>
      <c r="I46" s="236">
        <v>0.27</v>
      </c>
      <c r="J46" s="237">
        <v>45.25</v>
      </c>
      <c r="K46" s="237">
        <v>28.733750000000001</v>
      </c>
      <c r="L46" s="237">
        <v>63.5</v>
      </c>
      <c r="M46" s="236">
        <v>0.21</v>
      </c>
      <c r="N46" s="238">
        <v>80</v>
      </c>
      <c r="O46" s="341"/>
      <c r="P46" s="235"/>
      <c r="Q46" s="236"/>
      <c r="R46" s="236"/>
      <c r="S46" s="237"/>
      <c r="T46" s="237"/>
      <c r="U46" s="237"/>
      <c r="V46" s="236"/>
      <c r="W46" s="238"/>
      <c r="X46" s="309">
        <v>46167</v>
      </c>
      <c r="Y46" s="309">
        <v>46167</v>
      </c>
      <c r="Z46" s="312">
        <v>5</v>
      </c>
      <c r="AA46" s="392">
        <v>38</v>
      </c>
      <c r="AB46" s="394">
        <v>0.1095</v>
      </c>
      <c r="AC46" s="296">
        <v>0.33</v>
      </c>
      <c r="AD46" s="296">
        <v>0.27</v>
      </c>
      <c r="AE46" s="395">
        <v>38.5</v>
      </c>
      <c r="AF46" s="385">
        <f t="shared" si="3"/>
        <v>28.008749999999999</v>
      </c>
      <c r="AG46" s="395">
        <v>72.75</v>
      </c>
      <c r="AH46" s="30">
        <v>0.23</v>
      </c>
      <c r="AI46" s="140">
        <v>83</v>
      </c>
      <c r="AJ46" s="141" t="s">
        <v>458</v>
      </c>
      <c r="AK46" s="239"/>
      <c r="AL46" s="138">
        <f t="shared" si="4"/>
        <v>0</v>
      </c>
      <c r="AM46" s="8">
        <f t="shared" si="4"/>
        <v>0</v>
      </c>
      <c r="AN46" s="8">
        <f t="shared" si="4"/>
        <v>0</v>
      </c>
      <c r="AO46" s="139">
        <f t="shared" si="4"/>
        <v>-6.75</v>
      </c>
      <c r="AP46" s="139">
        <f t="shared" si="4"/>
        <v>-0.72500000000000142</v>
      </c>
      <c r="AQ46" s="139">
        <f t="shared" si="4"/>
        <v>9.25</v>
      </c>
      <c r="AR46" s="8">
        <f t="shared" si="4"/>
        <v>2.0000000000000018E-2</v>
      </c>
      <c r="AS46" s="139">
        <f t="shared" si="4"/>
        <v>3</v>
      </c>
      <c r="AT46" s="200" t="s">
        <v>222</v>
      </c>
      <c r="AU46" s="200" t="s">
        <v>222</v>
      </c>
      <c r="AV46" s="200" t="s">
        <v>222</v>
      </c>
      <c r="AW46" s="200" t="s">
        <v>222</v>
      </c>
      <c r="AX46" s="200" t="s">
        <v>222</v>
      </c>
      <c r="AY46" s="386">
        <v>5</v>
      </c>
      <c r="AZ46" s="312">
        <f t="shared" si="5"/>
        <v>5</v>
      </c>
      <c r="BA46" s="155">
        <f t="shared" si="5"/>
        <v>38</v>
      </c>
      <c r="BB46" s="143">
        <v>46164</v>
      </c>
      <c r="BC46" s="23" t="s">
        <v>458</v>
      </c>
      <c r="BD46" s="23" t="s">
        <v>550</v>
      </c>
    </row>
    <row r="47" spans="1:56" s="250" customFormat="1" ht="15.5">
      <c r="B47" s="228">
        <v>4</v>
      </c>
      <c r="C47" s="393">
        <v>46163</v>
      </c>
      <c r="D47" s="232">
        <v>46165</v>
      </c>
      <c r="E47" s="233">
        <v>7</v>
      </c>
      <c r="F47" s="234">
        <v>53</v>
      </c>
      <c r="G47" s="235">
        <v>0.111</v>
      </c>
      <c r="H47" s="236">
        <v>0.36750000000000005</v>
      </c>
      <c r="I47" s="236">
        <v>0.27</v>
      </c>
      <c r="J47" s="237">
        <v>47.25</v>
      </c>
      <c r="K47" s="237">
        <v>28.007437500000002</v>
      </c>
      <c r="L47" s="237">
        <v>59.274999999999999</v>
      </c>
      <c r="M47" s="236">
        <v>0.21</v>
      </c>
      <c r="N47" s="238">
        <v>81</v>
      </c>
      <c r="O47" s="341">
        <v>46199</v>
      </c>
      <c r="P47" s="235"/>
      <c r="Q47" s="236"/>
      <c r="R47" s="396">
        <v>0.68</v>
      </c>
      <c r="S47" s="81">
        <v>46</v>
      </c>
      <c r="T47" s="237">
        <v>28.98</v>
      </c>
      <c r="U47" s="81">
        <v>63</v>
      </c>
      <c r="V47" s="236"/>
      <c r="W47" s="238"/>
      <c r="X47" s="309">
        <v>46167</v>
      </c>
      <c r="Y47" s="309">
        <v>46167</v>
      </c>
      <c r="Z47" s="312">
        <v>5</v>
      </c>
      <c r="AA47" s="392">
        <v>39</v>
      </c>
      <c r="AB47" s="394">
        <v>0.111</v>
      </c>
      <c r="AC47" s="296">
        <v>0.36750000000000005</v>
      </c>
      <c r="AD47" s="296">
        <v>0.27</v>
      </c>
      <c r="AE47" s="395">
        <v>38.25</v>
      </c>
      <c r="AF47" s="385">
        <f t="shared" si="3"/>
        <v>28.018125000000001</v>
      </c>
      <c r="AG47" s="395">
        <v>73.25</v>
      </c>
      <c r="AH47" s="30">
        <v>0.23</v>
      </c>
      <c r="AI47" s="140">
        <v>83</v>
      </c>
      <c r="AJ47" s="141" t="s">
        <v>458</v>
      </c>
      <c r="AK47" s="239"/>
      <c r="AL47" s="138">
        <f t="shared" si="4"/>
        <v>0</v>
      </c>
      <c r="AM47" s="8">
        <f t="shared" si="4"/>
        <v>0</v>
      </c>
      <c r="AN47" s="8">
        <f t="shared" si="4"/>
        <v>0</v>
      </c>
      <c r="AO47" s="139">
        <f t="shared" si="4"/>
        <v>-9</v>
      </c>
      <c r="AP47" s="139">
        <f t="shared" si="4"/>
        <v>1.0687499999999517E-2</v>
      </c>
      <c r="AQ47" s="139">
        <f t="shared" si="4"/>
        <v>13.975000000000001</v>
      </c>
      <c r="AR47" s="8">
        <f t="shared" si="4"/>
        <v>2.0000000000000018E-2</v>
      </c>
      <c r="AS47" s="139">
        <f t="shared" si="4"/>
        <v>2</v>
      </c>
      <c r="AT47" s="200" t="s">
        <v>222</v>
      </c>
      <c r="AU47" s="200" t="s">
        <v>222</v>
      </c>
      <c r="AV47" s="200" t="s">
        <v>222</v>
      </c>
      <c r="AW47" s="200" t="s">
        <v>222</v>
      </c>
      <c r="AX47" s="200" t="s">
        <v>222</v>
      </c>
      <c r="AY47" s="386">
        <v>5</v>
      </c>
      <c r="AZ47" s="312">
        <f t="shared" si="5"/>
        <v>5</v>
      </c>
      <c r="BA47" s="155">
        <f t="shared" si="5"/>
        <v>39</v>
      </c>
      <c r="BB47" s="143">
        <v>46164</v>
      </c>
      <c r="BC47" s="23" t="s">
        <v>458</v>
      </c>
      <c r="BD47" s="23" t="s">
        <v>550</v>
      </c>
    </row>
    <row r="48" spans="1:56" ht="15.5">
      <c r="B48" s="5">
        <v>4</v>
      </c>
      <c r="C48" s="39">
        <v>46164</v>
      </c>
      <c r="D48" s="304">
        <v>46166</v>
      </c>
      <c r="E48" s="133">
        <v>7</v>
      </c>
      <c r="F48" s="155">
        <v>54</v>
      </c>
      <c r="G48" s="138">
        <v>0.1125</v>
      </c>
      <c r="H48" s="8">
        <v>0.33</v>
      </c>
      <c r="I48" s="8">
        <v>0.26</v>
      </c>
      <c r="J48" s="139">
        <v>46</v>
      </c>
      <c r="K48" s="139">
        <v>28.497</v>
      </c>
      <c r="L48" s="139">
        <v>61.949999999999996</v>
      </c>
      <c r="M48" s="8">
        <v>0.21</v>
      </c>
      <c r="N48" s="140">
        <v>81</v>
      </c>
      <c r="O48" s="339">
        <v>46226</v>
      </c>
      <c r="P48" s="138"/>
      <c r="Q48" s="8"/>
      <c r="R48" s="8"/>
      <c r="S48" s="305">
        <v>49</v>
      </c>
      <c r="T48" s="139">
        <v>32.83</v>
      </c>
      <c r="U48" s="139">
        <v>67</v>
      </c>
      <c r="V48" s="8"/>
      <c r="W48" s="140">
        <v>95</v>
      </c>
      <c r="X48" s="309">
        <v>46167</v>
      </c>
      <c r="Y48" s="309">
        <v>46167</v>
      </c>
      <c r="Z48" s="312">
        <v>5</v>
      </c>
      <c r="AA48" s="392">
        <v>40</v>
      </c>
      <c r="AB48" s="28">
        <v>0.1125</v>
      </c>
      <c r="AC48" s="30">
        <v>0.33</v>
      </c>
      <c r="AD48" s="30">
        <v>0.26</v>
      </c>
      <c r="AE48" s="385">
        <v>39.25</v>
      </c>
      <c r="AF48" s="385">
        <f t="shared" si="3"/>
        <v>28.456250000000001</v>
      </c>
      <c r="AG48" s="385">
        <v>72.5</v>
      </c>
      <c r="AH48" s="30">
        <v>0.23</v>
      </c>
      <c r="AI48" s="140">
        <v>83</v>
      </c>
      <c r="AJ48" s="141" t="s">
        <v>458</v>
      </c>
      <c r="AK48" s="141"/>
      <c r="AL48" s="138">
        <f t="shared" si="4"/>
        <v>0</v>
      </c>
      <c r="AM48" s="8">
        <f t="shared" si="4"/>
        <v>0</v>
      </c>
      <c r="AN48" s="8">
        <f t="shared" si="4"/>
        <v>0</v>
      </c>
      <c r="AO48" s="139">
        <f t="shared" si="4"/>
        <v>-6.75</v>
      </c>
      <c r="AP48" s="139">
        <f t="shared" si="4"/>
        <v>-4.0749999999999176E-2</v>
      </c>
      <c r="AQ48" s="139">
        <f t="shared" si="4"/>
        <v>10.550000000000004</v>
      </c>
      <c r="AR48" s="8">
        <f t="shared" si="4"/>
        <v>2.0000000000000018E-2</v>
      </c>
      <c r="AS48" s="139">
        <f t="shared" si="4"/>
        <v>2</v>
      </c>
      <c r="AT48" s="200" t="s">
        <v>222</v>
      </c>
      <c r="AU48" s="200" t="s">
        <v>222</v>
      </c>
      <c r="AV48" s="200" t="s">
        <v>222</v>
      </c>
      <c r="AW48" s="200" t="s">
        <v>222</v>
      </c>
      <c r="AX48" s="200" t="s">
        <v>222</v>
      </c>
      <c r="AY48" s="386">
        <v>5</v>
      </c>
      <c r="AZ48" s="312">
        <f t="shared" si="5"/>
        <v>5</v>
      </c>
      <c r="BA48" s="155">
        <f t="shared" si="5"/>
        <v>40</v>
      </c>
      <c r="BB48" s="143">
        <v>46164</v>
      </c>
      <c r="BC48" s="23" t="s">
        <v>458</v>
      </c>
      <c r="BD48" s="23" t="s">
        <v>550</v>
      </c>
    </row>
    <row r="49" spans="2:56" ht="15.5">
      <c r="B49" s="5">
        <v>4</v>
      </c>
      <c r="C49" s="39">
        <v>46167</v>
      </c>
      <c r="D49" s="304">
        <v>46169</v>
      </c>
      <c r="E49" s="133">
        <v>9</v>
      </c>
      <c r="F49" s="155">
        <v>69</v>
      </c>
      <c r="G49" s="138">
        <v>0.114</v>
      </c>
      <c r="H49" s="8">
        <v>0.37</v>
      </c>
      <c r="I49" s="8">
        <v>0.38</v>
      </c>
      <c r="J49" s="139">
        <v>48.25</v>
      </c>
      <c r="K49" s="139">
        <v>30.2406875</v>
      </c>
      <c r="L49" s="139">
        <v>62.674999999999997</v>
      </c>
      <c r="M49" s="8">
        <v>0.23</v>
      </c>
      <c r="N49" s="140">
        <v>78</v>
      </c>
      <c r="O49" s="339">
        <v>46226</v>
      </c>
      <c r="P49" s="138"/>
      <c r="Q49" s="8"/>
      <c r="R49" s="8"/>
      <c r="S49" s="305">
        <v>48</v>
      </c>
      <c r="T49" s="139">
        <v>33.119999999999997</v>
      </c>
      <c r="U49" s="139">
        <v>69</v>
      </c>
      <c r="V49" s="8"/>
      <c r="W49" s="140">
        <v>89</v>
      </c>
      <c r="X49" s="309">
        <v>46167</v>
      </c>
      <c r="Y49" s="309">
        <v>46167</v>
      </c>
      <c r="Z49" s="312">
        <v>5</v>
      </c>
      <c r="AA49" s="392">
        <v>41</v>
      </c>
      <c r="AB49" s="28">
        <v>0.114</v>
      </c>
      <c r="AC49" s="30">
        <v>0.37</v>
      </c>
      <c r="AD49" s="30">
        <v>0.38</v>
      </c>
      <c r="AE49" s="385">
        <v>39.25</v>
      </c>
      <c r="AF49" s="385">
        <f t="shared" si="3"/>
        <v>28.063749999999999</v>
      </c>
      <c r="AG49" s="385">
        <v>71.5</v>
      </c>
      <c r="AH49" s="30">
        <v>0.23</v>
      </c>
      <c r="AI49" s="140">
        <v>83</v>
      </c>
      <c r="AJ49" s="141" t="s">
        <v>458</v>
      </c>
      <c r="AK49" s="141"/>
      <c r="AL49" s="138">
        <f t="shared" si="4"/>
        <v>0</v>
      </c>
      <c r="AM49" s="8">
        <f t="shared" si="4"/>
        <v>0</v>
      </c>
      <c r="AN49" s="8">
        <f t="shared" si="4"/>
        <v>0</v>
      </c>
      <c r="AO49" s="139">
        <f t="shared" si="4"/>
        <v>-9</v>
      </c>
      <c r="AP49" s="139">
        <f t="shared" si="4"/>
        <v>-2.1769375000000011</v>
      </c>
      <c r="AQ49" s="139">
        <f t="shared" si="4"/>
        <v>8.8250000000000028</v>
      </c>
      <c r="AR49" s="8">
        <f t="shared" si="4"/>
        <v>0</v>
      </c>
      <c r="AS49" s="139">
        <f t="shared" si="4"/>
        <v>5</v>
      </c>
      <c r="AT49" s="200" t="s">
        <v>222</v>
      </c>
      <c r="AU49" s="200" t="s">
        <v>222</v>
      </c>
      <c r="AV49" s="200" t="s">
        <v>222</v>
      </c>
      <c r="AW49" s="200" t="s">
        <v>222</v>
      </c>
      <c r="AX49" s="200" t="s">
        <v>222</v>
      </c>
      <c r="AY49" s="386">
        <v>5</v>
      </c>
      <c r="AZ49" s="312">
        <f t="shared" si="5"/>
        <v>5</v>
      </c>
      <c r="BA49" s="155">
        <f t="shared" si="5"/>
        <v>41</v>
      </c>
      <c r="BB49" s="143">
        <v>46175</v>
      </c>
      <c r="BC49" s="23" t="s">
        <v>458</v>
      </c>
      <c r="BD49" s="23" t="s">
        <v>550</v>
      </c>
    </row>
    <row r="50" spans="2:56" ht="15.5">
      <c r="B50" s="5">
        <v>4</v>
      </c>
      <c r="C50" s="39">
        <v>46167</v>
      </c>
      <c r="D50" s="304">
        <v>46169</v>
      </c>
      <c r="E50" s="133">
        <v>9</v>
      </c>
      <c r="F50" s="155">
        <v>70</v>
      </c>
      <c r="G50" s="138">
        <v>0.1115</v>
      </c>
      <c r="H50" s="8">
        <v>0.35750000000000004</v>
      </c>
      <c r="I50" s="8">
        <v>0.35</v>
      </c>
      <c r="J50" s="139">
        <v>46</v>
      </c>
      <c r="K50" s="139">
        <v>28.98</v>
      </c>
      <c r="L50" s="139">
        <v>63</v>
      </c>
      <c r="M50" s="8">
        <v>0.23</v>
      </c>
      <c r="N50" s="140">
        <v>78</v>
      </c>
      <c r="O50" s="339">
        <v>46226</v>
      </c>
      <c r="P50" s="138"/>
      <c r="Q50" s="8"/>
      <c r="R50" s="8"/>
      <c r="S50" s="139"/>
      <c r="T50" s="139"/>
      <c r="U50" s="139"/>
      <c r="V50" s="8"/>
      <c r="W50" s="140">
        <v>84</v>
      </c>
      <c r="X50" s="309">
        <v>46167</v>
      </c>
      <c r="Y50" s="309">
        <v>46167</v>
      </c>
      <c r="Z50" s="312">
        <v>5</v>
      </c>
      <c r="AA50" s="392">
        <v>42</v>
      </c>
      <c r="AB50" s="28">
        <v>0.1115</v>
      </c>
      <c r="AC50" s="30">
        <v>0.35750000000000004</v>
      </c>
      <c r="AD50" s="30">
        <v>0.35</v>
      </c>
      <c r="AE50" s="385">
        <v>38.75</v>
      </c>
      <c r="AF50" s="385">
        <f t="shared" si="3"/>
        <v>26.931249999999999</v>
      </c>
      <c r="AG50" s="385">
        <v>69.5</v>
      </c>
      <c r="AH50" s="30">
        <v>0.23</v>
      </c>
      <c r="AI50" s="140">
        <v>83</v>
      </c>
      <c r="AJ50" s="141" t="s">
        <v>458</v>
      </c>
      <c r="AK50" s="141"/>
      <c r="AL50" s="138">
        <f t="shared" si="4"/>
        <v>0</v>
      </c>
      <c r="AM50" s="8">
        <f t="shared" si="4"/>
        <v>0</v>
      </c>
      <c r="AN50" s="8">
        <f t="shared" si="4"/>
        <v>0</v>
      </c>
      <c r="AO50" s="139">
        <f t="shared" si="4"/>
        <v>-7.25</v>
      </c>
      <c r="AP50" s="139">
        <f t="shared" si="4"/>
        <v>-2.0487500000000018</v>
      </c>
      <c r="AQ50" s="139">
        <f t="shared" si="4"/>
        <v>6.5</v>
      </c>
      <c r="AR50" s="8">
        <f t="shared" si="4"/>
        <v>0</v>
      </c>
      <c r="AS50" s="139">
        <f t="shared" si="4"/>
        <v>5</v>
      </c>
      <c r="AT50" s="200" t="s">
        <v>222</v>
      </c>
      <c r="AU50" s="200" t="s">
        <v>222</v>
      </c>
      <c r="AV50" s="200" t="s">
        <v>222</v>
      </c>
      <c r="AW50" s="200" t="s">
        <v>222</v>
      </c>
      <c r="AX50" s="200" t="s">
        <v>222</v>
      </c>
      <c r="AY50" s="386">
        <v>5</v>
      </c>
      <c r="AZ50" s="312">
        <f t="shared" si="5"/>
        <v>5</v>
      </c>
      <c r="BA50" s="155">
        <f t="shared" si="5"/>
        <v>42</v>
      </c>
      <c r="BB50" s="143">
        <v>46175</v>
      </c>
      <c r="BC50" s="23" t="s">
        <v>458</v>
      </c>
      <c r="BD50" s="23" t="s">
        <v>550</v>
      </c>
    </row>
    <row r="51" spans="2:56" ht="15.5">
      <c r="B51" s="5">
        <v>4</v>
      </c>
      <c r="C51" s="39">
        <v>46167</v>
      </c>
      <c r="D51" s="304">
        <v>46169</v>
      </c>
      <c r="E51" s="133">
        <v>9</v>
      </c>
      <c r="F51" s="155">
        <v>71</v>
      </c>
      <c r="G51" s="138">
        <v>0.11275</v>
      </c>
      <c r="H51" s="8">
        <v>0.34749999999999998</v>
      </c>
      <c r="I51" s="8">
        <v>0.37</v>
      </c>
      <c r="J51" s="139">
        <v>45.5</v>
      </c>
      <c r="K51" s="139">
        <v>28.733249999999998</v>
      </c>
      <c r="L51" s="139">
        <v>63.149999999999991</v>
      </c>
      <c r="M51" s="8">
        <v>0.23</v>
      </c>
      <c r="N51" s="140">
        <v>78</v>
      </c>
      <c r="O51" s="152"/>
      <c r="P51" s="138"/>
      <c r="Q51" s="8"/>
      <c r="R51" s="8"/>
      <c r="S51" s="139"/>
      <c r="T51" s="139"/>
      <c r="U51" s="139"/>
      <c r="V51" s="8"/>
      <c r="W51" s="140"/>
      <c r="X51" s="309">
        <v>46167</v>
      </c>
      <c r="Y51" s="309">
        <v>46167</v>
      </c>
      <c r="Z51" s="312">
        <v>5</v>
      </c>
      <c r="AA51" s="392">
        <v>43</v>
      </c>
      <c r="AB51" s="28">
        <v>0.11275</v>
      </c>
      <c r="AC51" s="30">
        <v>0.34749999999999998</v>
      </c>
      <c r="AD51" s="30">
        <v>0.37</v>
      </c>
      <c r="AE51" s="385">
        <v>40</v>
      </c>
      <c r="AF51" s="385">
        <f t="shared" si="3"/>
        <v>28.1</v>
      </c>
      <c r="AG51" s="385">
        <v>70.25</v>
      </c>
      <c r="AH51" s="30">
        <v>0.23</v>
      </c>
      <c r="AI51" s="140">
        <v>83</v>
      </c>
      <c r="AJ51" s="141" t="s">
        <v>458</v>
      </c>
      <c r="AK51" s="141"/>
      <c r="AL51" s="138">
        <f t="shared" si="4"/>
        <v>0</v>
      </c>
      <c r="AM51" s="8">
        <f t="shared" si="4"/>
        <v>0</v>
      </c>
      <c r="AN51" s="8">
        <f t="shared" si="4"/>
        <v>0</v>
      </c>
      <c r="AO51" s="139">
        <f t="shared" si="4"/>
        <v>-5.5</v>
      </c>
      <c r="AP51" s="139">
        <f t="shared" si="4"/>
        <v>-0.63324999999999676</v>
      </c>
      <c r="AQ51" s="139">
        <f t="shared" si="4"/>
        <v>7.1000000000000085</v>
      </c>
      <c r="AR51" s="8">
        <f t="shared" si="4"/>
        <v>0</v>
      </c>
      <c r="AS51" s="139">
        <f t="shared" si="4"/>
        <v>5</v>
      </c>
      <c r="AT51" s="200" t="s">
        <v>222</v>
      </c>
      <c r="AU51" s="200" t="s">
        <v>222</v>
      </c>
      <c r="AV51" s="200" t="s">
        <v>222</v>
      </c>
      <c r="AW51" s="200" t="s">
        <v>222</v>
      </c>
      <c r="AX51" s="200" t="s">
        <v>222</v>
      </c>
      <c r="AY51" s="386">
        <v>5</v>
      </c>
      <c r="AZ51" s="312">
        <f t="shared" si="5"/>
        <v>5</v>
      </c>
      <c r="BA51" s="155">
        <f t="shared" si="5"/>
        <v>43</v>
      </c>
      <c r="BB51" s="143">
        <v>46175</v>
      </c>
      <c r="BC51" s="23" t="s">
        <v>458</v>
      </c>
      <c r="BD51" s="23" t="s">
        <v>550</v>
      </c>
    </row>
    <row r="52" spans="2:56" ht="15.5">
      <c r="B52" s="5">
        <v>4</v>
      </c>
      <c r="C52" s="39">
        <v>46171</v>
      </c>
      <c r="D52" s="304">
        <v>46173</v>
      </c>
      <c r="E52" s="133">
        <v>9</v>
      </c>
      <c r="F52" s="155">
        <v>72</v>
      </c>
      <c r="G52" s="138">
        <v>0.11175</v>
      </c>
      <c r="H52" s="8">
        <v>0.34749999999999998</v>
      </c>
      <c r="I52" s="8">
        <v>0.38</v>
      </c>
      <c r="J52" s="139">
        <v>47.75</v>
      </c>
      <c r="K52" s="139">
        <v>30.034750000000003</v>
      </c>
      <c r="L52" s="139">
        <v>62.900000000000006</v>
      </c>
      <c r="M52" s="8">
        <v>0.23</v>
      </c>
      <c r="N52" s="140">
        <v>78</v>
      </c>
      <c r="O52" s="339">
        <v>46226</v>
      </c>
      <c r="P52" s="138"/>
      <c r="Q52" s="8"/>
      <c r="R52" s="8"/>
      <c r="S52" s="139"/>
      <c r="T52" s="139"/>
      <c r="U52" s="139"/>
      <c r="V52" s="8"/>
      <c r="W52" s="140" t="s">
        <v>566</v>
      </c>
      <c r="X52" s="309">
        <v>46167</v>
      </c>
      <c r="Y52" s="309">
        <v>46167</v>
      </c>
      <c r="Z52" s="312">
        <v>5</v>
      </c>
      <c r="AA52" s="392">
        <v>44</v>
      </c>
      <c r="AB52" s="28">
        <v>0.11175</v>
      </c>
      <c r="AC52" s="30">
        <v>0.34749999999999998</v>
      </c>
      <c r="AD52" s="30">
        <v>0.38</v>
      </c>
      <c r="AE52" s="385">
        <v>39.25</v>
      </c>
      <c r="AF52" s="385">
        <f t="shared" si="3"/>
        <v>28.6525</v>
      </c>
      <c r="AG52" s="385">
        <v>73</v>
      </c>
      <c r="AH52" s="30">
        <v>0.23</v>
      </c>
      <c r="AI52" s="140">
        <v>83</v>
      </c>
      <c r="AJ52" s="141" t="s">
        <v>458</v>
      </c>
      <c r="AK52" s="141"/>
      <c r="AL52" s="138">
        <f t="shared" si="4"/>
        <v>0</v>
      </c>
      <c r="AM52" s="8">
        <f t="shared" si="4"/>
        <v>0</v>
      </c>
      <c r="AN52" s="8">
        <f t="shared" si="4"/>
        <v>0</v>
      </c>
      <c r="AO52" s="139">
        <f t="shared" si="4"/>
        <v>-8.5</v>
      </c>
      <c r="AP52" s="139">
        <f t="shared" si="4"/>
        <v>-1.3822500000000026</v>
      </c>
      <c r="AQ52" s="139">
        <f t="shared" si="4"/>
        <v>10.099999999999994</v>
      </c>
      <c r="AR52" s="8">
        <f t="shared" si="4"/>
        <v>0</v>
      </c>
      <c r="AS52" s="139">
        <f t="shared" si="4"/>
        <v>5</v>
      </c>
      <c r="AT52" s="200" t="s">
        <v>222</v>
      </c>
      <c r="AU52" s="200" t="s">
        <v>222</v>
      </c>
      <c r="AV52" s="200" t="s">
        <v>222</v>
      </c>
      <c r="AW52" s="200" t="s">
        <v>222</v>
      </c>
      <c r="AX52" s="200" t="s">
        <v>222</v>
      </c>
      <c r="AY52" s="386">
        <v>5</v>
      </c>
      <c r="AZ52" s="312">
        <f t="shared" si="5"/>
        <v>5</v>
      </c>
      <c r="BA52" s="155">
        <f t="shared" si="5"/>
        <v>44</v>
      </c>
      <c r="BB52" s="143">
        <v>46175</v>
      </c>
      <c r="BC52" s="23" t="s">
        <v>458</v>
      </c>
      <c r="BD52" s="23" t="s">
        <v>550</v>
      </c>
    </row>
    <row r="53" spans="2:56" ht="15.5">
      <c r="B53" s="5">
        <v>4</v>
      </c>
      <c r="C53" s="39">
        <v>46172</v>
      </c>
      <c r="D53" s="304">
        <v>46174</v>
      </c>
      <c r="E53" s="133">
        <v>10</v>
      </c>
      <c r="F53" s="155">
        <v>75</v>
      </c>
      <c r="G53" s="138">
        <v>0.1125</v>
      </c>
      <c r="H53" s="8">
        <v>0.35499999999999998</v>
      </c>
      <c r="I53" s="8">
        <v>0.28999999999999998</v>
      </c>
      <c r="J53" s="139">
        <v>47.5</v>
      </c>
      <c r="K53" s="139">
        <v>28.511875000000003</v>
      </c>
      <c r="L53" s="139">
        <v>60.025000000000006</v>
      </c>
      <c r="M53" s="8">
        <v>0.2</v>
      </c>
      <c r="N53" s="140">
        <v>85.5</v>
      </c>
      <c r="O53" s="140"/>
      <c r="P53" s="140"/>
      <c r="Q53" s="140"/>
      <c r="R53" s="140"/>
      <c r="S53" s="140"/>
      <c r="T53" s="140"/>
      <c r="U53" s="140"/>
      <c r="V53" s="140"/>
      <c r="W53" s="140"/>
      <c r="X53" s="309">
        <v>46167</v>
      </c>
      <c r="Y53" s="309">
        <v>46168</v>
      </c>
      <c r="Z53" s="312">
        <v>6</v>
      </c>
      <c r="AA53" s="392">
        <v>45</v>
      </c>
      <c r="AB53" s="28">
        <v>0.1125</v>
      </c>
      <c r="AC53" s="30">
        <v>0.35499999999999998</v>
      </c>
      <c r="AD53" s="30">
        <v>0.28999999999999998</v>
      </c>
      <c r="AE53" s="385">
        <v>39.25</v>
      </c>
      <c r="AF53" s="385">
        <f t="shared" si="3"/>
        <v>27.769375</v>
      </c>
      <c r="AG53" s="385">
        <v>70.75</v>
      </c>
      <c r="AH53" s="30">
        <v>0.19</v>
      </c>
      <c r="AI53" s="140">
        <v>81</v>
      </c>
      <c r="AJ53" s="141" t="s">
        <v>458</v>
      </c>
      <c r="AK53" s="141"/>
      <c r="AL53" s="138">
        <f t="shared" si="4"/>
        <v>0</v>
      </c>
      <c r="AM53" s="8">
        <f t="shared" si="4"/>
        <v>0</v>
      </c>
      <c r="AN53" s="8">
        <f t="shared" si="4"/>
        <v>0</v>
      </c>
      <c r="AO53" s="139">
        <f t="shared" si="4"/>
        <v>-8.25</v>
      </c>
      <c r="AP53" s="139">
        <f t="shared" si="4"/>
        <v>-0.74250000000000327</v>
      </c>
      <c r="AQ53" s="139">
        <f t="shared" si="4"/>
        <v>10.724999999999994</v>
      </c>
      <c r="AR53" s="8">
        <f t="shared" si="4"/>
        <v>-1.0000000000000009E-2</v>
      </c>
      <c r="AS53" s="139">
        <f t="shared" si="4"/>
        <v>-4.5</v>
      </c>
      <c r="AT53" s="200" t="s">
        <v>222</v>
      </c>
      <c r="AU53" s="200" t="s">
        <v>222</v>
      </c>
      <c r="AV53" s="200" t="s">
        <v>222</v>
      </c>
      <c r="AW53" s="200" t="s">
        <v>222</v>
      </c>
      <c r="AX53" s="200" t="s">
        <v>222</v>
      </c>
      <c r="AY53" s="386">
        <v>5</v>
      </c>
      <c r="AZ53" s="312">
        <f t="shared" si="5"/>
        <v>6</v>
      </c>
      <c r="BA53" s="155">
        <f t="shared" si="5"/>
        <v>45</v>
      </c>
      <c r="BB53" s="143">
        <v>46175</v>
      </c>
      <c r="BC53" s="23" t="s">
        <v>458</v>
      </c>
      <c r="BD53" s="23" t="s">
        <v>550</v>
      </c>
    </row>
    <row r="54" spans="2:56" ht="15.5">
      <c r="B54" s="5">
        <v>5</v>
      </c>
      <c r="C54" s="39">
        <v>46175</v>
      </c>
      <c r="D54" s="304">
        <v>46177</v>
      </c>
      <c r="E54" s="133">
        <v>10</v>
      </c>
      <c r="F54" s="155">
        <v>76</v>
      </c>
      <c r="G54" s="138">
        <v>0.11449999999999999</v>
      </c>
      <c r="H54" s="8">
        <v>0.34250000000000003</v>
      </c>
      <c r="I54" s="8">
        <v>0.27</v>
      </c>
      <c r="J54" s="139">
        <v>46.75</v>
      </c>
      <c r="K54" s="139">
        <v>27.243562499999999</v>
      </c>
      <c r="L54" s="139">
        <v>58.274999999999999</v>
      </c>
      <c r="M54" s="8">
        <v>0.2</v>
      </c>
      <c r="N54" s="140">
        <v>85.5</v>
      </c>
      <c r="O54" s="140"/>
      <c r="P54" s="140"/>
      <c r="Q54" s="140"/>
      <c r="R54" s="140"/>
      <c r="S54" s="140"/>
      <c r="T54" s="140"/>
      <c r="U54" s="140"/>
      <c r="V54" s="140"/>
      <c r="W54" s="140"/>
      <c r="X54" s="309">
        <v>46167</v>
      </c>
      <c r="Y54" s="309">
        <v>46168</v>
      </c>
      <c r="Z54" s="312">
        <v>6</v>
      </c>
      <c r="AA54" s="392">
        <v>46</v>
      </c>
      <c r="AB54" s="28">
        <v>0.11449999999999999</v>
      </c>
      <c r="AC54" s="30">
        <v>0.34250000000000003</v>
      </c>
      <c r="AD54" s="30">
        <v>0.27</v>
      </c>
      <c r="AE54" s="385">
        <v>40.5</v>
      </c>
      <c r="AF54" s="385">
        <f t="shared" si="3"/>
        <v>29.16</v>
      </c>
      <c r="AG54" s="385">
        <v>72</v>
      </c>
      <c r="AH54" s="30">
        <v>0.19</v>
      </c>
      <c r="AI54" s="140">
        <v>81</v>
      </c>
      <c r="AJ54" s="141" t="s">
        <v>458</v>
      </c>
      <c r="AK54" s="141"/>
      <c r="AL54" s="138">
        <f t="shared" si="4"/>
        <v>0</v>
      </c>
      <c r="AM54" s="8">
        <f t="shared" si="4"/>
        <v>0</v>
      </c>
      <c r="AN54" s="8">
        <f t="shared" si="4"/>
        <v>0</v>
      </c>
      <c r="AO54" s="139">
        <f t="shared" si="4"/>
        <v>-6.25</v>
      </c>
      <c r="AP54" s="139">
        <f t="shared" si="4"/>
        <v>1.9164375000000007</v>
      </c>
      <c r="AQ54" s="139">
        <f t="shared" si="4"/>
        <v>13.725000000000001</v>
      </c>
      <c r="AR54" s="8">
        <f t="shared" si="4"/>
        <v>-1.0000000000000009E-2</v>
      </c>
      <c r="AS54" s="139">
        <f t="shared" si="4"/>
        <v>-4.5</v>
      </c>
      <c r="AT54" s="200" t="s">
        <v>222</v>
      </c>
      <c r="AU54" s="200" t="s">
        <v>222</v>
      </c>
      <c r="AV54" s="200" t="s">
        <v>222</v>
      </c>
      <c r="AW54" s="200" t="s">
        <v>222</v>
      </c>
      <c r="AX54" s="200" t="s">
        <v>222</v>
      </c>
      <c r="AY54" s="386">
        <v>5</v>
      </c>
      <c r="AZ54" s="312">
        <f t="shared" si="5"/>
        <v>6</v>
      </c>
      <c r="BA54" s="155">
        <f t="shared" si="5"/>
        <v>46</v>
      </c>
      <c r="BB54" s="143">
        <v>46175</v>
      </c>
      <c r="BC54" s="23" t="s">
        <v>458</v>
      </c>
      <c r="BD54" s="23" t="s">
        <v>550</v>
      </c>
    </row>
    <row r="55" spans="2:56" ht="15.5">
      <c r="B55" s="5">
        <v>5</v>
      </c>
      <c r="C55" s="39">
        <v>46175</v>
      </c>
      <c r="D55" s="304">
        <v>46177</v>
      </c>
      <c r="E55" s="133">
        <v>10</v>
      </c>
      <c r="F55" s="155">
        <v>77</v>
      </c>
      <c r="G55" s="138">
        <v>0.11599999999999999</v>
      </c>
      <c r="H55" s="8">
        <v>0.34750000000000003</v>
      </c>
      <c r="I55" s="8">
        <v>0.33</v>
      </c>
      <c r="J55" s="139">
        <v>49.75</v>
      </c>
      <c r="K55" s="139">
        <v>32.775176570628254</v>
      </c>
      <c r="L55" s="139">
        <v>65.879751900760311</v>
      </c>
      <c r="M55" s="8">
        <v>0.2</v>
      </c>
      <c r="N55" s="140">
        <v>79</v>
      </c>
      <c r="O55" s="339">
        <v>46226</v>
      </c>
      <c r="P55" s="140"/>
      <c r="Q55" s="140"/>
      <c r="R55" s="140"/>
      <c r="S55" s="140"/>
      <c r="T55" s="140"/>
      <c r="U55" s="140"/>
      <c r="V55" s="140"/>
      <c r="W55" s="140">
        <v>91</v>
      </c>
      <c r="X55" s="309">
        <v>46167</v>
      </c>
      <c r="Y55" s="309">
        <v>46168</v>
      </c>
      <c r="Z55" s="312">
        <v>6</v>
      </c>
      <c r="AA55" s="392">
        <v>47</v>
      </c>
      <c r="AB55" s="28">
        <v>0.11599999999999999</v>
      </c>
      <c r="AC55" s="30">
        <v>0.34750000000000003</v>
      </c>
      <c r="AD55" s="30">
        <v>0.33</v>
      </c>
      <c r="AE55" s="385">
        <v>38.5</v>
      </c>
      <c r="AF55" s="385">
        <f t="shared" si="3"/>
        <v>28.297499999999999</v>
      </c>
      <c r="AG55" s="385">
        <v>73.5</v>
      </c>
      <c r="AH55" s="30">
        <v>0.19</v>
      </c>
      <c r="AI55" s="140">
        <v>81</v>
      </c>
      <c r="AJ55" s="141" t="s">
        <v>458</v>
      </c>
      <c r="AK55" s="141"/>
      <c r="AL55" s="138">
        <f t="shared" ref="AL55:AS86" si="6">AB55-G55</f>
        <v>0</v>
      </c>
      <c r="AM55" s="8">
        <f t="shared" si="6"/>
        <v>0</v>
      </c>
      <c r="AN55" s="8">
        <f t="shared" si="6"/>
        <v>0</v>
      </c>
      <c r="AO55" s="139">
        <f t="shared" si="6"/>
        <v>-11.25</v>
      </c>
      <c r="AP55" s="139">
        <f t="shared" si="6"/>
        <v>-4.4776765706282546</v>
      </c>
      <c r="AQ55" s="139">
        <f t="shared" si="6"/>
        <v>7.6202480992396886</v>
      </c>
      <c r="AR55" s="8">
        <f t="shared" si="6"/>
        <v>-1.0000000000000009E-2</v>
      </c>
      <c r="AS55" s="139">
        <f t="shared" si="6"/>
        <v>2</v>
      </c>
      <c r="AT55" s="200" t="s">
        <v>222</v>
      </c>
      <c r="AU55" s="200" t="s">
        <v>222</v>
      </c>
      <c r="AV55" s="200" t="s">
        <v>222</v>
      </c>
      <c r="AW55" s="200" t="s">
        <v>222</v>
      </c>
      <c r="AX55" s="200" t="s">
        <v>222</v>
      </c>
      <c r="AY55" s="386">
        <v>5</v>
      </c>
      <c r="AZ55" s="312">
        <f t="shared" si="5"/>
        <v>6</v>
      </c>
      <c r="BA55" s="155">
        <f t="shared" si="5"/>
        <v>47</v>
      </c>
      <c r="BB55" s="143">
        <v>46175</v>
      </c>
      <c r="BC55" s="23" t="s">
        <v>458</v>
      </c>
      <c r="BD55" s="23" t="s">
        <v>550</v>
      </c>
    </row>
    <row r="56" spans="2:56" ht="15.5">
      <c r="B56" s="5">
        <v>5</v>
      </c>
      <c r="C56" s="39">
        <v>46175</v>
      </c>
      <c r="D56" s="304">
        <v>46177</v>
      </c>
      <c r="E56" s="133">
        <v>10</v>
      </c>
      <c r="F56" s="155">
        <v>78</v>
      </c>
      <c r="G56" s="138">
        <v>0.1105</v>
      </c>
      <c r="H56" s="8">
        <v>0.3125</v>
      </c>
      <c r="I56" s="8">
        <v>0.34</v>
      </c>
      <c r="J56" s="139">
        <v>51.5</v>
      </c>
      <c r="K56" s="139">
        <v>31.260228129713422</v>
      </c>
      <c r="L56" s="139">
        <v>60.699472096530918</v>
      </c>
      <c r="M56" s="8">
        <v>0.2</v>
      </c>
      <c r="N56" s="140">
        <v>79</v>
      </c>
      <c r="O56" s="140"/>
      <c r="P56" s="140"/>
      <c r="Q56" s="140"/>
      <c r="R56" s="140"/>
      <c r="S56" s="140"/>
      <c r="T56" s="140"/>
      <c r="U56" s="140"/>
      <c r="V56" s="140"/>
      <c r="W56" s="140"/>
      <c r="X56" s="309">
        <v>46167</v>
      </c>
      <c r="Y56" s="309">
        <v>46168</v>
      </c>
      <c r="Z56" s="312">
        <v>6</v>
      </c>
      <c r="AA56" s="392">
        <v>48</v>
      </c>
      <c r="AB56" s="28">
        <v>0.1105</v>
      </c>
      <c r="AC56" s="30">
        <v>0.3125</v>
      </c>
      <c r="AD56" s="30">
        <v>0.34</v>
      </c>
      <c r="AE56" s="385">
        <v>39.25</v>
      </c>
      <c r="AF56" s="385">
        <f t="shared" si="3"/>
        <v>27.965624999999999</v>
      </c>
      <c r="AG56" s="385">
        <v>71.25</v>
      </c>
      <c r="AH56" s="30">
        <v>0.19</v>
      </c>
      <c r="AI56" s="140">
        <v>81</v>
      </c>
      <c r="AJ56" s="141" t="s">
        <v>458</v>
      </c>
      <c r="AK56" s="141"/>
      <c r="AL56" s="138">
        <f t="shared" si="6"/>
        <v>0</v>
      </c>
      <c r="AM56" s="8">
        <f t="shared" si="6"/>
        <v>0</v>
      </c>
      <c r="AN56" s="8">
        <f t="shared" si="6"/>
        <v>0</v>
      </c>
      <c r="AO56" s="139">
        <f t="shared" si="6"/>
        <v>-12.25</v>
      </c>
      <c r="AP56" s="139">
        <f t="shared" si="6"/>
        <v>-3.2946031297134226</v>
      </c>
      <c r="AQ56" s="139">
        <f t="shared" si="6"/>
        <v>10.550527903469082</v>
      </c>
      <c r="AR56" s="8">
        <f t="shared" si="6"/>
        <v>-1.0000000000000009E-2</v>
      </c>
      <c r="AS56" s="139">
        <f t="shared" si="6"/>
        <v>2</v>
      </c>
      <c r="AT56" s="200" t="s">
        <v>222</v>
      </c>
      <c r="AU56" s="200" t="s">
        <v>222</v>
      </c>
      <c r="AV56" s="200" t="s">
        <v>222</v>
      </c>
      <c r="AW56" s="200" t="s">
        <v>222</v>
      </c>
      <c r="AX56" s="200" t="s">
        <v>222</v>
      </c>
      <c r="AY56" s="386">
        <v>5</v>
      </c>
      <c r="AZ56" s="312">
        <f t="shared" si="5"/>
        <v>6</v>
      </c>
      <c r="BA56" s="155">
        <f t="shared" si="5"/>
        <v>48</v>
      </c>
      <c r="BB56" s="143">
        <v>46175</v>
      </c>
      <c r="BC56" s="23" t="s">
        <v>458</v>
      </c>
      <c r="BD56" s="23" t="s">
        <v>550</v>
      </c>
    </row>
    <row r="57" spans="2:56" ht="15.5">
      <c r="B57" s="5">
        <v>5</v>
      </c>
      <c r="C57" s="39">
        <v>46178</v>
      </c>
      <c r="D57" s="304">
        <v>46180</v>
      </c>
      <c r="E57" s="133">
        <v>12</v>
      </c>
      <c r="F57" s="155">
        <v>94</v>
      </c>
      <c r="G57" s="138">
        <v>0.1095</v>
      </c>
      <c r="H57" s="8">
        <v>0.34250000000000003</v>
      </c>
      <c r="I57" s="8">
        <v>0.33</v>
      </c>
      <c r="J57" s="139">
        <v>44.5</v>
      </c>
      <c r="K57" s="139">
        <v>28.50225</v>
      </c>
      <c r="L57" s="139">
        <v>64.05</v>
      </c>
      <c r="M57" s="8">
        <v>0.24</v>
      </c>
      <c r="N57" s="140">
        <v>81.5</v>
      </c>
      <c r="O57" s="339">
        <v>46226</v>
      </c>
      <c r="P57" s="140"/>
      <c r="Q57" s="140"/>
      <c r="R57" s="140"/>
      <c r="S57" s="140"/>
      <c r="T57" s="140"/>
      <c r="U57" s="140"/>
      <c r="V57" s="140"/>
      <c r="W57" s="140">
        <v>86</v>
      </c>
      <c r="X57" s="309">
        <v>46167</v>
      </c>
      <c r="Y57" s="309">
        <v>46168</v>
      </c>
      <c r="Z57" s="312">
        <v>6</v>
      </c>
      <c r="AA57" s="392">
        <v>49</v>
      </c>
      <c r="AB57" s="28">
        <v>0.1095</v>
      </c>
      <c r="AC57" s="30">
        <v>0.34250000000000003</v>
      </c>
      <c r="AD57" s="30">
        <v>0.33</v>
      </c>
      <c r="AE57" s="385">
        <v>40.25</v>
      </c>
      <c r="AF57" s="385">
        <f t="shared" si="3"/>
        <v>28.074375</v>
      </c>
      <c r="AG57" s="385">
        <v>69.75</v>
      </c>
      <c r="AH57" s="30">
        <v>0.19</v>
      </c>
      <c r="AI57" s="140">
        <v>81</v>
      </c>
      <c r="AJ57" s="141" t="s">
        <v>458</v>
      </c>
      <c r="AK57" s="141"/>
      <c r="AL57" s="138">
        <f t="shared" si="6"/>
        <v>0</v>
      </c>
      <c r="AM57" s="8">
        <f t="shared" si="6"/>
        <v>0</v>
      </c>
      <c r="AN57" s="8">
        <f t="shared" si="6"/>
        <v>0</v>
      </c>
      <c r="AO57" s="139">
        <f t="shared" si="6"/>
        <v>-4.25</v>
      </c>
      <c r="AP57" s="139">
        <f t="shared" si="6"/>
        <v>-0.42787500000000023</v>
      </c>
      <c r="AQ57" s="139">
        <f t="shared" si="6"/>
        <v>5.7000000000000028</v>
      </c>
      <c r="AR57" s="8">
        <f t="shared" si="6"/>
        <v>-4.9999999999999989E-2</v>
      </c>
      <c r="AS57" s="139">
        <f t="shared" si="6"/>
        <v>-0.5</v>
      </c>
      <c r="AT57" s="200" t="s">
        <v>222</v>
      </c>
      <c r="AU57" s="200" t="s">
        <v>222</v>
      </c>
      <c r="AV57" s="200" t="s">
        <v>222</v>
      </c>
      <c r="AW57" s="200" t="s">
        <v>222</v>
      </c>
      <c r="AX57" s="200" t="s">
        <v>222</v>
      </c>
      <c r="AY57" s="386">
        <v>5</v>
      </c>
      <c r="AZ57" s="312">
        <f t="shared" si="5"/>
        <v>6</v>
      </c>
      <c r="BA57" s="155">
        <f t="shared" si="5"/>
        <v>49</v>
      </c>
      <c r="BB57" s="143">
        <v>46178</v>
      </c>
      <c r="BC57" s="23" t="s">
        <v>458</v>
      </c>
      <c r="BD57" s="23" t="s">
        <v>550</v>
      </c>
    </row>
    <row r="58" spans="2:56" ht="15.5">
      <c r="B58" s="5">
        <v>5</v>
      </c>
      <c r="C58" s="39">
        <v>46178</v>
      </c>
      <c r="D58" s="304">
        <v>46180</v>
      </c>
      <c r="E58" s="133">
        <v>13</v>
      </c>
      <c r="F58" s="155">
        <v>97</v>
      </c>
      <c r="G58" s="138">
        <v>0.1115</v>
      </c>
      <c r="H58" s="8">
        <v>0.35249999999999998</v>
      </c>
      <c r="I58" s="8">
        <v>0.3</v>
      </c>
      <c r="J58" s="139">
        <v>45.25</v>
      </c>
      <c r="K58" s="139">
        <v>28.733750000000001</v>
      </c>
      <c r="L58" s="139">
        <v>63.5</v>
      </c>
      <c r="M58" s="8">
        <v>0.19</v>
      </c>
      <c r="N58" s="140">
        <v>78.5</v>
      </c>
      <c r="O58" s="140"/>
      <c r="P58" s="140"/>
      <c r="Q58" s="140"/>
      <c r="R58" s="140"/>
      <c r="S58" s="140"/>
      <c r="T58" s="140"/>
      <c r="U58" s="140"/>
      <c r="V58" s="140"/>
      <c r="W58" s="140"/>
      <c r="X58" s="309">
        <v>46167</v>
      </c>
      <c r="Y58" s="309">
        <v>46168</v>
      </c>
      <c r="Z58" s="312">
        <v>6</v>
      </c>
      <c r="AA58" s="392">
        <v>50</v>
      </c>
      <c r="AB58" s="28">
        <v>0.1115</v>
      </c>
      <c r="AC58" s="30">
        <v>0.35249999999999998</v>
      </c>
      <c r="AD58" s="30">
        <v>0.3</v>
      </c>
      <c r="AE58" s="385">
        <v>40.25</v>
      </c>
      <c r="AF58" s="385">
        <f t="shared" si="3"/>
        <v>28.275625000000002</v>
      </c>
      <c r="AG58" s="385">
        <v>70.25</v>
      </c>
      <c r="AH58" s="30">
        <v>0.19</v>
      </c>
      <c r="AI58" s="140">
        <v>81</v>
      </c>
      <c r="AJ58" s="141" t="s">
        <v>458</v>
      </c>
      <c r="AK58" s="141"/>
      <c r="AL58" s="138">
        <f t="shared" si="6"/>
        <v>0</v>
      </c>
      <c r="AM58" s="8">
        <f t="shared" si="6"/>
        <v>0</v>
      </c>
      <c r="AN58" s="8">
        <f t="shared" si="6"/>
        <v>0</v>
      </c>
      <c r="AO58" s="139">
        <f t="shared" si="6"/>
        <v>-5</v>
      </c>
      <c r="AP58" s="139">
        <f t="shared" si="6"/>
        <v>-0.45812499999999901</v>
      </c>
      <c r="AQ58" s="139">
        <f t="shared" si="6"/>
        <v>6.75</v>
      </c>
      <c r="AR58" s="8">
        <f t="shared" si="6"/>
        <v>0</v>
      </c>
      <c r="AS58" s="139">
        <f t="shared" si="6"/>
        <v>2.5</v>
      </c>
      <c r="AT58" s="200" t="s">
        <v>222</v>
      </c>
      <c r="AU58" s="200" t="s">
        <v>222</v>
      </c>
      <c r="AV58" s="200" t="s">
        <v>222</v>
      </c>
      <c r="AW58" s="200" t="s">
        <v>222</v>
      </c>
      <c r="AX58" s="200" t="s">
        <v>222</v>
      </c>
      <c r="AY58" s="386">
        <v>5</v>
      </c>
      <c r="AZ58" s="312">
        <f t="shared" si="5"/>
        <v>6</v>
      </c>
      <c r="BA58" s="155">
        <f t="shared" si="5"/>
        <v>50</v>
      </c>
      <c r="BB58" s="143">
        <v>46178</v>
      </c>
      <c r="BC58" s="23" t="s">
        <v>458</v>
      </c>
      <c r="BD58" s="23" t="s">
        <v>550</v>
      </c>
    </row>
    <row r="59" spans="2:56" ht="15.5">
      <c r="B59" s="228">
        <v>5</v>
      </c>
      <c r="C59" s="393">
        <v>46179</v>
      </c>
      <c r="D59" s="232">
        <v>46181</v>
      </c>
      <c r="E59" s="233">
        <v>13</v>
      </c>
      <c r="F59" s="234">
        <v>98</v>
      </c>
      <c r="G59" s="235">
        <v>0.114</v>
      </c>
      <c r="H59" s="236">
        <v>0.35</v>
      </c>
      <c r="I59" s="236">
        <v>0.31</v>
      </c>
      <c r="J59" s="237">
        <v>46</v>
      </c>
      <c r="K59" s="237">
        <v>28.998745</v>
      </c>
      <c r="L59" s="237">
        <v>63.040750000000003</v>
      </c>
      <c r="M59" s="236">
        <v>0.19</v>
      </c>
      <c r="N59" s="238">
        <v>78.5</v>
      </c>
      <c r="O59" s="238"/>
      <c r="P59" s="238"/>
      <c r="Q59" s="238"/>
      <c r="R59" s="238"/>
      <c r="S59" s="238"/>
      <c r="T59" s="238"/>
      <c r="U59" s="238"/>
      <c r="V59" s="238"/>
      <c r="W59" s="238"/>
      <c r="X59" s="309">
        <v>46167</v>
      </c>
      <c r="Y59" s="309">
        <v>46168</v>
      </c>
      <c r="Z59" s="312">
        <v>6</v>
      </c>
      <c r="AA59" s="392">
        <v>51</v>
      </c>
      <c r="AB59" s="28">
        <v>0.114</v>
      </c>
      <c r="AC59" s="30">
        <v>0.35</v>
      </c>
      <c r="AD59" s="30">
        <v>0.31</v>
      </c>
      <c r="AE59" s="385">
        <v>38.75</v>
      </c>
      <c r="AF59" s="385">
        <f t="shared" si="3"/>
        <v>27.706250000000001</v>
      </c>
      <c r="AG59" s="385">
        <v>71.5</v>
      </c>
      <c r="AH59" s="30">
        <v>0.19</v>
      </c>
      <c r="AI59" s="140">
        <v>81</v>
      </c>
      <c r="AJ59" s="141" t="s">
        <v>458</v>
      </c>
      <c r="AK59" s="141"/>
      <c r="AL59" s="138">
        <f t="shared" si="6"/>
        <v>0</v>
      </c>
      <c r="AM59" s="8">
        <f t="shared" si="6"/>
        <v>0</v>
      </c>
      <c r="AN59" s="8">
        <f t="shared" si="6"/>
        <v>0</v>
      </c>
      <c r="AO59" s="139">
        <f t="shared" si="6"/>
        <v>-7.25</v>
      </c>
      <c r="AP59" s="139">
        <f t="shared" si="6"/>
        <v>-1.2924949999999988</v>
      </c>
      <c r="AQ59" s="139">
        <f t="shared" si="6"/>
        <v>8.4592499999999973</v>
      </c>
      <c r="AR59" s="8">
        <f t="shared" si="6"/>
        <v>0</v>
      </c>
      <c r="AS59" s="139">
        <f t="shared" si="6"/>
        <v>2.5</v>
      </c>
      <c r="AT59" s="200" t="s">
        <v>222</v>
      </c>
      <c r="AU59" s="200" t="s">
        <v>222</v>
      </c>
      <c r="AV59" s="200" t="s">
        <v>222</v>
      </c>
      <c r="AW59" s="200" t="s">
        <v>222</v>
      </c>
      <c r="AX59" s="200" t="s">
        <v>222</v>
      </c>
      <c r="AY59" s="386">
        <v>5</v>
      </c>
      <c r="AZ59" s="312">
        <f t="shared" si="5"/>
        <v>6</v>
      </c>
      <c r="BA59" s="155">
        <f t="shared" si="5"/>
        <v>51</v>
      </c>
      <c r="BB59" s="143">
        <v>46179</v>
      </c>
      <c r="BC59" s="23" t="s">
        <v>458</v>
      </c>
      <c r="BD59" s="23" t="s">
        <v>550</v>
      </c>
    </row>
    <row r="60" spans="2:56" ht="15.5">
      <c r="B60" s="5">
        <v>5</v>
      </c>
      <c r="C60" s="39">
        <v>46179</v>
      </c>
      <c r="D60" s="304">
        <v>46181</v>
      </c>
      <c r="E60" s="133">
        <v>13</v>
      </c>
      <c r="F60" s="155">
        <v>99</v>
      </c>
      <c r="G60" s="138">
        <v>0.10475000000000001</v>
      </c>
      <c r="H60" s="8">
        <v>0.33250000000000002</v>
      </c>
      <c r="I60" s="8">
        <v>0.33</v>
      </c>
      <c r="J60" s="139">
        <v>43.5</v>
      </c>
      <c r="K60" s="139">
        <v>26.535</v>
      </c>
      <c r="L60" s="139">
        <v>61</v>
      </c>
      <c r="M60" s="8">
        <v>0.19</v>
      </c>
      <c r="N60" s="140">
        <v>78.5</v>
      </c>
      <c r="O60" s="140"/>
      <c r="P60" s="140"/>
      <c r="Q60" s="140"/>
      <c r="R60" s="140"/>
      <c r="S60" s="140"/>
      <c r="T60" s="140"/>
      <c r="U60" s="140"/>
      <c r="V60" s="140"/>
      <c r="W60" s="140"/>
      <c r="X60" s="309">
        <v>46167</v>
      </c>
      <c r="Y60" s="309">
        <v>46168</v>
      </c>
      <c r="Z60" s="312">
        <v>6</v>
      </c>
      <c r="AA60" s="392">
        <v>52</v>
      </c>
      <c r="AB60" s="28">
        <v>0.10475000000000001</v>
      </c>
      <c r="AC60" s="30">
        <v>0.33250000000000002</v>
      </c>
      <c r="AD60" s="30">
        <v>0.33</v>
      </c>
      <c r="AE60" s="385">
        <v>40.75</v>
      </c>
      <c r="AF60" s="385">
        <f t="shared" si="3"/>
        <v>29.849374999999998</v>
      </c>
      <c r="AG60" s="385">
        <v>73.25</v>
      </c>
      <c r="AH60" s="30">
        <v>0.19</v>
      </c>
      <c r="AI60" s="140">
        <v>81</v>
      </c>
      <c r="AJ60" s="141" t="s">
        <v>458</v>
      </c>
      <c r="AK60" s="141"/>
      <c r="AL60" s="138">
        <f t="shared" si="6"/>
        <v>0</v>
      </c>
      <c r="AM60" s="8">
        <f t="shared" si="6"/>
        <v>0</v>
      </c>
      <c r="AN60" s="8">
        <f t="shared" si="6"/>
        <v>0</v>
      </c>
      <c r="AO60" s="139">
        <f t="shared" si="6"/>
        <v>-2.75</v>
      </c>
      <c r="AP60" s="139">
        <f t="shared" si="6"/>
        <v>3.3143749999999983</v>
      </c>
      <c r="AQ60" s="139">
        <f t="shared" si="6"/>
        <v>12.25</v>
      </c>
      <c r="AR60" s="8">
        <f t="shared" si="6"/>
        <v>0</v>
      </c>
      <c r="AS60" s="139">
        <f t="shared" si="6"/>
        <v>2.5</v>
      </c>
      <c r="AT60" s="200" t="s">
        <v>222</v>
      </c>
      <c r="AU60" s="200" t="s">
        <v>222</v>
      </c>
      <c r="AV60" s="200" t="s">
        <v>222</v>
      </c>
      <c r="AW60" s="200" t="s">
        <v>222</v>
      </c>
      <c r="AX60" s="200" t="s">
        <v>222</v>
      </c>
      <c r="AY60" s="386">
        <v>5</v>
      </c>
      <c r="AZ60" s="312">
        <f t="shared" si="5"/>
        <v>6</v>
      </c>
      <c r="BA60" s="155">
        <f t="shared" si="5"/>
        <v>52</v>
      </c>
      <c r="BB60" s="143">
        <v>46179</v>
      </c>
      <c r="BC60" s="23" t="s">
        <v>458</v>
      </c>
      <c r="BD60" s="23" t="s">
        <v>550</v>
      </c>
    </row>
    <row r="61" spans="2:56" ht="15.5">
      <c r="B61" s="5">
        <v>28</v>
      </c>
      <c r="C61" s="39">
        <v>46161</v>
      </c>
      <c r="D61" s="304">
        <v>46163</v>
      </c>
      <c r="E61" s="133">
        <v>5</v>
      </c>
      <c r="F61" s="155">
        <v>36</v>
      </c>
      <c r="G61" s="138">
        <v>0.10525</v>
      </c>
      <c r="H61" s="8">
        <v>0.3125</v>
      </c>
      <c r="I61" s="8">
        <v>0.35</v>
      </c>
      <c r="J61" s="139">
        <v>39</v>
      </c>
      <c r="K61" s="139">
        <v>25.448626444159178</v>
      </c>
      <c r="L61" s="139">
        <v>65.252888318356867</v>
      </c>
      <c r="M61" s="8">
        <v>0.23</v>
      </c>
      <c r="N61" s="140">
        <v>76</v>
      </c>
      <c r="O61" s="339">
        <v>46226</v>
      </c>
      <c r="P61" s="140"/>
      <c r="Q61" s="140"/>
      <c r="R61" s="140"/>
      <c r="S61" s="140"/>
      <c r="T61" s="140"/>
      <c r="U61" s="140"/>
      <c r="V61" s="140"/>
      <c r="W61" s="140">
        <v>82</v>
      </c>
      <c r="X61" s="309">
        <v>46176</v>
      </c>
      <c r="Y61" s="309">
        <v>46176</v>
      </c>
      <c r="Z61" s="312">
        <v>7</v>
      </c>
      <c r="AA61" s="392">
        <v>53</v>
      </c>
      <c r="AB61" s="28">
        <v>0.10525</v>
      </c>
      <c r="AC61" s="30">
        <v>0.3125</v>
      </c>
      <c r="AD61" s="30">
        <v>0.35</v>
      </c>
      <c r="AE61" s="385">
        <v>39</v>
      </c>
      <c r="AF61" s="385">
        <f t="shared" si="3"/>
        <v>27.495000000000001</v>
      </c>
      <c r="AG61" s="385">
        <v>70.5</v>
      </c>
      <c r="AH61" s="30">
        <v>0.23</v>
      </c>
      <c r="AI61" s="140">
        <v>81</v>
      </c>
      <c r="AJ61" s="141" t="s">
        <v>458</v>
      </c>
      <c r="AK61" s="141"/>
      <c r="AL61" s="138">
        <f t="shared" si="6"/>
        <v>0</v>
      </c>
      <c r="AM61" s="8">
        <f t="shared" si="6"/>
        <v>0</v>
      </c>
      <c r="AN61" s="8">
        <f t="shared" si="6"/>
        <v>0</v>
      </c>
      <c r="AO61" s="139">
        <f t="shared" si="6"/>
        <v>0</v>
      </c>
      <c r="AP61" s="139">
        <f t="shared" si="6"/>
        <v>2.0463735558408231</v>
      </c>
      <c r="AQ61" s="139">
        <f t="shared" si="6"/>
        <v>5.2471116816431334</v>
      </c>
      <c r="AR61" s="8">
        <f t="shared" si="6"/>
        <v>0</v>
      </c>
      <c r="AS61" s="139">
        <f t="shared" si="6"/>
        <v>5</v>
      </c>
      <c r="AT61" s="200" t="s">
        <v>222</v>
      </c>
      <c r="AU61" s="200" t="s">
        <v>222</v>
      </c>
      <c r="AV61" s="200" t="s">
        <v>222</v>
      </c>
      <c r="AW61" s="200" t="s">
        <v>222</v>
      </c>
      <c r="AX61" s="200" t="s">
        <v>222</v>
      </c>
      <c r="AY61" s="386">
        <v>6</v>
      </c>
      <c r="AZ61" s="312">
        <f t="shared" si="5"/>
        <v>7</v>
      </c>
      <c r="BA61" s="155">
        <f t="shared" si="5"/>
        <v>53</v>
      </c>
      <c r="BB61" s="143">
        <v>46161</v>
      </c>
      <c r="BC61" s="23" t="s">
        <v>458</v>
      </c>
      <c r="BD61" s="23" t="s">
        <v>533</v>
      </c>
    </row>
    <row r="62" spans="2:56" ht="15.5">
      <c r="B62" s="397">
        <v>4</v>
      </c>
      <c r="C62" s="398">
        <v>46164</v>
      </c>
      <c r="D62" s="399">
        <v>46166</v>
      </c>
      <c r="E62" s="400">
        <v>7</v>
      </c>
      <c r="F62" s="401">
        <v>56</v>
      </c>
      <c r="G62" s="402">
        <v>0.10324999999999999</v>
      </c>
      <c r="H62" s="403">
        <v>0.32</v>
      </c>
      <c r="I62" s="403">
        <v>0.33</v>
      </c>
      <c r="J62" s="404">
        <v>46.25</v>
      </c>
      <c r="K62" s="404">
        <v>27.992812499999999</v>
      </c>
      <c r="L62" s="404">
        <v>60.524999999999999</v>
      </c>
      <c r="M62" s="403">
        <v>0.21</v>
      </c>
      <c r="N62" s="405">
        <v>81</v>
      </c>
      <c r="O62" s="141"/>
      <c r="P62" s="405"/>
      <c r="Q62" s="405"/>
      <c r="R62" s="405"/>
      <c r="S62" s="405"/>
      <c r="T62" s="405"/>
      <c r="U62" s="405"/>
      <c r="V62" s="405"/>
      <c r="W62" s="391"/>
      <c r="X62" s="309">
        <v>46176</v>
      </c>
      <c r="Y62" s="309">
        <v>46176</v>
      </c>
      <c r="Z62" s="312">
        <v>7</v>
      </c>
      <c r="AA62" s="392">
        <v>54</v>
      </c>
      <c r="AB62" s="28">
        <v>0.10324999999999999</v>
      </c>
      <c r="AC62" s="30">
        <v>0.32</v>
      </c>
      <c r="AD62" s="30">
        <v>0.33</v>
      </c>
      <c r="AE62" s="385">
        <v>39</v>
      </c>
      <c r="AF62" s="385">
        <f t="shared" si="3"/>
        <v>27.787500000000001</v>
      </c>
      <c r="AG62" s="385">
        <v>71.25</v>
      </c>
      <c r="AH62" s="30">
        <v>0.23</v>
      </c>
      <c r="AI62" s="140">
        <v>81</v>
      </c>
      <c r="AJ62" s="141" t="s">
        <v>458</v>
      </c>
      <c r="AK62" s="141"/>
      <c r="AL62" s="138">
        <f t="shared" si="6"/>
        <v>0</v>
      </c>
      <c r="AM62" s="8">
        <f t="shared" si="6"/>
        <v>0</v>
      </c>
      <c r="AN62" s="8">
        <f t="shared" si="6"/>
        <v>0</v>
      </c>
      <c r="AO62" s="139">
        <f t="shared" si="6"/>
        <v>-7.25</v>
      </c>
      <c r="AP62" s="139">
        <f t="shared" si="6"/>
        <v>-0.20531249999999801</v>
      </c>
      <c r="AQ62" s="139">
        <f t="shared" si="6"/>
        <v>10.725000000000001</v>
      </c>
      <c r="AR62" s="8">
        <f t="shared" si="6"/>
        <v>2.0000000000000018E-2</v>
      </c>
      <c r="AS62" s="139">
        <f t="shared" si="6"/>
        <v>0</v>
      </c>
      <c r="AT62" s="200" t="s">
        <v>222</v>
      </c>
      <c r="AU62" s="200" t="s">
        <v>222</v>
      </c>
      <c r="AV62" s="200" t="s">
        <v>222</v>
      </c>
      <c r="AW62" s="200" t="s">
        <v>222</v>
      </c>
      <c r="AX62" s="200" t="s">
        <v>222</v>
      </c>
      <c r="AY62" s="386">
        <v>6</v>
      </c>
      <c r="AZ62" s="312">
        <f t="shared" si="5"/>
        <v>7</v>
      </c>
      <c r="BA62" s="155">
        <f t="shared" si="5"/>
        <v>54</v>
      </c>
      <c r="BB62" s="143">
        <v>46164</v>
      </c>
      <c r="BC62" s="23" t="s">
        <v>458</v>
      </c>
      <c r="BD62" s="23" t="s">
        <v>533</v>
      </c>
    </row>
    <row r="63" spans="2:56" ht="15.5">
      <c r="B63" s="388">
        <v>4</v>
      </c>
      <c r="C63" s="389">
        <v>46164</v>
      </c>
      <c r="D63" s="390">
        <v>46166</v>
      </c>
      <c r="E63" s="187">
        <v>8</v>
      </c>
      <c r="F63" s="188">
        <v>58</v>
      </c>
      <c r="G63" s="189">
        <v>0.11524999999999999</v>
      </c>
      <c r="H63" s="190">
        <v>0.33499999999999996</v>
      </c>
      <c r="I63" s="190">
        <v>0.3</v>
      </c>
      <c r="J63" s="191">
        <v>46.5</v>
      </c>
      <c r="K63" s="191">
        <v>28.504499999999997</v>
      </c>
      <c r="L63" s="191">
        <v>61.3</v>
      </c>
      <c r="M63" s="190">
        <v>0.22</v>
      </c>
      <c r="N63" s="391">
        <v>83.5</v>
      </c>
      <c r="O63" s="141"/>
      <c r="P63" s="391"/>
      <c r="Q63" s="391"/>
      <c r="R63" s="391"/>
      <c r="S63" s="391"/>
      <c r="T63" s="391"/>
      <c r="U63" s="391"/>
      <c r="V63" s="391"/>
      <c r="W63" s="391"/>
      <c r="X63" s="309">
        <v>46176</v>
      </c>
      <c r="Y63" s="309">
        <v>46176</v>
      </c>
      <c r="Z63" s="312">
        <v>7</v>
      </c>
      <c r="AA63" s="392">
        <v>55</v>
      </c>
      <c r="AB63" s="28">
        <v>0.11524999999999999</v>
      </c>
      <c r="AC63" s="30">
        <v>0.33499999999999996</v>
      </c>
      <c r="AD63" s="30">
        <v>0.3</v>
      </c>
      <c r="AE63" s="385">
        <v>38.75</v>
      </c>
      <c r="AF63" s="385">
        <f t="shared" si="3"/>
        <v>28.481249999999999</v>
      </c>
      <c r="AG63" s="385">
        <v>73.5</v>
      </c>
      <c r="AH63" s="30">
        <v>0.23</v>
      </c>
      <c r="AI63" s="140">
        <v>81</v>
      </c>
      <c r="AJ63" s="141" t="s">
        <v>458</v>
      </c>
      <c r="AK63" s="141"/>
      <c r="AL63" s="138">
        <f t="shared" si="6"/>
        <v>0</v>
      </c>
      <c r="AM63" s="8">
        <f t="shared" si="6"/>
        <v>0</v>
      </c>
      <c r="AN63" s="8">
        <f t="shared" si="6"/>
        <v>0</v>
      </c>
      <c r="AO63" s="139">
        <f t="shared" si="6"/>
        <v>-7.75</v>
      </c>
      <c r="AP63" s="139">
        <f t="shared" si="6"/>
        <v>-2.3249999999997328E-2</v>
      </c>
      <c r="AQ63" s="139">
        <f t="shared" si="6"/>
        <v>12.200000000000003</v>
      </c>
      <c r="AR63" s="8">
        <f t="shared" si="6"/>
        <v>1.0000000000000009E-2</v>
      </c>
      <c r="AS63" s="139">
        <f t="shared" si="6"/>
        <v>-2.5</v>
      </c>
      <c r="AT63" s="200" t="s">
        <v>222</v>
      </c>
      <c r="AU63" s="200" t="s">
        <v>222</v>
      </c>
      <c r="AV63" s="200" t="s">
        <v>222</v>
      </c>
      <c r="AW63" s="200" t="s">
        <v>222</v>
      </c>
      <c r="AX63" s="200" t="s">
        <v>222</v>
      </c>
      <c r="AY63" s="386">
        <v>6</v>
      </c>
      <c r="AZ63" s="312">
        <f t="shared" si="5"/>
        <v>7</v>
      </c>
      <c r="BA63" s="155">
        <f t="shared" si="5"/>
        <v>55</v>
      </c>
      <c r="BB63" s="143">
        <v>46167</v>
      </c>
      <c r="BC63" s="23" t="s">
        <v>458</v>
      </c>
      <c r="BD63" s="23" t="s">
        <v>533</v>
      </c>
    </row>
    <row r="64" spans="2:56" ht="15.5">
      <c r="B64" s="5">
        <v>4</v>
      </c>
      <c r="C64" s="39">
        <v>46164</v>
      </c>
      <c r="D64" s="304">
        <v>46166</v>
      </c>
      <c r="E64" s="133">
        <v>8</v>
      </c>
      <c r="F64" s="155">
        <v>61</v>
      </c>
      <c r="G64" s="138">
        <v>0.11424999999999999</v>
      </c>
      <c r="H64" s="8">
        <v>0.32250000000000001</v>
      </c>
      <c r="I64" s="8">
        <v>0.38</v>
      </c>
      <c r="J64" s="139">
        <v>50.25</v>
      </c>
      <c r="K64" s="139">
        <v>32.247937499999999</v>
      </c>
      <c r="L64" s="139">
        <v>64.174999999999997</v>
      </c>
      <c r="M64" s="8">
        <v>0.22</v>
      </c>
      <c r="N64" s="140">
        <v>86</v>
      </c>
      <c r="O64" s="339">
        <v>46226</v>
      </c>
      <c r="P64" s="140"/>
      <c r="Q64" s="140"/>
      <c r="R64" s="140"/>
      <c r="S64" s="140"/>
      <c r="T64" s="140"/>
      <c r="U64" s="140"/>
      <c r="V64" s="140"/>
      <c r="W64" s="140" t="s">
        <v>561</v>
      </c>
      <c r="X64" s="309">
        <v>46176</v>
      </c>
      <c r="Y64" s="309">
        <v>46176</v>
      </c>
      <c r="Z64" s="312">
        <v>7</v>
      </c>
      <c r="AA64" s="392">
        <v>56</v>
      </c>
      <c r="AB64" s="28">
        <v>0.11424999999999999</v>
      </c>
      <c r="AC64" s="30">
        <v>0.32250000000000001</v>
      </c>
      <c r="AD64" s="30">
        <v>0.38</v>
      </c>
      <c r="AE64" s="385">
        <v>40.75</v>
      </c>
      <c r="AF64" s="385">
        <f t="shared" si="3"/>
        <v>28.524999999999999</v>
      </c>
      <c r="AG64" s="385">
        <v>70</v>
      </c>
      <c r="AH64" s="30">
        <v>0.23</v>
      </c>
      <c r="AI64" s="140">
        <v>81</v>
      </c>
      <c r="AJ64" s="141" t="s">
        <v>458</v>
      </c>
      <c r="AK64" s="141"/>
      <c r="AL64" s="138">
        <f t="shared" si="6"/>
        <v>0</v>
      </c>
      <c r="AM64" s="8">
        <f t="shared" si="6"/>
        <v>0</v>
      </c>
      <c r="AN64" s="8">
        <f t="shared" si="6"/>
        <v>0</v>
      </c>
      <c r="AO64" s="139">
        <f t="shared" si="6"/>
        <v>-9.5</v>
      </c>
      <c r="AP64" s="139">
        <f t="shared" si="6"/>
        <v>-3.7229375000000005</v>
      </c>
      <c r="AQ64" s="139">
        <f t="shared" si="6"/>
        <v>5.8250000000000028</v>
      </c>
      <c r="AR64" s="8">
        <f t="shared" si="6"/>
        <v>1.0000000000000009E-2</v>
      </c>
      <c r="AS64" s="139">
        <f t="shared" si="6"/>
        <v>-5</v>
      </c>
      <c r="AT64" s="200" t="s">
        <v>222</v>
      </c>
      <c r="AU64" s="200" t="s">
        <v>222</v>
      </c>
      <c r="AV64" s="200" t="s">
        <v>222</v>
      </c>
      <c r="AW64" s="200" t="s">
        <v>222</v>
      </c>
      <c r="AX64" s="200" t="s">
        <v>222</v>
      </c>
      <c r="AY64" s="386">
        <v>6</v>
      </c>
      <c r="AZ64" s="312">
        <f t="shared" si="5"/>
        <v>7</v>
      </c>
      <c r="BA64" s="155">
        <f t="shared" si="5"/>
        <v>56</v>
      </c>
      <c r="BB64" s="143">
        <v>46167</v>
      </c>
      <c r="BC64" s="23" t="s">
        <v>458</v>
      </c>
      <c r="BD64" s="23" t="s">
        <v>533</v>
      </c>
    </row>
    <row r="65" spans="2:56" ht="15.5">
      <c r="B65" s="5">
        <v>4</v>
      </c>
      <c r="C65" s="39">
        <v>46164</v>
      </c>
      <c r="D65" s="304">
        <v>46166</v>
      </c>
      <c r="E65" s="133">
        <v>8</v>
      </c>
      <c r="F65" s="155">
        <v>62</v>
      </c>
      <c r="G65" s="138">
        <v>0.109</v>
      </c>
      <c r="H65" s="8">
        <v>0.36</v>
      </c>
      <c r="I65" s="8">
        <v>0.35</v>
      </c>
      <c r="J65" s="139">
        <v>48.25</v>
      </c>
      <c r="K65" s="139">
        <v>31.000624999999999</v>
      </c>
      <c r="L65" s="139">
        <v>64.25</v>
      </c>
      <c r="M65" s="8">
        <v>0.22</v>
      </c>
      <c r="N65" s="140">
        <v>86</v>
      </c>
      <c r="O65" s="141"/>
      <c r="P65" s="140"/>
      <c r="Q65" s="140"/>
      <c r="R65" s="140"/>
      <c r="S65" s="140"/>
      <c r="T65" s="140"/>
      <c r="U65" s="140"/>
      <c r="V65" s="140"/>
      <c r="W65" s="140"/>
      <c r="X65" s="309">
        <v>46176</v>
      </c>
      <c r="Y65" s="309">
        <v>46176</v>
      </c>
      <c r="Z65" s="312">
        <v>7</v>
      </c>
      <c r="AA65" s="392">
        <v>57</v>
      </c>
      <c r="AB65" s="28">
        <v>0.109</v>
      </c>
      <c r="AC65" s="30">
        <v>0.36</v>
      </c>
      <c r="AD65" s="30">
        <v>0.35</v>
      </c>
      <c r="AE65" s="385">
        <v>38.5</v>
      </c>
      <c r="AF65" s="385">
        <f t="shared" si="3"/>
        <v>26.95</v>
      </c>
      <c r="AG65" s="385">
        <v>70</v>
      </c>
      <c r="AH65" s="30">
        <v>0.23</v>
      </c>
      <c r="AI65" s="140">
        <v>79</v>
      </c>
      <c r="AJ65" s="141" t="s">
        <v>458</v>
      </c>
      <c r="AK65" s="141"/>
      <c r="AL65" s="138">
        <f t="shared" si="6"/>
        <v>0</v>
      </c>
      <c r="AM65" s="8">
        <f t="shared" si="6"/>
        <v>0</v>
      </c>
      <c r="AN65" s="8">
        <f t="shared" si="6"/>
        <v>0</v>
      </c>
      <c r="AO65" s="139">
        <f t="shared" si="6"/>
        <v>-9.75</v>
      </c>
      <c r="AP65" s="139">
        <f t="shared" si="6"/>
        <v>-4.0506250000000001</v>
      </c>
      <c r="AQ65" s="139">
        <f t="shared" si="6"/>
        <v>5.75</v>
      </c>
      <c r="AR65" s="8">
        <f t="shared" si="6"/>
        <v>1.0000000000000009E-2</v>
      </c>
      <c r="AS65" s="139">
        <f t="shared" si="6"/>
        <v>-7</v>
      </c>
      <c r="AT65" s="200" t="s">
        <v>222</v>
      </c>
      <c r="AU65" s="200" t="s">
        <v>222</v>
      </c>
      <c r="AV65" s="200" t="s">
        <v>222</v>
      </c>
      <c r="AW65" s="200" t="s">
        <v>222</v>
      </c>
      <c r="AX65" s="200" t="s">
        <v>222</v>
      </c>
      <c r="AY65" s="386">
        <v>6</v>
      </c>
      <c r="AZ65" s="312">
        <f t="shared" si="5"/>
        <v>7</v>
      </c>
      <c r="BA65" s="155">
        <f t="shared" si="5"/>
        <v>57</v>
      </c>
      <c r="BB65" s="143">
        <v>46175</v>
      </c>
      <c r="BC65" s="23" t="s">
        <v>458</v>
      </c>
      <c r="BD65" s="23" t="s">
        <v>533</v>
      </c>
    </row>
    <row r="66" spans="2:56" ht="15.5">
      <c r="B66" s="5">
        <v>4</v>
      </c>
      <c r="C66" s="39">
        <v>46172</v>
      </c>
      <c r="D66" s="304">
        <v>46174</v>
      </c>
      <c r="E66" s="133">
        <v>10</v>
      </c>
      <c r="F66" s="155">
        <v>74</v>
      </c>
      <c r="G66" s="138">
        <v>0.10775</v>
      </c>
      <c r="H66" s="8">
        <v>0.36250000000000004</v>
      </c>
      <c r="I66" s="8">
        <v>0.3</v>
      </c>
      <c r="J66" s="139">
        <v>50.75</v>
      </c>
      <c r="K66" s="139">
        <v>29.764875000000004</v>
      </c>
      <c r="L66" s="139">
        <v>58.650000000000006</v>
      </c>
      <c r="M66" s="8">
        <v>0.2</v>
      </c>
      <c r="N66" s="140">
        <v>85.5</v>
      </c>
      <c r="O66" s="141"/>
      <c r="P66" s="140"/>
      <c r="Q66" s="140"/>
      <c r="R66" s="140"/>
      <c r="S66" s="140"/>
      <c r="T66" s="140"/>
      <c r="U66" s="140"/>
      <c r="V66" s="140"/>
      <c r="W66" s="140"/>
      <c r="X66" s="309">
        <v>46176</v>
      </c>
      <c r="Y66" s="309">
        <v>46176</v>
      </c>
      <c r="Z66" s="312">
        <v>7</v>
      </c>
      <c r="AA66" s="392">
        <v>58</v>
      </c>
      <c r="AB66" s="28">
        <v>0.10775</v>
      </c>
      <c r="AC66" s="30">
        <v>0.36250000000000004</v>
      </c>
      <c r="AD66" s="30">
        <v>0.3</v>
      </c>
      <c r="AE66" s="385">
        <v>39</v>
      </c>
      <c r="AF66" s="385">
        <f t="shared" si="3"/>
        <v>27.982500000000002</v>
      </c>
      <c r="AG66" s="385">
        <v>71.75</v>
      </c>
      <c r="AH66" s="30">
        <v>0.23</v>
      </c>
      <c r="AI66" s="140">
        <v>79</v>
      </c>
      <c r="AJ66" s="141" t="s">
        <v>458</v>
      </c>
      <c r="AK66" s="141"/>
      <c r="AL66" s="138">
        <f t="shared" si="6"/>
        <v>0</v>
      </c>
      <c r="AM66" s="8">
        <f t="shared" si="6"/>
        <v>0</v>
      </c>
      <c r="AN66" s="8">
        <f t="shared" si="6"/>
        <v>0</v>
      </c>
      <c r="AO66" s="139">
        <f t="shared" si="6"/>
        <v>-11.75</v>
      </c>
      <c r="AP66" s="139">
        <f t="shared" si="6"/>
        <v>-1.7823750000000018</v>
      </c>
      <c r="AQ66" s="139">
        <f t="shared" si="6"/>
        <v>13.099999999999994</v>
      </c>
      <c r="AR66" s="8">
        <f t="shared" si="6"/>
        <v>0.03</v>
      </c>
      <c r="AS66" s="139">
        <f t="shared" si="6"/>
        <v>-6.5</v>
      </c>
      <c r="AT66" s="200" t="s">
        <v>222</v>
      </c>
      <c r="AU66" s="200" t="s">
        <v>222</v>
      </c>
      <c r="AV66" s="200" t="s">
        <v>222</v>
      </c>
      <c r="AW66" s="200" t="s">
        <v>222</v>
      </c>
      <c r="AX66" s="200" t="s">
        <v>222</v>
      </c>
      <c r="AY66" s="386">
        <v>6</v>
      </c>
      <c r="AZ66" s="312">
        <f t="shared" si="5"/>
        <v>7</v>
      </c>
      <c r="BA66" s="155">
        <f t="shared" si="5"/>
        <v>58</v>
      </c>
      <c r="BB66" s="143">
        <v>46175</v>
      </c>
      <c r="BC66" s="23" t="s">
        <v>458</v>
      </c>
      <c r="BD66" s="23" t="s">
        <v>533</v>
      </c>
    </row>
    <row r="67" spans="2:56" ht="15.5">
      <c r="B67" s="5">
        <v>5</v>
      </c>
      <c r="C67" s="39">
        <v>46175</v>
      </c>
      <c r="D67" s="304">
        <v>46177</v>
      </c>
      <c r="E67" s="133">
        <v>10</v>
      </c>
      <c r="F67" s="155">
        <v>79</v>
      </c>
      <c r="G67" s="138">
        <v>0.113</v>
      </c>
      <c r="H67" s="8">
        <v>0.36250000000000004</v>
      </c>
      <c r="I67" s="8">
        <v>0.35</v>
      </c>
      <c r="J67" s="139">
        <v>47.75</v>
      </c>
      <c r="K67" s="139">
        <v>30.038392354687019</v>
      </c>
      <c r="L67" s="139">
        <v>62.907627967930935</v>
      </c>
      <c r="M67" s="8">
        <v>0.2</v>
      </c>
      <c r="N67" s="140">
        <v>79</v>
      </c>
      <c r="O67" s="339">
        <v>46226</v>
      </c>
      <c r="P67" s="140"/>
      <c r="Q67" s="140"/>
      <c r="R67" s="140"/>
      <c r="S67" s="140"/>
      <c r="T67" s="140"/>
      <c r="U67" s="140"/>
      <c r="V67" s="140"/>
      <c r="W67" s="140">
        <v>89</v>
      </c>
      <c r="X67" s="309">
        <v>46176</v>
      </c>
      <c r="Y67" s="309">
        <v>46176</v>
      </c>
      <c r="Z67" s="312">
        <v>7</v>
      </c>
      <c r="AA67" s="392">
        <v>59</v>
      </c>
      <c r="AB67" s="28">
        <v>0.113</v>
      </c>
      <c r="AC67" s="30">
        <v>0.36250000000000004</v>
      </c>
      <c r="AD67" s="30">
        <v>0.35</v>
      </c>
      <c r="AE67" s="385">
        <v>40.5</v>
      </c>
      <c r="AF67" s="385">
        <f t="shared" si="3"/>
        <v>29.05875</v>
      </c>
      <c r="AG67" s="385">
        <v>71.75</v>
      </c>
      <c r="AH67" s="30">
        <v>0.23</v>
      </c>
      <c r="AI67" s="140">
        <v>79</v>
      </c>
      <c r="AJ67" s="141" t="s">
        <v>458</v>
      </c>
      <c r="AK67" s="141"/>
      <c r="AL67" s="138">
        <f t="shared" si="6"/>
        <v>0</v>
      </c>
      <c r="AM67" s="8">
        <f t="shared" si="6"/>
        <v>0</v>
      </c>
      <c r="AN67" s="8">
        <f t="shared" si="6"/>
        <v>0</v>
      </c>
      <c r="AO67" s="139">
        <f t="shared" si="6"/>
        <v>-7.25</v>
      </c>
      <c r="AP67" s="139">
        <f t="shared" si="6"/>
        <v>-0.97964235468701943</v>
      </c>
      <c r="AQ67" s="139">
        <f t="shared" si="6"/>
        <v>8.8423720320690649</v>
      </c>
      <c r="AR67" s="8">
        <f t="shared" si="6"/>
        <v>0.03</v>
      </c>
      <c r="AS67" s="139">
        <f t="shared" si="6"/>
        <v>0</v>
      </c>
      <c r="AT67" s="200" t="s">
        <v>222</v>
      </c>
      <c r="AU67" s="200" t="s">
        <v>222</v>
      </c>
      <c r="AV67" s="200" t="s">
        <v>222</v>
      </c>
      <c r="AW67" s="200" t="s">
        <v>222</v>
      </c>
      <c r="AX67" s="200" t="s">
        <v>222</v>
      </c>
      <c r="AY67" s="386">
        <v>6</v>
      </c>
      <c r="AZ67" s="312">
        <f t="shared" si="5"/>
        <v>7</v>
      </c>
      <c r="BA67" s="155">
        <f t="shared" si="5"/>
        <v>59</v>
      </c>
      <c r="BB67" s="143">
        <v>46175</v>
      </c>
      <c r="BC67" s="23" t="s">
        <v>458</v>
      </c>
      <c r="BD67" s="23" t="s">
        <v>533</v>
      </c>
    </row>
    <row r="68" spans="2:56" ht="15.5">
      <c r="B68" s="5">
        <v>5</v>
      </c>
      <c r="C68" s="39">
        <v>46175</v>
      </c>
      <c r="D68" s="304">
        <v>46177</v>
      </c>
      <c r="E68" s="133">
        <v>10</v>
      </c>
      <c r="F68" s="155">
        <v>80</v>
      </c>
      <c r="G68" s="138">
        <v>0.111</v>
      </c>
      <c r="H68" s="8">
        <v>0.33250000000000002</v>
      </c>
      <c r="I68" s="8">
        <v>0.39</v>
      </c>
      <c r="J68" s="139">
        <v>49</v>
      </c>
      <c r="K68" s="139">
        <v>30.783713516093837</v>
      </c>
      <c r="L68" s="139">
        <v>62.823905134885379</v>
      </c>
      <c r="M68" s="8">
        <v>0.2</v>
      </c>
      <c r="N68" s="140">
        <v>79</v>
      </c>
      <c r="O68" s="141"/>
      <c r="P68" s="140"/>
      <c r="Q68" s="140"/>
      <c r="R68" s="140"/>
      <c r="S68" s="140"/>
      <c r="T68" s="140"/>
      <c r="U68" s="140"/>
      <c r="V68" s="140"/>
      <c r="W68" s="23"/>
      <c r="X68" s="309">
        <v>46176</v>
      </c>
      <c r="Y68" s="309">
        <v>46176</v>
      </c>
      <c r="Z68" s="312">
        <v>7</v>
      </c>
      <c r="AA68" s="392">
        <v>60</v>
      </c>
      <c r="AB68" s="28">
        <v>0.111</v>
      </c>
      <c r="AC68" s="30">
        <v>0.33250000000000002</v>
      </c>
      <c r="AD68" s="30">
        <v>0.39</v>
      </c>
      <c r="AE68" s="385">
        <v>41.25</v>
      </c>
      <c r="AF68" s="385">
        <f t="shared" si="3"/>
        <v>28.771875000000001</v>
      </c>
      <c r="AG68" s="385">
        <v>69.75</v>
      </c>
      <c r="AH68" s="30">
        <v>0.23</v>
      </c>
      <c r="AI68" s="140">
        <v>79</v>
      </c>
      <c r="AJ68" s="141" t="s">
        <v>458</v>
      </c>
      <c r="AK68" s="141"/>
      <c r="AL68" s="138">
        <f t="shared" si="6"/>
        <v>0</v>
      </c>
      <c r="AM68" s="8">
        <f t="shared" si="6"/>
        <v>0</v>
      </c>
      <c r="AN68" s="8">
        <f t="shared" si="6"/>
        <v>0</v>
      </c>
      <c r="AO68" s="139">
        <f t="shared" si="6"/>
        <v>-7.75</v>
      </c>
      <c r="AP68" s="139">
        <f t="shared" si="6"/>
        <v>-2.0118385160938352</v>
      </c>
      <c r="AQ68" s="139">
        <f t="shared" si="6"/>
        <v>6.9260948651146208</v>
      </c>
      <c r="AR68" s="8">
        <f t="shared" si="6"/>
        <v>0.03</v>
      </c>
      <c r="AS68" s="139">
        <f t="shared" si="6"/>
        <v>0</v>
      </c>
      <c r="AT68" s="200" t="s">
        <v>222</v>
      </c>
      <c r="AU68" s="200" t="s">
        <v>222</v>
      </c>
      <c r="AV68" s="200" t="s">
        <v>222</v>
      </c>
      <c r="AW68" s="200" t="s">
        <v>222</v>
      </c>
      <c r="AX68" s="200" t="s">
        <v>222</v>
      </c>
      <c r="AY68" s="386">
        <v>6</v>
      </c>
      <c r="AZ68" s="312">
        <f t="shared" si="5"/>
        <v>7</v>
      </c>
      <c r="BA68" s="155">
        <f t="shared" si="5"/>
        <v>60</v>
      </c>
      <c r="BB68" s="143">
        <v>46175</v>
      </c>
      <c r="BC68" s="23" t="s">
        <v>458</v>
      </c>
      <c r="BD68" s="23" t="s">
        <v>533</v>
      </c>
    </row>
    <row r="69" spans="2:56" ht="15.5">
      <c r="B69" s="5">
        <v>5</v>
      </c>
      <c r="C69" s="39">
        <v>46176</v>
      </c>
      <c r="D69" s="304">
        <v>46178</v>
      </c>
      <c r="E69" s="133">
        <v>11</v>
      </c>
      <c r="F69" s="155">
        <v>82</v>
      </c>
      <c r="G69" s="138">
        <v>0.11574999999999999</v>
      </c>
      <c r="H69" s="8">
        <v>0.33500000000000002</v>
      </c>
      <c r="I69" s="8">
        <v>0.3</v>
      </c>
      <c r="J69" s="139">
        <v>49.75</v>
      </c>
      <c r="K69" s="139">
        <v>29.999249999999996</v>
      </c>
      <c r="L69" s="139">
        <v>60.3</v>
      </c>
      <c r="M69" s="8">
        <v>0.2</v>
      </c>
      <c r="N69" s="140">
        <v>83.5</v>
      </c>
      <c r="O69" s="339">
        <v>46226</v>
      </c>
      <c r="P69" s="140"/>
      <c r="Q69" s="140"/>
      <c r="R69" s="140"/>
      <c r="S69" s="140"/>
      <c r="T69" s="140"/>
      <c r="U69" s="140"/>
      <c r="V69" s="140"/>
      <c r="W69" s="305" t="s">
        <v>569</v>
      </c>
      <c r="X69" s="309">
        <v>46176</v>
      </c>
      <c r="Y69" s="309">
        <v>46177</v>
      </c>
      <c r="Z69" s="312">
        <v>8</v>
      </c>
      <c r="AA69" s="392">
        <v>61</v>
      </c>
      <c r="AB69" s="28">
        <v>0.11574999999999999</v>
      </c>
      <c r="AC69" s="30">
        <v>0.33500000000000002</v>
      </c>
      <c r="AD69" s="30">
        <v>0.3</v>
      </c>
      <c r="AE69" s="385">
        <v>40.25</v>
      </c>
      <c r="AF69" s="385">
        <f t="shared" si="3"/>
        <v>29.281874999999999</v>
      </c>
      <c r="AG69" s="385">
        <v>72.75</v>
      </c>
      <c r="AH69" s="30">
        <v>0.2</v>
      </c>
      <c r="AI69" s="140">
        <v>82</v>
      </c>
      <c r="AJ69" s="141" t="s">
        <v>458</v>
      </c>
      <c r="AK69" s="141"/>
      <c r="AL69" s="138">
        <f t="shared" si="6"/>
        <v>0</v>
      </c>
      <c r="AM69" s="8">
        <f t="shared" si="6"/>
        <v>0</v>
      </c>
      <c r="AN69" s="8">
        <f t="shared" si="6"/>
        <v>0</v>
      </c>
      <c r="AO69" s="139">
        <f t="shared" si="6"/>
        <v>-9.5</v>
      </c>
      <c r="AP69" s="139">
        <f t="shared" si="6"/>
        <v>-0.71737499999999699</v>
      </c>
      <c r="AQ69" s="139">
        <f t="shared" si="6"/>
        <v>12.450000000000003</v>
      </c>
      <c r="AR69" s="8">
        <f t="shared" si="6"/>
        <v>0</v>
      </c>
      <c r="AS69" s="139">
        <f t="shared" si="6"/>
        <v>-1.5</v>
      </c>
      <c r="AT69" s="200" t="s">
        <v>222</v>
      </c>
      <c r="AU69" s="200" t="s">
        <v>222</v>
      </c>
      <c r="AV69" s="200" t="s">
        <v>222</v>
      </c>
      <c r="AW69" s="200" t="s">
        <v>222</v>
      </c>
      <c r="AX69" s="200" t="s">
        <v>222</v>
      </c>
      <c r="AY69" s="386">
        <v>6</v>
      </c>
      <c r="AZ69" s="312">
        <f t="shared" si="5"/>
        <v>8</v>
      </c>
      <c r="BA69" s="155">
        <f t="shared" si="5"/>
        <v>61</v>
      </c>
      <c r="BB69" s="143">
        <v>46176</v>
      </c>
      <c r="BC69" s="23" t="s">
        <v>458</v>
      </c>
      <c r="BD69" s="23" t="s">
        <v>533</v>
      </c>
    </row>
    <row r="70" spans="2:56" ht="15.5">
      <c r="B70" s="5">
        <v>5</v>
      </c>
      <c r="C70" s="39">
        <v>46176</v>
      </c>
      <c r="D70" s="304">
        <v>46178</v>
      </c>
      <c r="E70" s="133">
        <v>11</v>
      </c>
      <c r="F70" s="155">
        <v>83</v>
      </c>
      <c r="G70" s="138">
        <v>0.11550000000000001</v>
      </c>
      <c r="H70" s="8">
        <v>0.37250000000000005</v>
      </c>
      <c r="I70" s="8">
        <v>0.34</v>
      </c>
      <c r="J70" s="139">
        <v>49</v>
      </c>
      <c r="K70" s="139">
        <v>29.988000000000003</v>
      </c>
      <c r="L70" s="139">
        <v>61.2</v>
      </c>
      <c r="M70" s="8">
        <v>0.2</v>
      </c>
      <c r="N70" s="140">
        <v>83.5</v>
      </c>
      <c r="O70" s="339">
        <v>46226</v>
      </c>
      <c r="P70" s="140"/>
      <c r="Q70" s="140"/>
      <c r="R70" s="140"/>
      <c r="S70" s="140"/>
      <c r="T70" s="140"/>
      <c r="U70" s="140"/>
      <c r="V70" s="140"/>
      <c r="W70" s="140">
        <v>84</v>
      </c>
      <c r="X70" s="309">
        <v>46176</v>
      </c>
      <c r="Y70" s="309">
        <v>46177</v>
      </c>
      <c r="Z70" s="312">
        <v>8</v>
      </c>
      <c r="AA70" s="392">
        <v>62</v>
      </c>
      <c r="AB70" s="28">
        <v>0.11550000000000001</v>
      </c>
      <c r="AC70" s="30">
        <v>0.37250000000000005</v>
      </c>
      <c r="AD70" s="30">
        <v>0.34</v>
      </c>
      <c r="AE70" s="385">
        <v>39</v>
      </c>
      <c r="AF70" s="385">
        <f t="shared" si="3"/>
        <v>27.787500000000001</v>
      </c>
      <c r="AG70" s="385">
        <v>71.25</v>
      </c>
      <c r="AH70" s="30">
        <v>0.2</v>
      </c>
      <c r="AI70" s="140">
        <v>82</v>
      </c>
      <c r="AJ70" s="141" t="s">
        <v>458</v>
      </c>
      <c r="AK70" s="141"/>
      <c r="AL70" s="138">
        <f t="shared" si="6"/>
        <v>0</v>
      </c>
      <c r="AM70" s="8">
        <f t="shared" si="6"/>
        <v>0</v>
      </c>
      <c r="AN70" s="8">
        <f t="shared" si="6"/>
        <v>0</v>
      </c>
      <c r="AO70" s="139">
        <f t="shared" si="6"/>
        <v>-10</v>
      </c>
      <c r="AP70" s="139">
        <f t="shared" si="6"/>
        <v>-2.2005000000000017</v>
      </c>
      <c r="AQ70" s="139">
        <f t="shared" si="6"/>
        <v>10.049999999999997</v>
      </c>
      <c r="AR70" s="8">
        <f t="shared" si="6"/>
        <v>0</v>
      </c>
      <c r="AS70" s="139">
        <f t="shared" si="6"/>
        <v>-1.5</v>
      </c>
      <c r="AT70" s="200" t="s">
        <v>222</v>
      </c>
      <c r="AU70" s="200" t="s">
        <v>222</v>
      </c>
      <c r="AV70" s="200" t="s">
        <v>222</v>
      </c>
      <c r="AW70" s="200" t="s">
        <v>222</v>
      </c>
      <c r="AX70" s="200" t="s">
        <v>222</v>
      </c>
      <c r="AY70" s="386">
        <v>6</v>
      </c>
      <c r="AZ70" s="312">
        <f t="shared" si="5"/>
        <v>8</v>
      </c>
      <c r="BA70" s="155">
        <f t="shared" si="5"/>
        <v>62</v>
      </c>
      <c r="BB70" s="143">
        <v>46176</v>
      </c>
      <c r="BC70" s="23" t="s">
        <v>458</v>
      </c>
      <c r="BD70" s="23" t="s">
        <v>533</v>
      </c>
    </row>
    <row r="71" spans="2:56" ht="15.5">
      <c r="B71" s="5">
        <v>5</v>
      </c>
      <c r="C71" s="39">
        <v>46176</v>
      </c>
      <c r="D71" s="304">
        <v>46178</v>
      </c>
      <c r="E71" s="133">
        <v>11</v>
      </c>
      <c r="F71" s="155">
        <v>84</v>
      </c>
      <c r="G71" s="138">
        <v>0.1115</v>
      </c>
      <c r="H71" s="8">
        <v>0.34250000000000003</v>
      </c>
      <c r="I71" s="8">
        <v>0.37</v>
      </c>
      <c r="J71" s="139">
        <v>47.25</v>
      </c>
      <c r="K71" s="139">
        <v>29.495812499999996</v>
      </c>
      <c r="L71" s="139">
        <v>62.424999999999997</v>
      </c>
      <c r="M71" s="8">
        <v>0.2</v>
      </c>
      <c r="N71" s="140">
        <v>83.5</v>
      </c>
      <c r="O71" s="141"/>
      <c r="P71" s="140"/>
      <c r="Q71" s="140"/>
      <c r="R71" s="140"/>
      <c r="S71" s="140"/>
      <c r="T71" s="140"/>
      <c r="U71" s="140"/>
      <c r="V71" s="140"/>
      <c r="W71" s="140"/>
      <c r="X71" s="309">
        <v>46176</v>
      </c>
      <c r="Y71" s="309">
        <v>46177</v>
      </c>
      <c r="Z71" s="312">
        <v>8</v>
      </c>
      <c r="AA71" s="392">
        <v>63</v>
      </c>
      <c r="AB71" s="28">
        <v>0.1115</v>
      </c>
      <c r="AC71" s="30">
        <v>0.34250000000000003</v>
      </c>
      <c r="AD71" s="30">
        <v>0.39</v>
      </c>
      <c r="AE71" s="385">
        <v>38</v>
      </c>
      <c r="AF71" s="385">
        <f t="shared" si="3"/>
        <v>27.55</v>
      </c>
      <c r="AG71" s="385">
        <v>72.5</v>
      </c>
      <c r="AH71" s="30">
        <v>0.2</v>
      </c>
      <c r="AI71" s="140">
        <v>82</v>
      </c>
      <c r="AJ71" s="141" t="s">
        <v>458</v>
      </c>
      <c r="AK71" s="141"/>
      <c r="AL71" s="138">
        <f t="shared" si="6"/>
        <v>0</v>
      </c>
      <c r="AM71" s="8">
        <f t="shared" si="6"/>
        <v>0</v>
      </c>
      <c r="AN71" s="8">
        <f t="shared" si="6"/>
        <v>2.0000000000000018E-2</v>
      </c>
      <c r="AO71" s="139">
        <f t="shared" si="6"/>
        <v>-9.25</v>
      </c>
      <c r="AP71" s="139">
        <f t="shared" si="6"/>
        <v>-1.9458124999999953</v>
      </c>
      <c r="AQ71" s="139">
        <f t="shared" si="6"/>
        <v>10.075000000000003</v>
      </c>
      <c r="AR71" s="8">
        <f t="shared" si="6"/>
        <v>0</v>
      </c>
      <c r="AS71" s="139">
        <f t="shared" si="6"/>
        <v>-1.5</v>
      </c>
      <c r="AT71" s="200" t="s">
        <v>222</v>
      </c>
      <c r="AU71" s="200" t="s">
        <v>222</v>
      </c>
      <c r="AV71" s="200" t="s">
        <v>222</v>
      </c>
      <c r="AW71" s="200" t="s">
        <v>222</v>
      </c>
      <c r="AX71" s="200" t="s">
        <v>222</v>
      </c>
      <c r="AY71" s="386">
        <v>6</v>
      </c>
      <c r="AZ71" s="312">
        <f t="shared" si="5"/>
        <v>8</v>
      </c>
      <c r="BA71" s="155">
        <f t="shared" si="5"/>
        <v>63</v>
      </c>
      <c r="BB71" s="143">
        <v>46176</v>
      </c>
      <c r="BC71" s="23" t="s">
        <v>458</v>
      </c>
      <c r="BD71" s="23" t="s">
        <v>533</v>
      </c>
    </row>
    <row r="72" spans="2:56" ht="15.5">
      <c r="B72" s="5">
        <v>5</v>
      </c>
      <c r="C72" s="39">
        <v>46176</v>
      </c>
      <c r="D72" s="304">
        <v>46178</v>
      </c>
      <c r="E72" s="133">
        <v>11</v>
      </c>
      <c r="F72" s="155">
        <v>86</v>
      </c>
      <c r="G72" s="138">
        <v>0.11175</v>
      </c>
      <c r="H72" s="8">
        <v>0.35750000000000004</v>
      </c>
      <c r="I72" s="8">
        <v>0.39</v>
      </c>
      <c r="J72" s="139">
        <v>46.75</v>
      </c>
      <c r="K72" s="139">
        <v>28.505812500000001</v>
      </c>
      <c r="L72" s="139">
        <v>60.975000000000001</v>
      </c>
      <c r="M72" s="8">
        <v>0.2</v>
      </c>
      <c r="N72" s="140">
        <v>78.5</v>
      </c>
      <c r="O72" s="339">
        <v>46226</v>
      </c>
      <c r="P72" s="140"/>
      <c r="Q72" s="140"/>
      <c r="R72" s="140"/>
      <c r="S72" s="140"/>
      <c r="T72" s="140"/>
      <c r="U72" s="140"/>
      <c r="V72" s="140"/>
      <c r="W72" s="140">
        <v>90</v>
      </c>
      <c r="X72" s="309">
        <v>46176</v>
      </c>
      <c r="Y72" s="309">
        <v>46177</v>
      </c>
      <c r="Z72" s="312">
        <v>8</v>
      </c>
      <c r="AA72" s="392">
        <v>64</v>
      </c>
      <c r="AB72" s="28">
        <v>0.11175</v>
      </c>
      <c r="AC72" s="30">
        <v>0.35750000000000004</v>
      </c>
      <c r="AD72" s="30">
        <v>0.32</v>
      </c>
      <c r="AE72" s="385">
        <v>39</v>
      </c>
      <c r="AF72" s="385">
        <f t="shared" si="3"/>
        <v>28.274999999999999</v>
      </c>
      <c r="AG72" s="385">
        <v>72.5</v>
      </c>
      <c r="AH72" s="30">
        <v>0.2</v>
      </c>
      <c r="AI72" s="140">
        <v>82</v>
      </c>
      <c r="AJ72" s="141" t="s">
        <v>458</v>
      </c>
      <c r="AK72" s="141"/>
      <c r="AL72" s="138">
        <f t="shared" si="6"/>
        <v>0</v>
      </c>
      <c r="AM72" s="8">
        <f t="shared" si="6"/>
        <v>0</v>
      </c>
      <c r="AN72" s="8">
        <f t="shared" si="6"/>
        <v>-7.0000000000000007E-2</v>
      </c>
      <c r="AO72" s="139">
        <f t="shared" si="6"/>
        <v>-7.75</v>
      </c>
      <c r="AP72" s="139">
        <f t="shared" si="6"/>
        <v>-0.23081250000000253</v>
      </c>
      <c r="AQ72" s="139">
        <f t="shared" si="6"/>
        <v>11.524999999999999</v>
      </c>
      <c r="AR72" s="8">
        <f t="shared" si="6"/>
        <v>0</v>
      </c>
      <c r="AS72" s="139">
        <f t="shared" si="6"/>
        <v>3.5</v>
      </c>
      <c r="AT72" s="200" t="s">
        <v>222</v>
      </c>
      <c r="AU72" s="200" t="s">
        <v>222</v>
      </c>
      <c r="AV72" s="200" t="s">
        <v>222</v>
      </c>
      <c r="AW72" s="200" t="s">
        <v>222</v>
      </c>
      <c r="AX72" s="200" t="s">
        <v>222</v>
      </c>
      <c r="AY72" s="386">
        <v>6</v>
      </c>
      <c r="AZ72" s="312">
        <f t="shared" si="5"/>
        <v>8</v>
      </c>
      <c r="BA72" s="155">
        <f t="shared" si="5"/>
        <v>64</v>
      </c>
      <c r="BB72" s="143">
        <v>46176</v>
      </c>
      <c r="BC72" s="23" t="s">
        <v>458</v>
      </c>
      <c r="BD72" s="23" t="s">
        <v>533</v>
      </c>
    </row>
    <row r="73" spans="2:56" ht="15.5">
      <c r="B73" s="5">
        <v>5</v>
      </c>
      <c r="C73" s="39">
        <v>46176</v>
      </c>
      <c r="D73" s="304">
        <v>46178</v>
      </c>
      <c r="E73" s="133">
        <v>11</v>
      </c>
      <c r="F73" s="155">
        <v>87</v>
      </c>
      <c r="G73" s="138">
        <v>0.1095</v>
      </c>
      <c r="H73" s="8">
        <v>0.35</v>
      </c>
      <c r="I73" s="8">
        <v>0.37</v>
      </c>
      <c r="J73" s="139">
        <v>48.25</v>
      </c>
      <c r="K73" s="139">
        <v>31.736437500000001</v>
      </c>
      <c r="L73" s="139">
        <v>65.775000000000006</v>
      </c>
      <c r="M73" s="8">
        <v>0.2</v>
      </c>
      <c r="N73" s="140">
        <v>78.5</v>
      </c>
      <c r="O73" s="141"/>
      <c r="P73" s="140"/>
      <c r="Q73" s="140"/>
      <c r="R73" s="140"/>
      <c r="S73" s="140"/>
      <c r="T73" s="140"/>
      <c r="U73" s="140"/>
      <c r="V73" s="140"/>
      <c r="W73" s="140"/>
      <c r="X73" s="309">
        <v>46176</v>
      </c>
      <c r="Y73" s="309">
        <v>46177</v>
      </c>
      <c r="Z73" s="312">
        <v>8</v>
      </c>
      <c r="AA73" s="392">
        <v>65</v>
      </c>
      <c r="AB73" s="28">
        <v>0.1095</v>
      </c>
      <c r="AC73" s="30">
        <v>0.35</v>
      </c>
      <c r="AD73" s="30">
        <v>0.39</v>
      </c>
      <c r="AE73" s="385">
        <v>38.25</v>
      </c>
      <c r="AF73" s="385">
        <f t="shared" si="3"/>
        <v>27.731249999999999</v>
      </c>
      <c r="AG73" s="385">
        <v>72.5</v>
      </c>
      <c r="AH73" s="30">
        <v>0.2</v>
      </c>
      <c r="AI73" s="140">
        <v>80</v>
      </c>
      <c r="AJ73" s="141" t="s">
        <v>458</v>
      </c>
      <c r="AK73" s="141"/>
      <c r="AL73" s="138">
        <f t="shared" si="6"/>
        <v>0</v>
      </c>
      <c r="AM73" s="8">
        <f t="shared" si="6"/>
        <v>0</v>
      </c>
      <c r="AN73" s="8">
        <f t="shared" si="6"/>
        <v>2.0000000000000018E-2</v>
      </c>
      <c r="AO73" s="139">
        <f t="shared" si="6"/>
        <v>-10</v>
      </c>
      <c r="AP73" s="139">
        <f t="shared" si="6"/>
        <v>-4.0051875000000017</v>
      </c>
      <c r="AQ73" s="139">
        <f t="shared" si="6"/>
        <v>6.7249999999999943</v>
      </c>
      <c r="AR73" s="8">
        <f t="shared" si="6"/>
        <v>0</v>
      </c>
      <c r="AS73" s="139">
        <f t="shared" si="6"/>
        <v>1.5</v>
      </c>
      <c r="AT73" s="200" t="s">
        <v>222</v>
      </c>
      <c r="AU73" s="200" t="s">
        <v>222</v>
      </c>
      <c r="AV73" s="200" t="s">
        <v>222</v>
      </c>
      <c r="AW73" s="200" t="s">
        <v>222</v>
      </c>
      <c r="AX73" s="200" t="s">
        <v>222</v>
      </c>
      <c r="AY73" s="386">
        <v>6</v>
      </c>
      <c r="AZ73" s="312">
        <f t="shared" si="5"/>
        <v>8</v>
      </c>
      <c r="BA73" s="155">
        <f t="shared" si="5"/>
        <v>65</v>
      </c>
      <c r="BB73" s="143">
        <v>46176</v>
      </c>
      <c r="BC73" s="23" t="s">
        <v>458</v>
      </c>
      <c r="BD73" s="23" t="s">
        <v>533</v>
      </c>
    </row>
    <row r="74" spans="2:56" ht="15.5">
      <c r="B74" s="5">
        <v>5</v>
      </c>
      <c r="C74" s="39">
        <v>46176</v>
      </c>
      <c r="D74" s="304">
        <v>46178</v>
      </c>
      <c r="E74" s="133">
        <v>11</v>
      </c>
      <c r="F74" s="155">
        <v>88</v>
      </c>
      <c r="G74" s="138">
        <v>0.11425</v>
      </c>
      <c r="H74" s="8">
        <v>0.32750000000000001</v>
      </c>
      <c r="I74" s="8">
        <v>0.39</v>
      </c>
      <c r="J74" s="139">
        <v>46.25</v>
      </c>
      <c r="K74" s="139">
        <v>29.5075</v>
      </c>
      <c r="L74" s="139">
        <v>63.8</v>
      </c>
      <c r="M74" s="8">
        <v>0.2</v>
      </c>
      <c r="N74" s="140">
        <v>78.5</v>
      </c>
      <c r="O74" s="339">
        <v>46226</v>
      </c>
      <c r="P74" s="140"/>
      <c r="Q74" s="140"/>
      <c r="R74" s="140"/>
      <c r="S74" s="140"/>
      <c r="T74" s="140"/>
      <c r="U74" s="140"/>
      <c r="V74" s="140"/>
      <c r="W74" s="140">
        <v>90</v>
      </c>
      <c r="X74" s="309">
        <v>46176</v>
      </c>
      <c r="Y74" s="309">
        <v>46177</v>
      </c>
      <c r="Z74" s="312">
        <v>8</v>
      </c>
      <c r="AA74" s="392">
        <v>66</v>
      </c>
      <c r="AB74" s="28">
        <v>0.11425</v>
      </c>
      <c r="AC74" s="30">
        <v>0.32750000000000001</v>
      </c>
      <c r="AD74" s="30">
        <v>0.37</v>
      </c>
      <c r="AE74" s="385">
        <v>39.25</v>
      </c>
      <c r="AF74" s="385">
        <f t="shared" ref="AF74:AF137" si="7">AE74*AG74/100</f>
        <v>28.456250000000001</v>
      </c>
      <c r="AG74" s="385">
        <v>72.5</v>
      </c>
      <c r="AH74" s="30">
        <v>0.2</v>
      </c>
      <c r="AI74" s="140">
        <v>80</v>
      </c>
      <c r="AJ74" s="141" t="s">
        <v>458</v>
      </c>
      <c r="AK74" s="141"/>
      <c r="AL74" s="138">
        <f t="shared" si="6"/>
        <v>0</v>
      </c>
      <c r="AM74" s="8">
        <f t="shared" si="6"/>
        <v>0</v>
      </c>
      <c r="AN74" s="8">
        <f t="shared" si="6"/>
        <v>-2.0000000000000018E-2</v>
      </c>
      <c r="AO74" s="139">
        <f t="shared" si="6"/>
        <v>-7</v>
      </c>
      <c r="AP74" s="139">
        <f t="shared" si="6"/>
        <v>-1.0512499999999996</v>
      </c>
      <c r="AQ74" s="139">
        <f t="shared" si="6"/>
        <v>8.7000000000000028</v>
      </c>
      <c r="AR74" s="8">
        <f t="shared" si="6"/>
        <v>0</v>
      </c>
      <c r="AS74" s="139">
        <f t="shared" si="6"/>
        <v>1.5</v>
      </c>
      <c r="AT74" s="200" t="s">
        <v>222</v>
      </c>
      <c r="AU74" s="200" t="s">
        <v>222</v>
      </c>
      <c r="AV74" s="200" t="s">
        <v>222</v>
      </c>
      <c r="AW74" s="200" t="s">
        <v>222</v>
      </c>
      <c r="AX74" s="200" t="s">
        <v>222</v>
      </c>
      <c r="AY74" s="386">
        <v>6</v>
      </c>
      <c r="AZ74" s="312">
        <f t="shared" ref="AZ74:BA137" si="8">Z74</f>
        <v>8</v>
      </c>
      <c r="BA74" s="155">
        <f t="shared" si="8"/>
        <v>66</v>
      </c>
      <c r="BB74" s="143">
        <v>46176</v>
      </c>
      <c r="BC74" s="23" t="s">
        <v>458</v>
      </c>
      <c r="BD74" s="23" t="s">
        <v>533</v>
      </c>
    </row>
    <row r="75" spans="2:56" ht="15.5">
      <c r="B75" s="5">
        <v>5</v>
      </c>
      <c r="C75" s="39">
        <v>46176</v>
      </c>
      <c r="D75" s="304">
        <v>46178</v>
      </c>
      <c r="E75" s="133">
        <v>12</v>
      </c>
      <c r="F75" s="155">
        <v>89</v>
      </c>
      <c r="G75" s="138">
        <v>0.11374999999999999</v>
      </c>
      <c r="H75" s="8">
        <v>0.35</v>
      </c>
      <c r="I75" s="8">
        <v>0.36</v>
      </c>
      <c r="J75" s="139">
        <v>48.75</v>
      </c>
      <c r="K75" s="139">
        <v>29.749687500000004</v>
      </c>
      <c r="L75" s="139">
        <v>61.025000000000006</v>
      </c>
      <c r="M75" s="8">
        <v>0.24</v>
      </c>
      <c r="N75" s="140">
        <v>75.5</v>
      </c>
      <c r="O75" s="141"/>
      <c r="P75" s="140"/>
      <c r="Q75" s="140"/>
      <c r="R75" s="140"/>
      <c r="S75" s="140"/>
      <c r="T75" s="140"/>
      <c r="U75" s="140"/>
      <c r="V75" s="140"/>
      <c r="W75" s="140"/>
      <c r="X75" s="309">
        <v>46176</v>
      </c>
      <c r="Y75" s="309">
        <v>46177</v>
      </c>
      <c r="Z75" s="312">
        <v>8</v>
      </c>
      <c r="AA75" s="392">
        <v>67</v>
      </c>
      <c r="AB75" s="28">
        <v>0.11374999999999999</v>
      </c>
      <c r="AC75" s="30">
        <v>0.35</v>
      </c>
      <c r="AD75" s="30">
        <v>0.36</v>
      </c>
      <c r="AE75" s="385">
        <v>40.25</v>
      </c>
      <c r="AF75" s="385">
        <f t="shared" si="7"/>
        <v>28.275625000000002</v>
      </c>
      <c r="AG75" s="385">
        <v>70.25</v>
      </c>
      <c r="AH75" s="30">
        <v>0.2</v>
      </c>
      <c r="AI75" s="140">
        <v>80</v>
      </c>
      <c r="AJ75" s="141" t="s">
        <v>458</v>
      </c>
      <c r="AK75" s="141"/>
      <c r="AL75" s="138">
        <f t="shared" si="6"/>
        <v>0</v>
      </c>
      <c r="AM75" s="8">
        <f t="shared" si="6"/>
        <v>0</v>
      </c>
      <c r="AN75" s="8">
        <f t="shared" si="6"/>
        <v>0</v>
      </c>
      <c r="AO75" s="139">
        <f t="shared" si="6"/>
        <v>-8.5</v>
      </c>
      <c r="AP75" s="139">
        <f t="shared" si="6"/>
        <v>-1.4740625000000023</v>
      </c>
      <c r="AQ75" s="139">
        <f t="shared" si="6"/>
        <v>9.2249999999999943</v>
      </c>
      <c r="AR75" s="8">
        <f t="shared" si="6"/>
        <v>-3.999999999999998E-2</v>
      </c>
      <c r="AS75" s="139">
        <f t="shared" si="6"/>
        <v>4.5</v>
      </c>
      <c r="AT75" s="200" t="s">
        <v>222</v>
      </c>
      <c r="AU75" s="200" t="s">
        <v>222</v>
      </c>
      <c r="AV75" s="200" t="s">
        <v>222</v>
      </c>
      <c r="AW75" s="200" t="s">
        <v>222</v>
      </c>
      <c r="AX75" s="200" t="s">
        <v>222</v>
      </c>
      <c r="AY75" s="386">
        <v>6</v>
      </c>
      <c r="AZ75" s="312">
        <f t="shared" si="8"/>
        <v>8</v>
      </c>
      <c r="BA75" s="155">
        <f t="shared" si="8"/>
        <v>67</v>
      </c>
      <c r="BB75" s="143">
        <v>46176</v>
      </c>
      <c r="BC75" s="23" t="s">
        <v>458</v>
      </c>
      <c r="BD75" s="23" t="s">
        <v>533</v>
      </c>
    </row>
    <row r="76" spans="2:56" ht="15.5">
      <c r="B76" s="5">
        <v>5</v>
      </c>
      <c r="C76" s="39">
        <v>46177</v>
      </c>
      <c r="D76" s="304">
        <v>46179</v>
      </c>
      <c r="E76" s="133">
        <v>12</v>
      </c>
      <c r="F76" s="155">
        <v>92</v>
      </c>
      <c r="G76" s="138">
        <v>0.11325</v>
      </c>
      <c r="H76" s="8">
        <v>0.34750000000000003</v>
      </c>
      <c r="I76" s="8">
        <v>0.34</v>
      </c>
      <c r="J76" s="139">
        <v>46.25</v>
      </c>
      <c r="K76" s="139">
        <v>28.235624999999999</v>
      </c>
      <c r="L76" s="139">
        <v>61.05</v>
      </c>
      <c r="M76" s="8">
        <v>0.24</v>
      </c>
      <c r="N76" s="140">
        <v>75.5</v>
      </c>
      <c r="O76" s="339">
        <v>46226</v>
      </c>
      <c r="P76" s="140"/>
      <c r="Q76" s="140"/>
      <c r="R76" s="140"/>
      <c r="S76" s="140"/>
      <c r="T76" s="140"/>
      <c r="U76" s="140"/>
      <c r="V76" s="140"/>
      <c r="W76" s="140">
        <v>89</v>
      </c>
      <c r="X76" s="309">
        <v>46176</v>
      </c>
      <c r="Y76" s="309">
        <v>46177</v>
      </c>
      <c r="Z76" s="312">
        <v>8</v>
      </c>
      <c r="AA76" s="392">
        <v>68</v>
      </c>
      <c r="AB76" s="28">
        <v>0.11325</v>
      </c>
      <c r="AC76" s="30">
        <v>0.34750000000000003</v>
      </c>
      <c r="AD76" s="30">
        <v>0.34</v>
      </c>
      <c r="AE76" s="385">
        <v>39.75</v>
      </c>
      <c r="AF76" s="385">
        <f t="shared" si="7"/>
        <v>28.02375</v>
      </c>
      <c r="AG76" s="385">
        <v>70.5</v>
      </c>
      <c r="AH76" s="30">
        <v>0.2</v>
      </c>
      <c r="AI76" s="140">
        <v>80</v>
      </c>
      <c r="AJ76" s="141" t="s">
        <v>458</v>
      </c>
      <c r="AK76" s="141"/>
      <c r="AL76" s="138">
        <f t="shared" si="6"/>
        <v>0</v>
      </c>
      <c r="AM76" s="8">
        <f t="shared" si="6"/>
        <v>0</v>
      </c>
      <c r="AN76" s="8">
        <f t="shared" si="6"/>
        <v>0</v>
      </c>
      <c r="AO76" s="139">
        <f t="shared" si="6"/>
        <v>-6.5</v>
      </c>
      <c r="AP76" s="139">
        <f t="shared" si="6"/>
        <v>-0.21187499999999915</v>
      </c>
      <c r="AQ76" s="139">
        <f t="shared" si="6"/>
        <v>9.4500000000000028</v>
      </c>
      <c r="AR76" s="8">
        <f t="shared" si="6"/>
        <v>-3.999999999999998E-2</v>
      </c>
      <c r="AS76" s="139">
        <f t="shared" si="6"/>
        <v>4.5</v>
      </c>
      <c r="AT76" s="200" t="s">
        <v>222</v>
      </c>
      <c r="AU76" s="200" t="s">
        <v>222</v>
      </c>
      <c r="AV76" s="200" t="s">
        <v>222</v>
      </c>
      <c r="AW76" s="200" t="s">
        <v>222</v>
      </c>
      <c r="AX76" s="200" t="s">
        <v>222</v>
      </c>
      <c r="AY76" s="386">
        <v>6</v>
      </c>
      <c r="AZ76" s="312">
        <f t="shared" si="8"/>
        <v>8</v>
      </c>
      <c r="BA76" s="155">
        <f t="shared" si="8"/>
        <v>68</v>
      </c>
      <c r="BB76" s="143">
        <v>46177</v>
      </c>
      <c r="BC76" s="23" t="s">
        <v>458</v>
      </c>
      <c r="BD76" s="23" t="s">
        <v>533</v>
      </c>
    </row>
    <row r="77" spans="2:56" ht="15.5">
      <c r="B77" s="228">
        <v>28</v>
      </c>
      <c r="C77" s="393">
        <v>46157</v>
      </c>
      <c r="D77" s="232">
        <v>46159</v>
      </c>
      <c r="E77" s="233">
        <v>4</v>
      </c>
      <c r="F77" s="234">
        <v>28</v>
      </c>
      <c r="G77" s="138">
        <v>0.1085</v>
      </c>
      <c r="H77" s="8">
        <v>0.32</v>
      </c>
      <c r="I77" s="8">
        <v>0.27</v>
      </c>
      <c r="J77" s="139">
        <v>40.5</v>
      </c>
      <c r="K77" s="139">
        <v>27.246375000000004</v>
      </c>
      <c r="L77" s="139">
        <v>67.275000000000006</v>
      </c>
      <c r="M77" s="8">
        <v>0.22</v>
      </c>
      <c r="N77" s="140">
        <v>74</v>
      </c>
      <c r="O77" s="339">
        <v>46226</v>
      </c>
      <c r="P77" s="235"/>
      <c r="Q77" s="236"/>
      <c r="R77" s="236"/>
      <c r="S77" s="241">
        <v>41</v>
      </c>
      <c r="T77" s="237">
        <v>29.11</v>
      </c>
      <c r="U77" s="237">
        <v>71</v>
      </c>
      <c r="V77" s="236"/>
      <c r="W77" s="238" t="s">
        <v>526</v>
      </c>
      <c r="X77" s="309">
        <v>46181</v>
      </c>
      <c r="Y77" s="309">
        <v>46181</v>
      </c>
      <c r="Z77" s="312">
        <v>9</v>
      </c>
      <c r="AA77" s="155">
        <v>69</v>
      </c>
      <c r="AB77" s="28">
        <v>0.1085</v>
      </c>
      <c r="AC77" s="30">
        <v>0.32</v>
      </c>
      <c r="AD77" s="30">
        <v>0.27</v>
      </c>
      <c r="AE77" s="385">
        <v>40.25</v>
      </c>
      <c r="AF77" s="385">
        <f t="shared" si="7"/>
        <v>28.778749999999999</v>
      </c>
      <c r="AG77" s="385">
        <v>71.5</v>
      </c>
      <c r="AH77" s="30">
        <v>0.22</v>
      </c>
      <c r="AI77" s="140">
        <v>81</v>
      </c>
      <c r="AJ77" s="141" t="s">
        <v>458</v>
      </c>
      <c r="AK77" s="141"/>
      <c r="AL77" s="138">
        <f t="shared" si="6"/>
        <v>0</v>
      </c>
      <c r="AM77" s="8">
        <f t="shared" si="6"/>
        <v>0</v>
      </c>
      <c r="AN77" s="8">
        <f t="shared" si="6"/>
        <v>0</v>
      </c>
      <c r="AO77" s="139">
        <f t="shared" si="6"/>
        <v>-0.25</v>
      </c>
      <c r="AP77" s="139">
        <f t="shared" si="6"/>
        <v>1.5323749999999947</v>
      </c>
      <c r="AQ77" s="139">
        <f t="shared" si="6"/>
        <v>4.2249999999999943</v>
      </c>
      <c r="AR77" s="8">
        <f t="shared" si="6"/>
        <v>0</v>
      </c>
      <c r="AS77" s="139">
        <f t="shared" si="6"/>
        <v>7</v>
      </c>
      <c r="AT77" s="200" t="s">
        <v>222</v>
      </c>
      <c r="AU77" s="200" t="s">
        <v>222</v>
      </c>
      <c r="AV77" s="200" t="s">
        <v>222</v>
      </c>
      <c r="AW77" s="200" t="s">
        <v>222</v>
      </c>
      <c r="AX77" s="200" t="s">
        <v>222</v>
      </c>
      <c r="AY77" s="386">
        <v>9</v>
      </c>
      <c r="AZ77" s="312">
        <f t="shared" si="8"/>
        <v>9</v>
      </c>
      <c r="BA77" s="155">
        <f t="shared" si="8"/>
        <v>69</v>
      </c>
      <c r="BB77" s="393">
        <v>46160</v>
      </c>
      <c r="BC77" s="23" t="s">
        <v>458</v>
      </c>
      <c r="BD77" s="23"/>
    </row>
    <row r="78" spans="2:56" ht="15.5">
      <c r="B78" s="5">
        <v>28</v>
      </c>
      <c r="C78" s="39">
        <v>46161</v>
      </c>
      <c r="D78" s="304">
        <v>46163</v>
      </c>
      <c r="E78" s="133">
        <v>5</v>
      </c>
      <c r="F78" s="155">
        <v>35</v>
      </c>
      <c r="G78" s="138">
        <v>0.1065</v>
      </c>
      <c r="H78" s="8">
        <v>0.34</v>
      </c>
      <c r="I78" s="8">
        <v>0.4</v>
      </c>
      <c r="J78" s="139">
        <v>39.75</v>
      </c>
      <c r="K78" s="139">
        <v>24.754567307692305</v>
      </c>
      <c r="L78" s="139">
        <v>62.275641025641022</v>
      </c>
      <c r="M78" s="8">
        <v>0.23</v>
      </c>
      <c r="N78" s="140">
        <v>76</v>
      </c>
      <c r="O78" s="339">
        <v>46226</v>
      </c>
      <c r="P78" s="138"/>
      <c r="Q78" s="8"/>
      <c r="R78" s="8"/>
      <c r="S78" s="305">
        <v>45</v>
      </c>
      <c r="T78" s="139">
        <v>28.8</v>
      </c>
      <c r="U78" s="139">
        <v>64</v>
      </c>
      <c r="V78" s="8"/>
      <c r="W78" s="140">
        <v>82</v>
      </c>
      <c r="X78" s="309">
        <v>46181</v>
      </c>
      <c r="Y78" s="309">
        <v>46181</v>
      </c>
      <c r="Z78" s="312">
        <v>9</v>
      </c>
      <c r="AA78" s="155">
        <v>70</v>
      </c>
      <c r="AB78" s="28">
        <v>0.1065</v>
      </c>
      <c r="AC78" s="30">
        <v>0.34</v>
      </c>
      <c r="AD78" s="30">
        <v>0.4</v>
      </c>
      <c r="AE78" s="385">
        <v>38.5</v>
      </c>
      <c r="AF78" s="385">
        <f t="shared" si="7"/>
        <v>28.008749999999999</v>
      </c>
      <c r="AG78" s="385">
        <v>72.75</v>
      </c>
      <c r="AH78" s="30">
        <v>0.22</v>
      </c>
      <c r="AI78" s="140">
        <v>81</v>
      </c>
      <c r="AJ78" s="141" t="s">
        <v>458</v>
      </c>
      <c r="AK78" s="141"/>
      <c r="AL78" s="138">
        <f t="shared" si="6"/>
        <v>0</v>
      </c>
      <c r="AM78" s="8">
        <f t="shared" si="6"/>
        <v>0</v>
      </c>
      <c r="AN78" s="8">
        <f t="shared" si="6"/>
        <v>0</v>
      </c>
      <c r="AO78" s="139">
        <f t="shared" si="6"/>
        <v>-1.25</v>
      </c>
      <c r="AP78" s="139">
        <f t="shared" si="6"/>
        <v>3.254182692307694</v>
      </c>
      <c r="AQ78" s="139">
        <f t="shared" si="6"/>
        <v>10.474358974358978</v>
      </c>
      <c r="AR78" s="8">
        <f t="shared" si="6"/>
        <v>-1.0000000000000009E-2</v>
      </c>
      <c r="AS78" s="139">
        <f t="shared" si="6"/>
        <v>5</v>
      </c>
      <c r="AT78" s="200" t="s">
        <v>222</v>
      </c>
      <c r="AU78" s="200" t="s">
        <v>222</v>
      </c>
      <c r="AV78" s="200" t="s">
        <v>222</v>
      </c>
      <c r="AW78" s="200" t="s">
        <v>222</v>
      </c>
      <c r="AX78" s="200" t="s">
        <v>222</v>
      </c>
      <c r="AY78" s="386">
        <v>9</v>
      </c>
      <c r="AZ78" s="312">
        <f t="shared" si="8"/>
        <v>9</v>
      </c>
      <c r="BA78" s="155">
        <f t="shared" si="8"/>
        <v>70</v>
      </c>
      <c r="BB78" s="39">
        <v>46161</v>
      </c>
      <c r="BC78" s="23" t="s">
        <v>458</v>
      </c>
      <c r="BD78" s="23"/>
    </row>
    <row r="79" spans="2:56" ht="15.5">
      <c r="B79" s="5">
        <v>4</v>
      </c>
      <c r="C79" s="39">
        <v>46164</v>
      </c>
      <c r="D79" s="304">
        <v>46166</v>
      </c>
      <c r="E79" s="133">
        <v>7</v>
      </c>
      <c r="F79" s="155">
        <v>55</v>
      </c>
      <c r="G79" s="138">
        <v>0.10325000000000001</v>
      </c>
      <c r="H79" s="8">
        <v>0.30500000000000005</v>
      </c>
      <c r="I79" s="8">
        <v>0.32</v>
      </c>
      <c r="J79" s="139">
        <v>47</v>
      </c>
      <c r="K79" s="139">
        <v>28.000250000000001</v>
      </c>
      <c r="L79" s="139">
        <v>59.575000000000003</v>
      </c>
      <c r="M79" s="8">
        <v>0.21</v>
      </c>
      <c r="N79" s="140">
        <v>81</v>
      </c>
      <c r="O79" s="339">
        <v>46226</v>
      </c>
      <c r="P79" s="138"/>
      <c r="Q79" s="8"/>
      <c r="R79" s="8"/>
      <c r="S79" s="387" t="s">
        <v>553</v>
      </c>
      <c r="T79" s="139" t="s">
        <v>554</v>
      </c>
      <c r="U79" s="387" t="s">
        <v>555</v>
      </c>
      <c r="V79" s="8"/>
      <c r="W79" s="140">
        <v>88</v>
      </c>
      <c r="X79" s="309">
        <v>46181</v>
      </c>
      <c r="Y79" s="309">
        <v>46181</v>
      </c>
      <c r="Z79" s="312">
        <v>9</v>
      </c>
      <c r="AA79" s="155">
        <v>71</v>
      </c>
      <c r="AB79" s="28">
        <v>0.10325000000000001</v>
      </c>
      <c r="AC79" s="30">
        <v>0.30500000000000005</v>
      </c>
      <c r="AD79" s="30">
        <v>0.32</v>
      </c>
      <c r="AE79" s="385">
        <v>40.75</v>
      </c>
      <c r="AF79" s="385">
        <f t="shared" si="7"/>
        <v>29.13625</v>
      </c>
      <c r="AG79" s="385">
        <v>71.5</v>
      </c>
      <c r="AH79" s="30">
        <v>0.22</v>
      </c>
      <c r="AI79" s="140">
        <v>81</v>
      </c>
      <c r="AJ79" s="141" t="s">
        <v>458</v>
      </c>
      <c r="AK79" s="141"/>
      <c r="AL79" s="138">
        <f t="shared" si="6"/>
        <v>0</v>
      </c>
      <c r="AM79" s="8">
        <f t="shared" si="6"/>
        <v>0</v>
      </c>
      <c r="AN79" s="8">
        <f t="shared" si="6"/>
        <v>0</v>
      </c>
      <c r="AO79" s="139">
        <f t="shared" si="6"/>
        <v>-6.25</v>
      </c>
      <c r="AP79" s="139">
        <f t="shared" si="6"/>
        <v>1.1359999999999992</v>
      </c>
      <c r="AQ79" s="139">
        <f t="shared" si="6"/>
        <v>11.924999999999997</v>
      </c>
      <c r="AR79" s="8">
        <f t="shared" si="6"/>
        <v>1.0000000000000009E-2</v>
      </c>
      <c r="AS79" s="139">
        <f t="shared" si="6"/>
        <v>0</v>
      </c>
      <c r="AT79" s="200" t="s">
        <v>222</v>
      </c>
      <c r="AU79" s="200" t="s">
        <v>222</v>
      </c>
      <c r="AV79" s="200" t="s">
        <v>222</v>
      </c>
      <c r="AW79" s="200" t="s">
        <v>222</v>
      </c>
      <c r="AX79" s="200" t="s">
        <v>222</v>
      </c>
      <c r="AY79" s="386">
        <v>9</v>
      </c>
      <c r="AZ79" s="312">
        <f t="shared" si="8"/>
        <v>9</v>
      </c>
      <c r="BA79" s="155">
        <f t="shared" si="8"/>
        <v>71</v>
      </c>
      <c r="BB79" s="39">
        <v>46164</v>
      </c>
      <c r="BC79" s="23" t="s">
        <v>458</v>
      </c>
      <c r="BD79" s="23"/>
    </row>
    <row r="80" spans="2:56" ht="15.5">
      <c r="B80" s="5">
        <v>4</v>
      </c>
      <c r="C80" s="39">
        <v>46164</v>
      </c>
      <c r="D80" s="304">
        <v>46166</v>
      </c>
      <c r="E80" s="133">
        <v>8</v>
      </c>
      <c r="F80" s="155">
        <v>57</v>
      </c>
      <c r="G80" s="138">
        <v>0.11475</v>
      </c>
      <c r="H80" s="8">
        <v>0.32500000000000001</v>
      </c>
      <c r="I80" s="8">
        <v>0.28999999999999998</v>
      </c>
      <c r="J80" s="139">
        <v>47</v>
      </c>
      <c r="K80" s="139">
        <v>28.999000000000002</v>
      </c>
      <c r="L80" s="139">
        <v>61.7</v>
      </c>
      <c r="M80" s="8">
        <v>0.22</v>
      </c>
      <c r="N80" s="140">
        <v>83.5</v>
      </c>
      <c r="O80" s="339">
        <v>46203</v>
      </c>
      <c r="P80" s="138"/>
      <c r="Q80" s="8"/>
      <c r="R80" s="8"/>
      <c r="S80" s="387">
        <v>48</v>
      </c>
      <c r="T80" s="139">
        <v>28.991999999999997</v>
      </c>
      <c r="U80" s="387">
        <v>60.4</v>
      </c>
      <c r="V80" s="8"/>
      <c r="W80" s="305" t="s">
        <v>557</v>
      </c>
      <c r="X80" s="309">
        <v>46181</v>
      </c>
      <c r="Y80" s="309">
        <v>46181</v>
      </c>
      <c r="Z80" s="312">
        <v>9</v>
      </c>
      <c r="AA80" s="155">
        <v>72</v>
      </c>
      <c r="AB80" s="28">
        <v>0.11475</v>
      </c>
      <c r="AC80" s="30">
        <v>0.32500000000000001</v>
      </c>
      <c r="AD80" s="30">
        <v>0.28999999999999998</v>
      </c>
      <c r="AE80" s="385">
        <v>37.5</v>
      </c>
      <c r="AF80" s="385">
        <f t="shared" si="7"/>
        <v>26.53125</v>
      </c>
      <c r="AG80" s="385">
        <v>70.75</v>
      </c>
      <c r="AH80" s="30">
        <v>0.22</v>
      </c>
      <c r="AI80" s="140">
        <v>81</v>
      </c>
      <c r="AJ80" s="141" t="s">
        <v>458</v>
      </c>
      <c r="AK80" s="141"/>
      <c r="AL80" s="138">
        <f t="shared" si="6"/>
        <v>0</v>
      </c>
      <c r="AM80" s="8">
        <f t="shared" si="6"/>
        <v>0</v>
      </c>
      <c r="AN80" s="8">
        <f t="shared" si="6"/>
        <v>0</v>
      </c>
      <c r="AO80" s="139">
        <f t="shared" si="6"/>
        <v>-9.5</v>
      </c>
      <c r="AP80" s="139">
        <f t="shared" si="6"/>
        <v>-2.4677500000000023</v>
      </c>
      <c r="AQ80" s="139">
        <f t="shared" si="6"/>
        <v>9.0499999999999972</v>
      </c>
      <c r="AR80" s="8">
        <f t="shared" si="6"/>
        <v>0</v>
      </c>
      <c r="AS80" s="139">
        <f t="shared" si="6"/>
        <v>-2.5</v>
      </c>
      <c r="AT80" s="200" t="s">
        <v>222</v>
      </c>
      <c r="AU80" s="200" t="s">
        <v>222</v>
      </c>
      <c r="AV80" s="200" t="s">
        <v>222</v>
      </c>
      <c r="AW80" s="200" t="s">
        <v>222</v>
      </c>
      <c r="AX80" s="200" t="s">
        <v>222</v>
      </c>
      <c r="AY80" s="386">
        <v>9</v>
      </c>
      <c r="AZ80" s="312">
        <f t="shared" si="8"/>
        <v>9</v>
      </c>
      <c r="BA80" s="155">
        <f t="shared" si="8"/>
        <v>72</v>
      </c>
      <c r="BB80" s="39">
        <v>46167</v>
      </c>
      <c r="BC80" s="23" t="s">
        <v>458</v>
      </c>
      <c r="BD80" s="23"/>
    </row>
    <row r="81" spans="2:56" ht="15.5">
      <c r="B81" s="5">
        <v>4</v>
      </c>
      <c r="C81" s="39">
        <v>46164</v>
      </c>
      <c r="D81" s="304">
        <v>46166</v>
      </c>
      <c r="E81" s="133">
        <v>8</v>
      </c>
      <c r="F81" s="155">
        <v>59</v>
      </c>
      <c r="G81" s="138">
        <v>0.1065</v>
      </c>
      <c r="H81" s="8">
        <v>0.34500000000000003</v>
      </c>
      <c r="I81" s="8">
        <v>0.28999999999999998</v>
      </c>
      <c r="J81" s="139">
        <v>49.75</v>
      </c>
      <c r="K81" s="139">
        <v>31.491749999999996</v>
      </c>
      <c r="L81" s="139">
        <v>63.3</v>
      </c>
      <c r="M81" s="8">
        <v>0.22</v>
      </c>
      <c r="N81" s="140">
        <v>83.5</v>
      </c>
      <c r="O81" s="152"/>
      <c r="P81" s="138"/>
      <c r="Q81" s="8"/>
      <c r="R81" s="8"/>
      <c r="S81" s="139"/>
      <c r="T81" s="139"/>
      <c r="U81" s="139"/>
      <c r="V81" s="8"/>
      <c r="W81" s="140"/>
      <c r="X81" s="309">
        <v>46181</v>
      </c>
      <c r="Y81" s="309">
        <v>46181</v>
      </c>
      <c r="Z81" s="312">
        <v>9</v>
      </c>
      <c r="AA81" s="155">
        <v>73</v>
      </c>
      <c r="AB81" s="28">
        <v>0.1065</v>
      </c>
      <c r="AC81" s="30">
        <v>0.34500000000000003</v>
      </c>
      <c r="AD81" s="30">
        <v>0.28999999999999998</v>
      </c>
      <c r="AE81" s="385">
        <v>40.25</v>
      </c>
      <c r="AF81" s="385">
        <f t="shared" si="7"/>
        <v>28.476875</v>
      </c>
      <c r="AG81" s="385">
        <v>70.75</v>
      </c>
      <c r="AH81" s="30">
        <v>0.22</v>
      </c>
      <c r="AI81" s="140">
        <v>81</v>
      </c>
      <c r="AJ81" s="141" t="s">
        <v>458</v>
      </c>
      <c r="AK81" s="141"/>
      <c r="AL81" s="138">
        <f t="shared" si="6"/>
        <v>0</v>
      </c>
      <c r="AM81" s="8">
        <f t="shared" si="6"/>
        <v>0</v>
      </c>
      <c r="AN81" s="8">
        <f t="shared" si="6"/>
        <v>0</v>
      </c>
      <c r="AO81" s="139">
        <f t="shared" si="6"/>
        <v>-9.5</v>
      </c>
      <c r="AP81" s="139">
        <f t="shared" si="6"/>
        <v>-3.0148749999999964</v>
      </c>
      <c r="AQ81" s="139">
        <f t="shared" si="6"/>
        <v>7.4500000000000028</v>
      </c>
      <c r="AR81" s="8">
        <f t="shared" si="6"/>
        <v>0</v>
      </c>
      <c r="AS81" s="139">
        <f t="shared" si="6"/>
        <v>-2.5</v>
      </c>
      <c r="AT81" s="200" t="s">
        <v>222</v>
      </c>
      <c r="AU81" s="200" t="s">
        <v>222</v>
      </c>
      <c r="AV81" s="200" t="s">
        <v>222</v>
      </c>
      <c r="AW81" s="200" t="s">
        <v>222</v>
      </c>
      <c r="AX81" s="200" t="s">
        <v>222</v>
      </c>
      <c r="AY81" s="386">
        <v>9</v>
      </c>
      <c r="AZ81" s="312">
        <f t="shared" si="8"/>
        <v>9</v>
      </c>
      <c r="BA81" s="155">
        <f t="shared" si="8"/>
        <v>73</v>
      </c>
      <c r="BB81" s="39">
        <v>46167</v>
      </c>
      <c r="BC81" s="23" t="s">
        <v>458</v>
      </c>
      <c r="BD81" s="23"/>
    </row>
    <row r="82" spans="2:56" ht="15.5">
      <c r="B82" s="5">
        <v>5</v>
      </c>
      <c r="C82" s="39">
        <v>46176</v>
      </c>
      <c r="D82" s="304">
        <v>46178</v>
      </c>
      <c r="E82" s="133">
        <v>11</v>
      </c>
      <c r="F82" s="155">
        <v>81</v>
      </c>
      <c r="G82" s="138">
        <v>0.11425</v>
      </c>
      <c r="H82" s="8">
        <v>0.35500000000000004</v>
      </c>
      <c r="I82" s="8">
        <v>0.33</v>
      </c>
      <c r="J82" s="139">
        <v>48.75</v>
      </c>
      <c r="K82" s="139">
        <v>29.25</v>
      </c>
      <c r="L82" s="139">
        <v>60</v>
      </c>
      <c r="M82" s="8">
        <v>0.2</v>
      </c>
      <c r="N82" s="140">
        <v>83.5</v>
      </c>
      <c r="O82" s="339">
        <v>46203</v>
      </c>
      <c r="P82" s="138"/>
      <c r="Q82" s="8"/>
      <c r="R82" s="8"/>
      <c r="S82" s="387">
        <v>49</v>
      </c>
      <c r="T82" s="139">
        <v>30.87</v>
      </c>
      <c r="U82" s="387">
        <v>63</v>
      </c>
      <c r="V82" s="8"/>
      <c r="W82" s="305" t="s">
        <v>567</v>
      </c>
      <c r="X82" s="309">
        <v>46181</v>
      </c>
      <c r="Y82" s="309">
        <v>46181</v>
      </c>
      <c r="Z82" s="312">
        <v>9</v>
      </c>
      <c r="AA82" s="155">
        <v>74</v>
      </c>
      <c r="AB82" s="28">
        <v>0.11425</v>
      </c>
      <c r="AC82" s="30">
        <v>0.35500000000000004</v>
      </c>
      <c r="AD82" s="30">
        <v>0.33</v>
      </c>
      <c r="AE82" s="385">
        <v>39.75</v>
      </c>
      <c r="AF82" s="385">
        <f t="shared" si="7"/>
        <v>27.725625000000001</v>
      </c>
      <c r="AG82" s="385">
        <v>69.75</v>
      </c>
      <c r="AH82" s="30">
        <v>0.22</v>
      </c>
      <c r="AI82" s="140">
        <v>81</v>
      </c>
      <c r="AJ82" s="141" t="s">
        <v>458</v>
      </c>
      <c r="AK82" s="141"/>
      <c r="AL82" s="138">
        <f t="shared" si="6"/>
        <v>0</v>
      </c>
      <c r="AM82" s="8">
        <f t="shared" si="6"/>
        <v>0</v>
      </c>
      <c r="AN82" s="8">
        <f t="shared" si="6"/>
        <v>0</v>
      </c>
      <c r="AO82" s="139">
        <f t="shared" si="6"/>
        <v>-9</v>
      </c>
      <c r="AP82" s="139">
        <f t="shared" si="6"/>
        <v>-1.5243749999999991</v>
      </c>
      <c r="AQ82" s="139">
        <f t="shared" si="6"/>
        <v>9.75</v>
      </c>
      <c r="AR82" s="8">
        <f t="shared" si="6"/>
        <v>1.999999999999999E-2</v>
      </c>
      <c r="AS82" s="139">
        <f t="shared" si="6"/>
        <v>-2.5</v>
      </c>
      <c r="AT82" s="200" t="s">
        <v>222</v>
      </c>
      <c r="AU82" s="200" t="s">
        <v>222</v>
      </c>
      <c r="AV82" s="200" t="s">
        <v>222</v>
      </c>
      <c r="AW82" s="200" t="s">
        <v>222</v>
      </c>
      <c r="AX82" s="200" t="s">
        <v>222</v>
      </c>
      <c r="AY82" s="386">
        <v>9</v>
      </c>
      <c r="AZ82" s="312">
        <f t="shared" si="8"/>
        <v>9</v>
      </c>
      <c r="BA82" s="155">
        <f t="shared" si="8"/>
        <v>74</v>
      </c>
      <c r="BB82" s="39">
        <v>46176</v>
      </c>
      <c r="BC82" s="23" t="s">
        <v>458</v>
      </c>
      <c r="BD82" s="23"/>
    </row>
    <row r="83" spans="2:56" ht="15.5">
      <c r="B83" s="5">
        <v>5</v>
      </c>
      <c r="C83" s="39">
        <v>46176</v>
      </c>
      <c r="D83" s="304">
        <v>46178</v>
      </c>
      <c r="E83" s="133">
        <v>11</v>
      </c>
      <c r="F83" s="155">
        <v>85</v>
      </c>
      <c r="G83" s="138">
        <v>0.1115</v>
      </c>
      <c r="H83" s="8">
        <v>0.32500000000000001</v>
      </c>
      <c r="I83" s="8">
        <v>0.32</v>
      </c>
      <c r="J83" s="139">
        <v>46.25</v>
      </c>
      <c r="K83" s="139">
        <v>30.224374999999995</v>
      </c>
      <c r="L83" s="139">
        <v>65.349999999999994</v>
      </c>
      <c r="M83" s="8">
        <v>0.2</v>
      </c>
      <c r="N83" s="140">
        <v>78.5</v>
      </c>
      <c r="O83" s="339">
        <v>46226</v>
      </c>
      <c r="P83" s="138"/>
      <c r="Q83" s="8"/>
      <c r="R83" s="8"/>
      <c r="S83" s="139"/>
      <c r="T83" s="139"/>
      <c r="U83" s="139"/>
      <c r="V83" s="8"/>
      <c r="W83" s="140">
        <v>91</v>
      </c>
      <c r="X83" s="309">
        <v>46181</v>
      </c>
      <c r="Y83" s="309">
        <v>46181</v>
      </c>
      <c r="Z83" s="312">
        <v>9</v>
      </c>
      <c r="AA83" s="155">
        <v>75</v>
      </c>
      <c r="AB83" s="28">
        <v>0.1115</v>
      </c>
      <c r="AC83" s="30">
        <v>0.32500000000000001</v>
      </c>
      <c r="AD83" s="30">
        <v>0.37</v>
      </c>
      <c r="AE83" s="385">
        <v>41</v>
      </c>
      <c r="AF83" s="385">
        <f t="shared" si="7"/>
        <v>28.29</v>
      </c>
      <c r="AG83" s="385">
        <v>69</v>
      </c>
      <c r="AH83" s="30">
        <v>0.22</v>
      </c>
      <c r="AI83" s="140">
        <v>81</v>
      </c>
      <c r="AJ83" s="141" t="s">
        <v>458</v>
      </c>
      <c r="AK83" s="141"/>
      <c r="AL83" s="138">
        <f t="shared" si="6"/>
        <v>0</v>
      </c>
      <c r="AM83" s="8">
        <f t="shared" si="6"/>
        <v>0</v>
      </c>
      <c r="AN83" s="8">
        <f t="shared" si="6"/>
        <v>4.9999999999999989E-2</v>
      </c>
      <c r="AO83" s="139">
        <f t="shared" si="6"/>
        <v>-5.25</v>
      </c>
      <c r="AP83" s="139">
        <f t="shared" si="6"/>
        <v>-1.9343749999999957</v>
      </c>
      <c r="AQ83" s="139">
        <f t="shared" si="6"/>
        <v>3.6500000000000057</v>
      </c>
      <c r="AR83" s="8">
        <f t="shared" si="6"/>
        <v>1.999999999999999E-2</v>
      </c>
      <c r="AS83" s="139">
        <f t="shared" si="6"/>
        <v>2.5</v>
      </c>
      <c r="AT83" s="200" t="s">
        <v>222</v>
      </c>
      <c r="AU83" s="200" t="s">
        <v>222</v>
      </c>
      <c r="AV83" s="200" t="s">
        <v>222</v>
      </c>
      <c r="AW83" s="200" t="s">
        <v>222</v>
      </c>
      <c r="AX83" s="200" t="s">
        <v>222</v>
      </c>
      <c r="AY83" s="386">
        <v>9</v>
      </c>
      <c r="AZ83" s="312">
        <f t="shared" si="8"/>
        <v>9</v>
      </c>
      <c r="BA83" s="155">
        <f t="shared" si="8"/>
        <v>75</v>
      </c>
      <c r="BB83" s="39">
        <v>46176</v>
      </c>
      <c r="BC83" s="23" t="s">
        <v>458</v>
      </c>
      <c r="BD83" s="23"/>
    </row>
    <row r="84" spans="2:56" ht="15.5">
      <c r="B84" s="5">
        <v>6</v>
      </c>
      <c r="C84" s="39">
        <v>46181</v>
      </c>
      <c r="D84" s="304">
        <v>46183</v>
      </c>
      <c r="E84" s="133">
        <v>13</v>
      </c>
      <c r="F84" s="155">
        <v>100</v>
      </c>
      <c r="G84" s="138">
        <v>0.10249999999999999</v>
      </c>
      <c r="H84" s="8">
        <v>0.33500000000000002</v>
      </c>
      <c r="I84" s="8">
        <v>0.34</v>
      </c>
      <c r="J84" s="139">
        <v>44.5</v>
      </c>
      <c r="K84" s="139">
        <v>27.756875000000001</v>
      </c>
      <c r="L84" s="139">
        <v>62.375</v>
      </c>
      <c r="M84" s="8">
        <v>0.19</v>
      </c>
      <c r="N84" s="140">
        <v>78.5</v>
      </c>
      <c r="O84" s="339">
        <v>46226</v>
      </c>
      <c r="P84" s="138"/>
      <c r="Q84" s="8"/>
      <c r="R84" s="8"/>
      <c r="S84" s="139"/>
      <c r="T84" s="139"/>
      <c r="U84" s="139"/>
      <c r="V84" s="8"/>
      <c r="W84" s="140">
        <v>88</v>
      </c>
      <c r="X84" s="309">
        <v>46181</v>
      </c>
      <c r="Y84" s="309">
        <v>46181</v>
      </c>
      <c r="Z84" s="312">
        <v>9</v>
      </c>
      <c r="AA84" s="155">
        <v>76</v>
      </c>
      <c r="AB84" s="28">
        <v>0.10249999999999999</v>
      </c>
      <c r="AC84" s="30">
        <v>0.33500000000000002</v>
      </c>
      <c r="AD84" s="30">
        <v>0.34</v>
      </c>
      <c r="AE84" s="385">
        <v>39.75</v>
      </c>
      <c r="AF84" s="385">
        <f t="shared" si="7"/>
        <v>29.017499999999998</v>
      </c>
      <c r="AG84" s="385">
        <v>73</v>
      </c>
      <c r="AH84" s="30">
        <v>0.22</v>
      </c>
      <c r="AI84" s="140">
        <v>81</v>
      </c>
      <c r="AJ84" s="141" t="s">
        <v>458</v>
      </c>
      <c r="AK84" s="141"/>
      <c r="AL84" s="138">
        <f t="shared" si="6"/>
        <v>0</v>
      </c>
      <c r="AM84" s="8">
        <f t="shared" si="6"/>
        <v>0</v>
      </c>
      <c r="AN84" s="8">
        <f t="shared" si="6"/>
        <v>0</v>
      </c>
      <c r="AO84" s="139">
        <f t="shared" si="6"/>
        <v>-4.75</v>
      </c>
      <c r="AP84" s="139">
        <f t="shared" si="6"/>
        <v>1.2606249999999974</v>
      </c>
      <c r="AQ84" s="139">
        <f t="shared" si="6"/>
        <v>10.625</v>
      </c>
      <c r="AR84" s="8">
        <f t="shared" si="6"/>
        <v>0.03</v>
      </c>
      <c r="AS84" s="139">
        <f t="shared" si="6"/>
        <v>2.5</v>
      </c>
      <c r="AT84" s="200" t="s">
        <v>222</v>
      </c>
      <c r="AU84" s="200" t="s">
        <v>222</v>
      </c>
      <c r="AV84" s="200" t="s">
        <v>222</v>
      </c>
      <c r="AW84" s="200" t="s">
        <v>222</v>
      </c>
      <c r="AX84" s="200" t="s">
        <v>222</v>
      </c>
      <c r="AY84" s="386">
        <v>9</v>
      </c>
      <c r="AZ84" s="312">
        <f t="shared" si="8"/>
        <v>9</v>
      </c>
      <c r="BA84" s="155">
        <f t="shared" si="8"/>
        <v>76</v>
      </c>
      <c r="BB84" s="39">
        <v>46179</v>
      </c>
      <c r="BC84" s="23" t="s">
        <v>458</v>
      </c>
      <c r="BD84" s="23"/>
    </row>
    <row r="85" spans="2:56" ht="15.5">
      <c r="B85" s="5">
        <v>6</v>
      </c>
      <c r="C85" s="39">
        <v>46181</v>
      </c>
      <c r="D85" s="304">
        <v>46183</v>
      </c>
      <c r="E85" s="133">
        <v>13</v>
      </c>
      <c r="F85" s="155">
        <v>101</v>
      </c>
      <c r="G85" s="138">
        <v>0.10249999999999999</v>
      </c>
      <c r="H85" s="8">
        <v>0.32250000000000001</v>
      </c>
      <c r="I85" s="8">
        <v>0.35</v>
      </c>
      <c r="J85" s="139">
        <v>45</v>
      </c>
      <c r="K85" s="139">
        <v>27.787499999999994</v>
      </c>
      <c r="L85" s="139">
        <v>61.749999999999993</v>
      </c>
      <c r="M85" s="8">
        <v>0.19</v>
      </c>
      <c r="N85" s="140">
        <v>80</v>
      </c>
      <c r="O85" s="152"/>
      <c r="P85" s="138"/>
      <c r="Q85" s="8"/>
      <c r="R85" s="8"/>
      <c r="S85" s="139"/>
      <c r="T85" s="139"/>
      <c r="U85" s="139"/>
      <c r="V85" s="8"/>
      <c r="W85" s="140"/>
      <c r="X85" s="309">
        <v>46181</v>
      </c>
      <c r="Y85" s="309">
        <v>46182</v>
      </c>
      <c r="Z85" s="312">
        <v>10</v>
      </c>
      <c r="AA85" s="155">
        <v>77</v>
      </c>
      <c r="AB85" s="28">
        <v>0.10249999999999999</v>
      </c>
      <c r="AC85" s="30">
        <v>0.32250000000000001</v>
      </c>
      <c r="AD85" s="30">
        <v>0.35</v>
      </c>
      <c r="AE85" s="385">
        <v>39.75</v>
      </c>
      <c r="AF85" s="385">
        <f t="shared" si="7"/>
        <v>27.427499999999998</v>
      </c>
      <c r="AG85" s="385">
        <v>69</v>
      </c>
      <c r="AH85" s="406">
        <v>0.19</v>
      </c>
      <c r="AI85" s="407">
        <v>83</v>
      </c>
      <c r="AJ85" s="141" t="s">
        <v>458</v>
      </c>
      <c r="AK85" s="141"/>
      <c r="AL85" s="138">
        <f t="shared" si="6"/>
        <v>0</v>
      </c>
      <c r="AM85" s="8">
        <f t="shared" si="6"/>
        <v>0</v>
      </c>
      <c r="AN85" s="8">
        <f t="shared" si="6"/>
        <v>0</v>
      </c>
      <c r="AO85" s="139">
        <f t="shared" si="6"/>
        <v>-5.25</v>
      </c>
      <c r="AP85" s="139">
        <f t="shared" si="6"/>
        <v>-0.35999999999999588</v>
      </c>
      <c r="AQ85" s="139">
        <f t="shared" si="6"/>
        <v>7.2500000000000071</v>
      </c>
      <c r="AR85" s="8">
        <f t="shared" si="6"/>
        <v>0</v>
      </c>
      <c r="AS85" s="139">
        <f t="shared" si="6"/>
        <v>3</v>
      </c>
      <c r="AT85" s="200" t="s">
        <v>222</v>
      </c>
      <c r="AU85" s="200" t="s">
        <v>222</v>
      </c>
      <c r="AV85" s="200" t="s">
        <v>222</v>
      </c>
      <c r="AW85" s="200" t="s">
        <v>222</v>
      </c>
      <c r="AX85" s="200" t="s">
        <v>222</v>
      </c>
      <c r="AY85" s="386">
        <v>9</v>
      </c>
      <c r="AZ85" s="312">
        <f t="shared" si="8"/>
        <v>10</v>
      </c>
      <c r="BA85" s="155">
        <f t="shared" si="8"/>
        <v>77</v>
      </c>
      <c r="BB85" s="39">
        <v>46179</v>
      </c>
      <c r="BC85" s="23" t="s">
        <v>458</v>
      </c>
      <c r="BD85" s="23"/>
    </row>
    <row r="86" spans="2:56" ht="15.5">
      <c r="B86" s="5">
        <v>6</v>
      </c>
      <c r="C86" s="39">
        <v>46181</v>
      </c>
      <c r="D86" s="304">
        <v>46183</v>
      </c>
      <c r="E86" s="133">
        <v>13</v>
      </c>
      <c r="F86" s="155">
        <v>102</v>
      </c>
      <c r="G86" s="138">
        <v>0.111</v>
      </c>
      <c r="H86" s="8">
        <v>0.31</v>
      </c>
      <c r="I86" s="8">
        <v>0.33</v>
      </c>
      <c r="J86" s="139">
        <v>44.75</v>
      </c>
      <c r="K86" s="139">
        <v>28.002312499999999</v>
      </c>
      <c r="L86" s="139">
        <v>62.574999999999996</v>
      </c>
      <c r="M86" s="8">
        <v>0.19</v>
      </c>
      <c r="N86" s="140">
        <v>80</v>
      </c>
      <c r="O86" s="339">
        <v>46226</v>
      </c>
      <c r="P86" s="138"/>
      <c r="Q86" s="8"/>
      <c r="R86" s="8"/>
      <c r="S86" s="139"/>
      <c r="T86" s="139"/>
      <c r="U86" s="139"/>
      <c r="V86" s="8"/>
      <c r="W86" s="140">
        <v>89</v>
      </c>
      <c r="X86" s="309">
        <v>46181</v>
      </c>
      <c r="Y86" s="309">
        <v>46182</v>
      </c>
      <c r="Z86" s="312">
        <v>10</v>
      </c>
      <c r="AA86" s="155">
        <v>78</v>
      </c>
      <c r="AB86" s="28">
        <v>0.11175</v>
      </c>
      <c r="AC86" s="30">
        <v>0.30750000000000005</v>
      </c>
      <c r="AD86" s="30">
        <v>0.33</v>
      </c>
      <c r="AE86" s="385">
        <v>39.75</v>
      </c>
      <c r="AF86" s="385">
        <f t="shared" si="7"/>
        <v>28.520624999999999</v>
      </c>
      <c r="AG86" s="385">
        <v>71.75</v>
      </c>
      <c r="AH86" s="406">
        <v>0.19</v>
      </c>
      <c r="AI86" s="407">
        <v>83</v>
      </c>
      <c r="AJ86" s="141" t="s">
        <v>458</v>
      </c>
      <c r="AK86" s="141"/>
      <c r="AL86" s="138">
        <f t="shared" si="6"/>
        <v>7.5000000000000067E-4</v>
      </c>
      <c r="AM86" s="8">
        <f t="shared" si="6"/>
        <v>-2.4999999999999467E-3</v>
      </c>
      <c r="AN86" s="8">
        <f t="shared" si="6"/>
        <v>0</v>
      </c>
      <c r="AO86" s="139">
        <f t="shared" si="6"/>
        <v>-5</v>
      </c>
      <c r="AP86" s="139">
        <f t="shared" si="6"/>
        <v>0.5183125000000004</v>
      </c>
      <c r="AQ86" s="139">
        <f t="shared" si="6"/>
        <v>9.1750000000000043</v>
      </c>
      <c r="AR86" s="8">
        <f t="shared" si="6"/>
        <v>0</v>
      </c>
      <c r="AS86" s="139">
        <f t="shared" ref="AS86:AS149" si="9">AI86-N86</f>
        <v>3</v>
      </c>
      <c r="AT86" s="200" t="s">
        <v>222</v>
      </c>
      <c r="AU86" s="200" t="s">
        <v>222</v>
      </c>
      <c r="AV86" s="200" t="s">
        <v>222</v>
      </c>
      <c r="AW86" s="200" t="s">
        <v>222</v>
      </c>
      <c r="AX86" s="200" t="s">
        <v>222</v>
      </c>
      <c r="AY86" s="386">
        <v>9</v>
      </c>
      <c r="AZ86" s="312">
        <f t="shared" si="8"/>
        <v>10</v>
      </c>
      <c r="BA86" s="155">
        <f t="shared" si="8"/>
        <v>78</v>
      </c>
      <c r="BB86" s="39">
        <v>46179</v>
      </c>
      <c r="BC86" s="23" t="s">
        <v>458</v>
      </c>
      <c r="BD86" s="23"/>
    </row>
    <row r="87" spans="2:56" ht="15.5">
      <c r="B87" s="5">
        <v>6</v>
      </c>
      <c r="C87" s="39">
        <v>46181</v>
      </c>
      <c r="D87" s="304">
        <v>46183</v>
      </c>
      <c r="E87" s="133">
        <v>13</v>
      </c>
      <c r="F87" s="155">
        <v>103</v>
      </c>
      <c r="G87" s="138">
        <v>0.11449999999999999</v>
      </c>
      <c r="H87" s="8">
        <v>0.29000000000000004</v>
      </c>
      <c r="I87" s="8">
        <v>0.31</v>
      </c>
      <c r="J87" s="139">
        <v>42.75</v>
      </c>
      <c r="K87" s="139">
        <v>27.028687499999997</v>
      </c>
      <c r="L87" s="139">
        <v>63.224999999999994</v>
      </c>
      <c r="M87" s="8">
        <v>0.19</v>
      </c>
      <c r="N87" s="140">
        <v>80</v>
      </c>
      <c r="O87" s="152"/>
      <c r="P87" s="138"/>
      <c r="Q87" s="8"/>
      <c r="R87" s="8"/>
      <c r="S87" s="139"/>
      <c r="T87" s="139"/>
      <c r="U87" s="139"/>
      <c r="V87" s="8"/>
      <c r="W87" s="140"/>
      <c r="X87" s="309">
        <v>46181</v>
      </c>
      <c r="Y87" s="309">
        <v>46182</v>
      </c>
      <c r="Z87" s="312">
        <v>10</v>
      </c>
      <c r="AA87" s="155">
        <v>79</v>
      </c>
      <c r="AB87" s="28">
        <v>0.11449999999999999</v>
      </c>
      <c r="AC87" s="30">
        <v>0.29000000000000004</v>
      </c>
      <c r="AD87" s="30">
        <v>0.31</v>
      </c>
      <c r="AE87" s="385">
        <v>39.75</v>
      </c>
      <c r="AF87" s="385">
        <f t="shared" si="7"/>
        <v>28.02375</v>
      </c>
      <c r="AG87" s="385">
        <v>70.5</v>
      </c>
      <c r="AH87" s="406">
        <v>0.19</v>
      </c>
      <c r="AI87" s="407">
        <v>83</v>
      </c>
      <c r="AJ87" s="141" t="s">
        <v>458</v>
      </c>
      <c r="AK87" s="141"/>
      <c r="AL87" s="138">
        <f t="shared" ref="AL87:AR123" si="10">AB87-G87</f>
        <v>0</v>
      </c>
      <c r="AM87" s="8">
        <f t="shared" si="10"/>
        <v>0</v>
      </c>
      <c r="AN87" s="8">
        <f t="shared" si="10"/>
        <v>0</v>
      </c>
      <c r="AO87" s="139">
        <f t="shared" si="10"/>
        <v>-3</v>
      </c>
      <c r="AP87" s="139">
        <f t="shared" si="10"/>
        <v>0.99506250000000307</v>
      </c>
      <c r="AQ87" s="139">
        <f t="shared" si="10"/>
        <v>7.2750000000000057</v>
      </c>
      <c r="AR87" s="8">
        <f t="shared" si="10"/>
        <v>0</v>
      </c>
      <c r="AS87" s="139">
        <f t="shared" si="9"/>
        <v>3</v>
      </c>
      <c r="AT87" s="200" t="s">
        <v>222</v>
      </c>
      <c r="AU87" s="200" t="s">
        <v>222</v>
      </c>
      <c r="AV87" s="200" t="s">
        <v>222</v>
      </c>
      <c r="AW87" s="200" t="s">
        <v>222</v>
      </c>
      <c r="AX87" s="200" t="s">
        <v>222</v>
      </c>
      <c r="AY87" s="386">
        <v>9</v>
      </c>
      <c r="AZ87" s="312">
        <f t="shared" si="8"/>
        <v>10</v>
      </c>
      <c r="BA87" s="155">
        <f t="shared" si="8"/>
        <v>79</v>
      </c>
      <c r="BB87" s="39">
        <v>46179</v>
      </c>
      <c r="BC87" s="23" t="s">
        <v>458</v>
      </c>
      <c r="BD87" s="23"/>
    </row>
    <row r="88" spans="2:56" ht="15.5">
      <c r="B88" s="5">
        <v>6</v>
      </c>
      <c r="C88" s="39">
        <v>46182</v>
      </c>
      <c r="D88" s="304">
        <v>46184</v>
      </c>
      <c r="E88" s="133">
        <v>13</v>
      </c>
      <c r="F88" s="155">
        <v>104</v>
      </c>
      <c r="G88" s="138">
        <v>0.10975</v>
      </c>
      <c r="H88" s="8">
        <v>0.3125</v>
      </c>
      <c r="I88" s="8">
        <v>0.3</v>
      </c>
      <c r="J88" s="139">
        <v>45</v>
      </c>
      <c r="K88" s="139">
        <v>28.743749999999999</v>
      </c>
      <c r="L88" s="139">
        <v>63.875</v>
      </c>
      <c r="M88" s="8">
        <v>0.19</v>
      </c>
      <c r="N88" s="140">
        <v>80</v>
      </c>
      <c r="O88" s="339">
        <v>46226</v>
      </c>
      <c r="P88" s="138"/>
      <c r="Q88" s="8"/>
      <c r="R88" s="8"/>
      <c r="S88" s="139"/>
      <c r="T88" s="139"/>
      <c r="U88" s="139"/>
      <c r="V88" s="8"/>
      <c r="W88" s="140">
        <v>87</v>
      </c>
      <c r="X88" s="309">
        <v>46181</v>
      </c>
      <c r="Y88" s="309">
        <v>46182</v>
      </c>
      <c r="Z88" s="312">
        <v>10</v>
      </c>
      <c r="AA88" s="155">
        <v>80</v>
      </c>
      <c r="AB88" s="28">
        <v>0.10975</v>
      </c>
      <c r="AC88" s="30">
        <v>0.3125</v>
      </c>
      <c r="AD88" s="30">
        <v>0.3</v>
      </c>
      <c r="AE88" s="385">
        <v>40.25</v>
      </c>
      <c r="AF88" s="385">
        <f t="shared" si="7"/>
        <v>28.175000000000001</v>
      </c>
      <c r="AG88" s="385">
        <v>70</v>
      </c>
      <c r="AH88" s="406">
        <v>0.19</v>
      </c>
      <c r="AI88" s="407">
        <v>83</v>
      </c>
      <c r="AJ88" s="141" t="s">
        <v>458</v>
      </c>
      <c r="AK88" s="141"/>
      <c r="AL88" s="138">
        <f t="shared" si="10"/>
        <v>0</v>
      </c>
      <c r="AM88" s="8">
        <f t="shared" si="10"/>
        <v>0</v>
      </c>
      <c r="AN88" s="8">
        <f t="shared" si="10"/>
        <v>0</v>
      </c>
      <c r="AO88" s="139">
        <f t="shared" si="10"/>
        <v>-4.75</v>
      </c>
      <c r="AP88" s="139">
        <f t="shared" si="10"/>
        <v>-0.56874999999999787</v>
      </c>
      <c r="AQ88" s="139">
        <f t="shared" si="10"/>
        <v>6.125</v>
      </c>
      <c r="AR88" s="8">
        <f t="shared" si="10"/>
        <v>0</v>
      </c>
      <c r="AS88" s="139">
        <f t="shared" si="9"/>
        <v>3</v>
      </c>
      <c r="AT88" s="200" t="s">
        <v>222</v>
      </c>
      <c r="AU88" s="200" t="s">
        <v>222</v>
      </c>
      <c r="AV88" s="200" t="s">
        <v>222</v>
      </c>
      <c r="AW88" s="200" t="s">
        <v>222</v>
      </c>
      <c r="AX88" s="200" t="s">
        <v>222</v>
      </c>
      <c r="AY88" s="386">
        <v>9</v>
      </c>
      <c r="AZ88" s="312">
        <f t="shared" si="8"/>
        <v>10</v>
      </c>
      <c r="BA88" s="155">
        <f t="shared" si="8"/>
        <v>80</v>
      </c>
      <c r="BB88" s="39">
        <v>46179</v>
      </c>
      <c r="BC88" s="23" t="s">
        <v>458</v>
      </c>
      <c r="BD88" s="23"/>
    </row>
    <row r="89" spans="2:56" ht="15.5">
      <c r="B89" s="5">
        <v>6</v>
      </c>
      <c r="C89" s="39">
        <v>46182</v>
      </c>
      <c r="D89" s="304">
        <v>46184</v>
      </c>
      <c r="E89" s="133">
        <v>14</v>
      </c>
      <c r="F89" s="155">
        <v>110</v>
      </c>
      <c r="G89" s="138">
        <v>0.11499999999999999</v>
      </c>
      <c r="H89" s="8">
        <v>0.30500000000000005</v>
      </c>
      <c r="I89" s="8">
        <v>0.31</v>
      </c>
      <c r="J89" s="139">
        <v>41.5</v>
      </c>
      <c r="K89" s="139">
        <v>23.966249999999999</v>
      </c>
      <c r="L89" s="139">
        <v>57.75</v>
      </c>
      <c r="M89" s="8">
        <v>0.22</v>
      </c>
      <c r="N89" s="140">
        <v>82</v>
      </c>
      <c r="O89" s="152"/>
      <c r="P89" s="138"/>
      <c r="Q89" s="8"/>
      <c r="R89" s="8"/>
      <c r="S89" s="139"/>
      <c r="T89" s="139"/>
      <c r="U89" s="139"/>
      <c r="V89" s="8"/>
      <c r="W89" s="140"/>
      <c r="X89" s="309">
        <v>46181</v>
      </c>
      <c r="Y89" s="309">
        <v>46182</v>
      </c>
      <c r="Z89" s="312">
        <v>10</v>
      </c>
      <c r="AA89" s="155">
        <v>81</v>
      </c>
      <c r="AB89" s="28">
        <v>0.11499999999999999</v>
      </c>
      <c r="AC89" s="30">
        <v>0.30500000000000005</v>
      </c>
      <c r="AD89" s="30">
        <v>0.31</v>
      </c>
      <c r="AE89" s="385">
        <v>38.5</v>
      </c>
      <c r="AF89" s="385">
        <f t="shared" si="7"/>
        <v>27.72</v>
      </c>
      <c r="AG89" s="385">
        <v>72</v>
      </c>
      <c r="AH89" s="406">
        <v>0.19</v>
      </c>
      <c r="AI89" s="407">
        <v>82</v>
      </c>
      <c r="AJ89" s="141" t="s">
        <v>458</v>
      </c>
      <c r="AK89" s="141"/>
      <c r="AL89" s="138">
        <f t="shared" si="10"/>
        <v>0</v>
      </c>
      <c r="AM89" s="8">
        <f t="shared" si="10"/>
        <v>0</v>
      </c>
      <c r="AN89" s="8">
        <f t="shared" si="10"/>
        <v>0</v>
      </c>
      <c r="AO89" s="139">
        <f t="shared" si="10"/>
        <v>-3</v>
      </c>
      <c r="AP89" s="139">
        <f t="shared" si="10"/>
        <v>3.7537500000000001</v>
      </c>
      <c r="AQ89" s="139">
        <f t="shared" si="10"/>
        <v>14.25</v>
      </c>
      <c r="AR89" s="8">
        <f t="shared" si="10"/>
        <v>-0.03</v>
      </c>
      <c r="AS89" s="139">
        <f t="shared" si="9"/>
        <v>0</v>
      </c>
      <c r="AT89" s="200" t="s">
        <v>222</v>
      </c>
      <c r="AU89" s="200" t="s">
        <v>222</v>
      </c>
      <c r="AV89" s="200" t="s">
        <v>222</v>
      </c>
      <c r="AW89" s="200" t="s">
        <v>222</v>
      </c>
      <c r="AX89" s="200" t="s">
        <v>222</v>
      </c>
      <c r="AY89" s="386">
        <v>9</v>
      </c>
      <c r="AZ89" s="312">
        <f t="shared" si="8"/>
        <v>10</v>
      </c>
      <c r="BA89" s="155">
        <f t="shared" si="8"/>
        <v>81</v>
      </c>
      <c r="BB89" s="39">
        <v>46182</v>
      </c>
      <c r="BC89" s="23" t="s">
        <v>458</v>
      </c>
      <c r="BD89" s="23"/>
    </row>
    <row r="90" spans="2:56" ht="15.5">
      <c r="B90" s="5">
        <v>6</v>
      </c>
      <c r="C90" s="39">
        <v>46184</v>
      </c>
      <c r="D90" s="304">
        <v>46186</v>
      </c>
      <c r="E90" s="133">
        <v>15</v>
      </c>
      <c r="F90" s="155">
        <v>115</v>
      </c>
      <c r="G90" s="138">
        <v>0.10875</v>
      </c>
      <c r="H90" s="8">
        <v>0.32250000000000001</v>
      </c>
      <c r="I90" s="8">
        <v>0.33</v>
      </c>
      <c r="J90" s="139">
        <v>47.75</v>
      </c>
      <c r="K90" s="139">
        <v>29.091687500000003</v>
      </c>
      <c r="L90" s="139">
        <v>60.925000000000004</v>
      </c>
      <c r="M90" s="8">
        <v>0.2</v>
      </c>
      <c r="N90" s="140">
        <v>84</v>
      </c>
      <c r="O90" s="152"/>
      <c r="P90" s="138"/>
      <c r="Q90" s="8"/>
      <c r="R90" s="8"/>
      <c r="S90" s="139"/>
      <c r="T90" s="139"/>
      <c r="U90" s="139"/>
      <c r="V90" s="8"/>
      <c r="W90" s="140"/>
      <c r="X90" s="309">
        <v>46181</v>
      </c>
      <c r="Y90" s="309">
        <v>46182</v>
      </c>
      <c r="Z90" s="312">
        <v>10</v>
      </c>
      <c r="AA90" s="155">
        <v>82</v>
      </c>
      <c r="AB90" s="28">
        <v>0.10875</v>
      </c>
      <c r="AC90" s="30">
        <v>0.32250000000000001</v>
      </c>
      <c r="AD90" s="30">
        <v>0.33</v>
      </c>
      <c r="AE90" s="385">
        <v>39.25</v>
      </c>
      <c r="AF90" s="385">
        <f t="shared" si="7"/>
        <v>28.750624999999999</v>
      </c>
      <c r="AG90" s="385">
        <v>73.25</v>
      </c>
      <c r="AH90" s="406">
        <v>0.19</v>
      </c>
      <c r="AI90" s="407">
        <v>82</v>
      </c>
      <c r="AJ90" s="141" t="s">
        <v>458</v>
      </c>
      <c r="AK90" s="141"/>
      <c r="AL90" s="138">
        <f t="shared" si="10"/>
        <v>0</v>
      </c>
      <c r="AM90" s="8">
        <f t="shared" si="10"/>
        <v>0</v>
      </c>
      <c r="AN90" s="8">
        <f t="shared" si="10"/>
        <v>0</v>
      </c>
      <c r="AO90" s="139">
        <f t="shared" si="10"/>
        <v>-8.5</v>
      </c>
      <c r="AP90" s="139">
        <f t="shared" si="10"/>
        <v>-0.34106250000000315</v>
      </c>
      <c r="AQ90" s="139">
        <f t="shared" si="10"/>
        <v>12.324999999999996</v>
      </c>
      <c r="AR90" s="8">
        <f t="shared" si="10"/>
        <v>-1.0000000000000009E-2</v>
      </c>
      <c r="AS90" s="139">
        <f t="shared" si="9"/>
        <v>-2</v>
      </c>
      <c r="AT90" s="200" t="s">
        <v>222</v>
      </c>
      <c r="AU90" s="200" t="s">
        <v>222</v>
      </c>
      <c r="AV90" s="200" t="s">
        <v>222</v>
      </c>
      <c r="AW90" s="200" t="s">
        <v>222</v>
      </c>
      <c r="AX90" s="200" t="s">
        <v>222</v>
      </c>
      <c r="AY90" s="386">
        <v>9</v>
      </c>
      <c r="AZ90" s="312">
        <f t="shared" si="8"/>
        <v>10</v>
      </c>
      <c r="BA90" s="155">
        <f t="shared" si="8"/>
        <v>82</v>
      </c>
      <c r="BB90" s="39">
        <v>46184</v>
      </c>
      <c r="BC90" s="23" t="s">
        <v>458</v>
      </c>
      <c r="BD90" s="23"/>
    </row>
    <row r="91" spans="2:56" ht="15.5">
      <c r="B91" s="228">
        <v>5</v>
      </c>
      <c r="C91" s="393">
        <v>46178</v>
      </c>
      <c r="D91" s="232">
        <v>46180</v>
      </c>
      <c r="E91" s="133">
        <v>12</v>
      </c>
      <c r="F91" s="155">
        <v>95</v>
      </c>
      <c r="G91" s="138">
        <v>0.11149999999999999</v>
      </c>
      <c r="H91" s="8">
        <v>0.33</v>
      </c>
      <c r="I91" s="8">
        <v>0.31</v>
      </c>
      <c r="J91" s="139">
        <v>45.5</v>
      </c>
      <c r="K91" s="139">
        <v>28.494375000000002</v>
      </c>
      <c r="L91" s="139">
        <v>62.625</v>
      </c>
      <c r="M91" s="8">
        <v>0.24</v>
      </c>
      <c r="N91" s="140">
        <v>81.5</v>
      </c>
      <c r="O91" s="140"/>
      <c r="P91" s="140"/>
      <c r="Q91" s="140"/>
      <c r="R91" s="140"/>
      <c r="S91" s="140"/>
      <c r="T91" s="140"/>
      <c r="U91" s="140"/>
      <c r="V91" s="140"/>
      <c r="W91" s="140"/>
      <c r="X91" s="309">
        <v>46181</v>
      </c>
      <c r="Y91" s="309">
        <v>46182</v>
      </c>
      <c r="Z91" s="312">
        <v>10</v>
      </c>
      <c r="AA91" s="155">
        <v>83</v>
      </c>
      <c r="AB91" s="28">
        <v>0.11149999999999999</v>
      </c>
      <c r="AC91" s="30">
        <v>0.33</v>
      </c>
      <c r="AD91" s="30">
        <v>0.31</v>
      </c>
      <c r="AE91" s="385">
        <v>39.25</v>
      </c>
      <c r="AF91" s="385">
        <f t="shared" si="7"/>
        <v>28.456250000000001</v>
      </c>
      <c r="AG91" s="385">
        <v>72.5</v>
      </c>
      <c r="AH91" s="406">
        <v>0.19</v>
      </c>
      <c r="AI91" s="407">
        <v>82</v>
      </c>
      <c r="AJ91" s="141" t="s">
        <v>458</v>
      </c>
      <c r="AK91" s="141"/>
      <c r="AL91" s="138">
        <f t="shared" si="10"/>
        <v>0</v>
      </c>
      <c r="AM91" s="8">
        <f t="shared" si="10"/>
        <v>0</v>
      </c>
      <c r="AN91" s="8">
        <f t="shared" si="10"/>
        <v>0</v>
      </c>
      <c r="AO91" s="139">
        <f t="shared" si="10"/>
        <v>-6.25</v>
      </c>
      <c r="AP91" s="139">
        <f t="shared" si="10"/>
        <v>-3.8125000000000853E-2</v>
      </c>
      <c r="AQ91" s="139">
        <f t="shared" si="10"/>
        <v>9.875</v>
      </c>
      <c r="AR91" s="8">
        <f t="shared" si="10"/>
        <v>-4.9999999999999989E-2</v>
      </c>
      <c r="AS91" s="139">
        <f t="shared" si="9"/>
        <v>0.5</v>
      </c>
      <c r="AT91" s="200" t="s">
        <v>222</v>
      </c>
      <c r="AU91" s="200" t="s">
        <v>222</v>
      </c>
      <c r="AV91" s="200" t="s">
        <v>222</v>
      </c>
      <c r="AW91" s="200" t="s">
        <v>222</v>
      </c>
      <c r="AX91" s="200" t="s">
        <v>222</v>
      </c>
      <c r="AY91" s="386">
        <v>9</v>
      </c>
      <c r="AZ91" s="312">
        <f t="shared" si="8"/>
        <v>10</v>
      </c>
      <c r="BA91" s="155">
        <f t="shared" si="8"/>
        <v>83</v>
      </c>
      <c r="BB91" s="393">
        <v>46178</v>
      </c>
      <c r="BC91" s="23" t="s">
        <v>458</v>
      </c>
      <c r="BD91" s="23"/>
    </row>
    <row r="92" spans="2:56" ht="15.5">
      <c r="B92" s="388">
        <v>5</v>
      </c>
      <c r="C92" s="389">
        <v>46178</v>
      </c>
      <c r="D92" s="390">
        <v>46180</v>
      </c>
      <c r="E92" s="133">
        <v>12</v>
      </c>
      <c r="F92" s="155">
        <v>96</v>
      </c>
      <c r="G92" s="138">
        <v>0.11549999999999999</v>
      </c>
      <c r="H92" s="8">
        <v>0.35000000000000003</v>
      </c>
      <c r="I92" s="8">
        <v>0.35</v>
      </c>
      <c r="J92" s="139">
        <v>45.75</v>
      </c>
      <c r="K92" s="139">
        <v>29.245687500000003</v>
      </c>
      <c r="L92" s="139">
        <v>63.925000000000004</v>
      </c>
      <c r="M92" s="8">
        <v>0.24</v>
      </c>
      <c r="N92" s="140">
        <v>81.5</v>
      </c>
      <c r="O92" s="140"/>
      <c r="P92" s="140"/>
      <c r="Q92" s="140"/>
      <c r="R92" s="140"/>
      <c r="S92" s="140"/>
      <c r="T92" s="140"/>
      <c r="U92" s="140"/>
      <c r="V92" s="140"/>
      <c r="W92" s="140"/>
      <c r="X92" s="309">
        <v>46181</v>
      </c>
      <c r="Y92" s="309">
        <v>46182</v>
      </c>
      <c r="Z92" s="312">
        <v>10</v>
      </c>
      <c r="AA92" s="155">
        <v>84</v>
      </c>
      <c r="AB92" s="28">
        <v>0.11549999999999999</v>
      </c>
      <c r="AC92" s="30">
        <v>0.35000000000000003</v>
      </c>
      <c r="AD92" s="30">
        <v>0.35</v>
      </c>
      <c r="AE92" s="385">
        <v>40</v>
      </c>
      <c r="AF92" s="385">
        <f t="shared" si="7"/>
        <v>28.3</v>
      </c>
      <c r="AG92" s="385">
        <v>70.75</v>
      </c>
      <c r="AH92" s="406">
        <v>0.19</v>
      </c>
      <c r="AI92" s="407">
        <v>82</v>
      </c>
      <c r="AJ92" s="141" t="s">
        <v>458</v>
      </c>
      <c r="AK92" s="141"/>
      <c r="AL92" s="138">
        <f t="shared" si="10"/>
        <v>0</v>
      </c>
      <c r="AM92" s="8">
        <f t="shared" si="10"/>
        <v>0</v>
      </c>
      <c r="AN92" s="8">
        <f t="shared" si="10"/>
        <v>0</v>
      </c>
      <c r="AO92" s="139">
        <f t="shared" si="10"/>
        <v>-5.75</v>
      </c>
      <c r="AP92" s="139">
        <f t="shared" si="10"/>
        <v>-0.94568750000000179</v>
      </c>
      <c r="AQ92" s="139">
        <f t="shared" si="10"/>
        <v>6.8249999999999957</v>
      </c>
      <c r="AR92" s="8">
        <f t="shared" si="10"/>
        <v>-4.9999999999999989E-2</v>
      </c>
      <c r="AS92" s="139">
        <f t="shared" si="9"/>
        <v>0.5</v>
      </c>
      <c r="AT92" s="200" t="s">
        <v>222</v>
      </c>
      <c r="AU92" s="200" t="s">
        <v>222</v>
      </c>
      <c r="AV92" s="200" t="s">
        <v>222</v>
      </c>
      <c r="AW92" s="200" t="s">
        <v>222</v>
      </c>
      <c r="AX92" s="200" t="s">
        <v>222</v>
      </c>
      <c r="AY92" s="386">
        <v>9</v>
      </c>
      <c r="AZ92" s="312">
        <f t="shared" si="8"/>
        <v>10</v>
      </c>
      <c r="BA92" s="155">
        <f t="shared" si="8"/>
        <v>84</v>
      </c>
      <c r="BB92" s="389">
        <v>46178</v>
      </c>
      <c r="BC92" s="23" t="s">
        <v>458</v>
      </c>
      <c r="BD92" s="23"/>
    </row>
    <row r="93" spans="2:56" ht="15.5">
      <c r="B93" s="228">
        <v>28</v>
      </c>
      <c r="C93" s="393">
        <v>46153</v>
      </c>
      <c r="D93" s="232">
        <v>46155</v>
      </c>
      <c r="E93" s="233">
        <v>2</v>
      </c>
      <c r="F93" s="234">
        <v>11</v>
      </c>
      <c r="G93" s="235">
        <v>0.114</v>
      </c>
      <c r="H93" s="236">
        <v>0.35249999999999998</v>
      </c>
      <c r="I93" s="236">
        <v>0.4</v>
      </c>
      <c r="J93" s="237">
        <v>37.25</v>
      </c>
      <c r="K93" s="237">
        <v>27.490499999999997</v>
      </c>
      <c r="L93" s="237">
        <v>73.8</v>
      </c>
      <c r="M93" s="236">
        <v>0.21</v>
      </c>
      <c r="N93" s="238">
        <v>71</v>
      </c>
      <c r="O93" s="339">
        <v>46226</v>
      </c>
      <c r="P93" s="235"/>
      <c r="Q93" s="236"/>
      <c r="R93" s="236"/>
      <c r="S93" s="237"/>
      <c r="T93" s="237"/>
      <c r="U93" s="237"/>
      <c r="V93" s="236"/>
      <c r="W93" s="238" t="s">
        <v>508</v>
      </c>
      <c r="X93" s="309">
        <v>46184</v>
      </c>
      <c r="Y93" s="309">
        <v>46184</v>
      </c>
      <c r="Z93" s="312">
        <v>11</v>
      </c>
      <c r="AA93" s="155">
        <v>85</v>
      </c>
      <c r="AB93" s="28">
        <v>9.7000000000000003E-2</v>
      </c>
      <c r="AC93" s="30">
        <v>0.35249999999999998</v>
      </c>
      <c r="AD93" s="30">
        <v>0.4</v>
      </c>
      <c r="AE93" s="385">
        <v>40</v>
      </c>
      <c r="AF93" s="385">
        <f t="shared" si="7"/>
        <v>28</v>
      </c>
      <c r="AG93" s="385">
        <v>70</v>
      </c>
      <c r="AH93" s="406">
        <v>0.21</v>
      </c>
      <c r="AI93" s="407">
        <v>79</v>
      </c>
      <c r="AJ93" s="141" t="s">
        <v>458</v>
      </c>
      <c r="AK93" s="141"/>
      <c r="AL93" s="138">
        <f t="shared" si="10"/>
        <v>-1.7000000000000001E-2</v>
      </c>
      <c r="AM93" s="8">
        <f t="shared" si="10"/>
        <v>0</v>
      </c>
      <c r="AN93" s="8">
        <f t="shared" si="10"/>
        <v>0</v>
      </c>
      <c r="AO93" s="139">
        <f t="shared" si="10"/>
        <v>2.75</v>
      </c>
      <c r="AP93" s="139">
        <f t="shared" si="10"/>
        <v>0.50950000000000273</v>
      </c>
      <c r="AQ93" s="139">
        <f t="shared" si="10"/>
        <v>-3.7999999999999972</v>
      </c>
      <c r="AR93" s="8">
        <f t="shared" si="10"/>
        <v>0</v>
      </c>
      <c r="AS93" s="139">
        <f t="shared" si="9"/>
        <v>8</v>
      </c>
      <c r="AT93" s="200" t="s">
        <v>222</v>
      </c>
      <c r="AU93" s="200" t="s">
        <v>222</v>
      </c>
      <c r="AV93" s="200" t="s">
        <v>222</v>
      </c>
      <c r="AW93" s="200" t="s">
        <v>222</v>
      </c>
      <c r="AX93" s="200" t="s">
        <v>222</v>
      </c>
      <c r="AY93" s="386">
        <v>10</v>
      </c>
      <c r="AZ93" s="312">
        <f t="shared" si="8"/>
        <v>11</v>
      </c>
      <c r="BA93" s="155">
        <f t="shared" si="8"/>
        <v>85</v>
      </c>
      <c r="BB93" s="393">
        <v>46154</v>
      </c>
      <c r="BC93" s="23" t="s">
        <v>458</v>
      </c>
      <c r="BD93" s="23"/>
    </row>
    <row r="94" spans="2:56" ht="15.5">
      <c r="B94" s="5">
        <v>4</v>
      </c>
      <c r="C94" s="39">
        <v>46172</v>
      </c>
      <c r="D94" s="304">
        <v>46174</v>
      </c>
      <c r="E94" s="133">
        <v>10</v>
      </c>
      <c r="F94" s="155">
        <v>73</v>
      </c>
      <c r="G94" s="138">
        <v>0.10525</v>
      </c>
      <c r="H94" s="8">
        <v>0.33</v>
      </c>
      <c r="I94" s="8">
        <v>0.28999999999999998</v>
      </c>
      <c r="J94" s="139">
        <v>51.25</v>
      </c>
      <c r="K94" s="139">
        <v>29.750624999999999</v>
      </c>
      <c r="L94" s="139">
        <v>58.050000000000004</v>
      </c>
      <c r="M94" s="8">
        <v>0.2</v>
      </c>
      <c r="N94" s="140">
        <v>85.5</v>
      </c>
      <c r="O94" s="152"/>
      <c r="P94" s="138"/>
      <c r="Q94" s="8"/>
      <c r="R94" s="8"/>
      <c r="S94" s="139"/>
      <c r="T94" s="139"/>
      <c r="U94" s="139"/>
      <c r="V94" s="8"/>
      <c r="W94" s="140"/>
      <c r="X94" s="309">
        <v>46184</v>
      </c>
      <c r="Y94" s="309">
        <v>46184</v>
      </c>
      <c r="Z94" s="312">
        <v>11</v>
      </c>
      <c r="AA94" s="155">
        <v>86</v>
      </c>
      <c r="AB94" s="28">
        <v>0.10525</v>
      </c>
      <c r="AC94" s="30">
        <v>0.33</v>
      </c>
      <c r="AD94" s="30">
        <v>0.28999999999999998</v>
      </c>
      <c r="AE94" s="385">
        <v>41</v>
      </c>
      <c r="AF94" s="385">
        <f t="shared" si="7"/>
        <v>28.495000000000001</v>
      </c>
      <c r="AG94" s="385">
        <v>69.5</v>
      </c>
      <c r="AH94" s="406">
        <v>0.21</v>
      </c>
      <c r="AI94" s="407">
        <v>79</v>
      </c>
      <c r="AJ94" s="141" t="s">
        <v>458</v>
      </c>
      <c r="AK94" s="141"/>
      <c r="AL94" s="138">
        <f t="shared" si="10"/>
        <v>0</v>
      </c>
      <c r="AM94" s="8">
        <f t="shared" si="10"/>
        <v>0</v>
      </c>
      <c r="AN94" s="8">
        <f t="shared" si="10"/>
        <v>0</v>
      </c>
      <c r="AO94" s="139">
        <f t="shared" si="10"/>
        <v>-10.25</v>
      </c>
      <c r="AP94" s="139">
        <f t="shared" si="10"/>
        <v>-1.2556249999999984</v>
      </c>
      <c r="AQ94" s="139">
        <f t="shared" si="10"/>
        <v>11.449999999999996</v>
      </c>
      <c r="AR94" s="8">
        <f t="shared" si="10"/>
        <v>9.9999999999999811E-3</v>
      </c>
      <c r="AS94" s="139">
        <f t="shared" si="9"/>
        <v>-6.5</v>
      </c>
      <c r="AT94" s="200" t="s">
        <v>222</v>
      </c>
      <c r="AU94" s="200" t="s">
        <v>222</v>
      </c>
      <c r="AV94" s="200" t="s">
        <v>222</v>
      </c>
      <c r="AW94" s="200" t="s">
        <v>222</v>
      </c>
      <c r="AX94" s="200" t="s">
        <v>222</v>
      </c>
      <c r="AY94" s="386">
        <v>10</v>
      </c>
      <c r="AZ94" s="312">
        <f t="shared" si="8"/>
        <v>11</v>
      </c>
      <c r="BA94" s="155">
        <f t="shared" si="8"/>
        <v>86</v>
      </c>
      <c r="BB94" s="39">
        <v>46175</v>
      </c>
      <c r="BC94" s="23" t="s">
        <v>458</v>
      </c>
      <c r="BD94" s="23"/>
    </row>
    <row r="95" spans="2:56" ht="15.5">
      <c r="B95" s="5">
        <v>6</v>
      </c>
      <c r="C95" s="39">
        <v>46182</v>
      </c>
      <c r="D95" s="304">
        <v>46184</v>
      </c>
      <c r="E95" s="133">
        <v>14</v>
      </c>
      <c r="F95" s="155">
        <v>106</v>
      </c>
      <c r="G95" s="138">
        <v>0.105</v>
      </c>
      <c r="H95" s="8">
        <v>0.33</v>
      </c>
      <c r="I95" s="8">
        <v>0.35</v>
      </c>
      <c r="J95" s="139">
        <v>48.5</v>
      </c>
      <c r="K95" s="139">
        <v>27.754124999999998</v>
      </c>
      <c r="L95" s="139">
        <v>57.224999999999994</v>
      </c>
      <c r="M95" s="8">
        <v>0.22</v>
      </c>
      <c r="N95" s="140">
        <v>82</v>
      </c>
      <c r="O95" s="339">
        <v>46226</v>
      </c>
      <c r="P95" s="138"/>
      <c r="Q95" s="8"/>
      <c r="R95" s="8"/>
      <c r="S95" s="139"/>
      <c r="T95" s="139"/>
      <c r="U95" s="139"/>
      <c r="V95" s="8"/>
      <c r="W95" s="140">
        <v>83</v>
      </c>
      <c r="X95" s="309">
        <v>46184</v>
      </c>
      <c r="Y95" s="309">
        <v>46184</v>
      </c>
      <c r="Z95" s="312">
        <v>11</v>
      </c>
      <c r="AA95" s="155">
        <v>87</v>
      </c>
      <c r="AB95" s="28">
        <v>0.105</v>
      </c>
      <c r="AC95" s="30">
        <v>0.33</v>
      </c>
      <c r="AD95" s="30">
        <v>0.35</v>
      </c>
      <c r="AE95" s="385">
        <v>37.5</v>
      </c>
      <c r="AF95" s="385">
        <f t="shared" si="7"/>
        <v>26.4375</v>
      </c>
      <c r="AG95" s="385">
        <v>70.5</v>
      </c>
      <c r="AH95" s="406">
        <v>0.21</v>
      </c>
      <c r="AI95" s="407">
        <v>79</v>
      </c>
      <c r="AJ95" s="141" t="s">
        <v>458</v>
      </c>
      <c r="AK95" s="141"/>
      <c r="AL95" s="138">
        <f t="shared" si="10"/>
        <v>0</v>
      </c>
      <c r="AM95" s="8">
        <f t="shared" si="10"/>
        <v>0</v>
      </c>
      <c r="AN95" s="8">
        <f t="shared" si="10"/>
        <v>0</v>
      </c>
      <c r="AO95" s="139">
        <f t="shared" si="10"/>
        <v>-11</v>
      </c>
      <c r="AP95" s="139">
        <f t="shared" si="10"/>
        <v>-1.3166249999999984</v>
      </c>
      <c r="AQ95" s="139">
        <f t="shared" si="10"/>
        <v>13.275000000000006</v>
      </c>
      <c r="AR95" s="8">
        <f t="shared" si="10"/>
        <v>-1.0000000000000009E-2</v>
      </c>
      <c r="AS95" s="139">
        <f t="shared" si="9"/>
        <v>-3</v>
      </c>
      <c r="AT95" s="200" t="s">
        <v>222</v>
      </c>
      <c r="AU95" s="200" t="s">
        <v>222</v>
      </c>
      <c r="AV95" s="200" t="s">
        <v>222</v>
      </c>
      <c r="AW95" s="200" t="s">
        <v>222</v>
      </c>
      <c r="AX95" s="200" t="s">
        <v>222</v>
      </c>
      <c r="AY95" s="386">
        <v>10</v>
      </c>
      <c r="AZ95" s="312">
        <f t="shared" si="8"/>
        <v>11</v>
      </c>
      <c r="BA95" s="155">
        <f t="shared" si="8"/>
        <v>87</v>
      </c>
      <c r="BB95" s="39">
        <v>46182</v>
      </c>
      <c r="BC95" s="23" t="s">
        <v>458</v>
      </c>
      <c r="BD95" s="23"/>
    </row>
    <row r="96" spans="2:56" ht="15.5">
      <c r="B96" s="5">
        <v>6</v>
      </c>
      <c r="C96" s="39">
        <v>46182</v>
      </c>
      <c r="D96" s="304">
        <v>46184</v>
      </c>
      <c r="E96" s="133">
        <v>14</v>
      </c>
      <c r="F96" s="155">
        <v>108</v>
      </c>
      <c r="G96" s="138">
        <v>0.10475</v>
      </c>
      <c r="H96" s="8">
        <v>0.31</v>
      </c>
      <c r="I96" s="8">
        <v>0.36</v>
      </c>
      <c r="J96" s="139">
        <v>47.25</v>
      </c>
      <c r="K96" s="139">
        <v>29.24775</v>
      </c>
      <c r="L96" s="139">
        <v>61.9</v>
      </c>
      <c r="M96" s="8">
        <v>0.22</v>
      </c>
      <c r="N96" s="140">
        <v>82</v>
      </c>
      <c r="O96" s="339">
        <v>46226</v>
      </c>
      <c r="P96" s="138"/>
      <c r="Q96" s="8"/>
      <c r="R96" s="8"/>
      <c r="S96" s="139"/>
      <c r="T96" s="139"/>
      <c r="U96" s="139"/>
      <c r="V96" s="8"/>
      <c r="W96" s="140">
        <v>89</v>
      </c>
      <c r="X96" s="309">
        <v>46184</v>
      </c>
      <c r="Y96" s="309">
        <v>46184</v>
      </c>
      <c r="Z96" s="312">
        <v>11</v>
      </c>
      <c r="AA96" s="155">
        <v>88</v>
      </c>
      <c r="AB96" s="28">
        <v>0.10475</v>
      </c>
      <c r="AC96" s="30">
        <v>0.31</v>
      </c>
      <c r="AD96" s="30">
        <v>0.36</v>
      </c>
      <c r="AE96" s="385">
        <v>39</v>
      </c>
      <c r="AF96" s="385">
        <f t="shared" si="7"/>
        <v>27.982500000000002</v>
      </c>
      <c r="AG96" s="385">
        <v>71.75</v>
      </c>
      <c r="AH96" s="406">
        <v>0.21</v>
      </c>
      <c r="AI96" s="407">
        <v>79</v>
      </c>
      <c r="AJ96" s="141" t="s">
        <v>458</v>
      </c>
      <c r="AK96" s="141"/>
      <c r="AL96" s="138">
        <f t="shared" si="10"/>
        <v>0</v>
      </c>
      <c r="AM96" s="8">
        <f t="shared" si="10"/>
        <v>0</v>
      </c>
      <c r="AN96" s="8">
        <f t="shared" si="10"/>
        <v>0</v>
      </c>
      <c r="AO96" s="139">
        <f t="shared" si="10"/>
        <v>-8.25</v>
      </c>
      <c r="AP96" s="139">
        <f t="shared" si="10"/>
        <v>-1.2652499999999982</v>
      </c>
      <c r="AQ96" s="139">
        <f t="shared" si="10"/>
        <v>9.8500000000000014</v>
      </c>
      <c r="AR96" s="8">
        <f t="shared" si="10"/>
        <v>-1.0000000000000009E-2</v>
      </c>
      <c r="AS96" s="139">
        <f t="shared" si="9"/>
        <v>-3</v>
      </c>
      <c r="AT96" s="200" t="s">
        <v>222</v>
      </c>
      <c r="AU96" s="200" t="s">
        <v>222</v>
      </c>
      <c r="AV96" s="200" t="s">
        <v>222</v>
      </c>
      <c r="AW96" s="200" t="s">
        <v>222</v>
      </c>
      <c r="AX96" s="200" t="s">
        <v>222</v>
      </c>
      <c r="AY96" s="386">
        <v>10</v>
      </c>
      <c r="AZ96" s="312">
        <f t="shared" si="8"/>
        <v>11</v>
      </c>
      <c r="BA96" s="155">
        <f t="shared" si="8"/>
        <v>88</v>
      </c>
      <c r="BB96" s="39">
        <v>46182</v>
      </c>
      <c r="BC96" s="23" t="s">
        <v>458</v>
      </c>
      <c r="BD96" s="23"/>
    </row>
    <row r="97" spans="2:56" ht="15.5">
      <c r="B97" s="5">
        <v>6</v>
      </c>
      <c r="C97" s="39">
        <v>46182</v>
      </c>
      <c r="D97" s="304">
        <v>46184</v>
      </c>
      <c r="E97" s="133">
        <v>14</v>
      </c>
      <c r="F97" s="155">
        <v>109</v>
      </c>
      <c r="G97" s="138">
        <v>0.1045</v>
      </c>
      <c r="H97" s="8">
        <v>0.31</v>
      </c>
      <c r="I97" s="8">
        <v>0.31</v>
      </c>
      <c r="J97" s="139">
        <v>44.75</v>
      </c>
      <c r="K97" s="139">
        <v>27.823312500000007</v>
      </c>
      <c r="L97" s="139">
        <v>62.175000000000011</v>
      </c>
      <c r="M97" s="8">
        <v>0.22</v>
      </c>
      <c r="N97" s="140">
        <v>82</v>
      </c>
      <c r="O97" s="339">
        <v>46226</v>
      </c>
      <c r="P97" s="138"/>
      <c r="Q97" s="8"/>
      <c r="R97" s="8"/>
      <c r="S97" s="139"/>
      <c r="T97" s="139"/>
      <c r="U97" s="139"/>
      <c r="V97" s="8"/>
      <c r="W97" s="140">
        <v>90</v>
      </c>
      <c r="X97" s="309">
        <v>46184</v>
      </c>
      <c r="Y97" s="309">
        <v>46184</v>
      </c>
      <c r="Z97" s="312">
        <v>11</v>
      </c>
      <c r="AA97" s="155">
        <v>89</v>
      </c>
      <c r="AB97" s="28">
        <v>0.1045</v>
      </c>
      <c r="AC97" s="30">
        <v>0.31</v>
      </c>
      <c r="AD97" s="30">
        <v>0.31</v>
      </c>
      <c r="AE97" s="385">
        <v>36.5</v>
      </c>
      <c r="AF97" s="385">
        <f t="shared" si="7"/>
        <v>26.462499999999999</v>
      </c>
      <c r="AG97" s="385">
        <v>72.5</v>
      </c>
      <c r="AH97" s="406">
        <v>0.21</v>
      </c>
      <c r="AI97" s="407">
        <v>79</v>
      </c>
      <c r="AJ97" s="141" t="s">
        <v>458</v>
      </c>
      <c r="AK97" s="141"/>
      <c r="AL97" s="138">
        <f t="shared" si="10"/>
        <v>0</v>
      </c>
      <c r="AM97" s="8">
        <f t="shared" si="10"/>
        <v>0</v>
      </c>
      <c r="AN97" s="8">
        <f t="shared" si="10"/>
        <v>0</v>
      </c>
      <c r="AO97" s="139">
        <f t="shared" si="10"/>
        <v>-8.25</v>
      </c>
      <c r="AP97" s="139">
        <f t="shared" si="10"/>
        <v>-1.3608125000000086</v>
      </c>
      <c r="AQ97" s="139">
        <f t="shared" si="10"/>
        <v>10.324999999999989</v>
      </c>
      <c r="AR97" s="8">
        <f t="shared" si="10"/>
        <v>-1.0000000000000009E-2</v>
      </c>
      <c r="AS97" s="139">
        <f t="shared" si="9"/>
        <v>-3</v>
      </c>
      <c r="AT97" s="200" t="s">
        <v>222</v>
      </c>
      <c r="AU97" s="200" t="s">
        <v>222</v>
      </c>
      <c r="AV97" s="200" t="s">
        <v>222</v>
      </c>
      <c r="AW97" s="200" t="s">
        <v>222</v>
      </c>
      <c r="AX97" s="200" t="s">
        <v>222</v>
      </c>
      <c r="AY97" s="386">
        <v>10</v>
      </c>
      <c r="AZ97" s="312">
        <f t="shared" si="8"/>
        <v>11</v>
      </c>
      <c r="BA97" s="155">
        <f t="shared" si="8"/>
        <v>89</v>
      </c>
      <c r="BB97" s="39">
        <v>46182</v>
      </c>
      <c r="BC97" s="23" t="s">
        <v>458</v>
      </c>
      <c r="BD97" s="23"/>
    </row>
    <row r="98" spans="2:56" ht="15.5">
      <c r="B98" s="228">
        <v>6</v>
      </c>
      <c r="C98" s="393">
        <v>46183</v>
      </c>
      <c r="D98" s="232">
        <v>46185</v>
      </c>
      <c r="E98" s="233">
        <v>14</v>
      </c>
      <c r="F98" s="234">
        <v>111</v>
      </c>
      <c r="G98" s="235">
        <v>0.1125</v>
      </c>
      <c r="H98" s="236">
        <v>0.32750000000000001</v>
      </c>
      <c r="I98" s="236">
        <v>0.33</v>
      </c>
      <c r="J98" s="237">
        <v>47.75</v>
      </c>
      <c r="K98" s="237">
        <v>26.978750000000002</v>
      </c>
      <c r="L98" s="237">
        <v>56.5</v>
      </c>
      <c r="M98" s="236">
        <v>0.22</v>
      </c>
      <c r="N98" s="238">
        <v>82</v>
      </c>
      <c r="O98" s="299"/>
      <c r="P98" s="235"/>
      <c r="Q98" s="236"/>
      <c r="R98" s="236">
        <v>0.55000000000000004</v>
      </c>
      <c r="S98" s="237"/>
      <c r="T98" s="237"/>
      <c r="U98" s="237"/>
      <c r="V98" s="236"/>
      <c r="W98" s="238"/>
      <c r="X98" s="309">
        <v>46184</v>
      </c>
      <c r="Y98" s="309">
        <v>46184</v>
      </c>
      <c r="Z98" s="312">
        <v>11</v>
      </c>
      <c r="AA98" s="155">
        <v>90</v>
      </c>
      <c r="AB98" s="28">
        <v>0.1125</v>
      </c>
      <c r="AC98" s="30">
        <v>0.32750000000000001</v>
      </c>
      <c r="AD98" s="30">
        <v>0.33</v>
      </c>
      <c r="AE98" s="385">
        <v>36.75</v>
      </c>
      <c r="AF98" s="385">
        <f t="shared" si="7"/>
        <v>26.735624999999999</v>
      </c>
      <c r="AG98" s="385">
        <v>72.75</v>
      </c>
      <c r="AH98" s="406">
        <v>0.21</v>
      </c>
      <c r="AI98" s="408">
        <v>82</v>
      </c>
      <c r="AJ98" s="141" t="s">
        <v>458</v>
      </c>
      <c r="AK98" s="141"/>
      <c r="AL98" s="138">
        <f t="shared" si="10"/>
        <v>0</v>
      </c>
      <c r="AM98" s="8">
        <f t="shared" si="10"/>
        <v>0</v>
      </c>
      <c r="AN98" s="8">
        <f t="shared" si="10"/>
        <v>0</v>
      </c>
      <c r="AO98" s="139">
        <f t="shared" si="10"/>
        <v>-11</v>
      </c>
      <c r="AP98" s="139">
        <f t="shared" si="10"/>
        <v>-0.2431250000000027</v>
      </c>
      <c r="AQ98" s="139">
        <f t="shared" si="10"/>
        <v>16.25</v>
      </c>
      <c r="AR98" s="8">
        <f t="shared" si="10"/>
        <v>-1.0000000000000009E-2</v>
      </c>
      <c r="AS98" s="139">
        <f t="shared" si="9"/>
        <v>0</v>
      </c>
      <c r="AT98" s="200" t="s">
        <v>222</v>
      </c>
      <c r="AU98" s="200" t="s">
        <v>222</v>
      </c>
      <c r="AV98" s="200" t="s">
        <v>222</v>
      </c>
      <c r="AW98" s="200" t="s">
        <v>222</v>
      </c>
      <c r="AX98" s="200" t="s">
        <v>222</v>
      </c>
      <c r="AY98" s="386">
        <v>10</v>
      </c>
      <c r="AZ98" s="312">
        <f t="shared" si="8"/>
        <v>11</v>
      </c>
      <c r="BA98" s="155">
        <f t="shared" si="8"/>
        <v>90</v>
      </c>
      <c r="BB98" s="393">
        <v>46183</v>
      </c>
      <c r="BC98" s="23" t="s">
        <v>458</v>
      </c>
      <c r="BD98" s="23"/>
    </row>
    <row r="99" spans="2:56" ht="15.5">
      <c r="B99" s="5">
        <v>6</v>
      </c>
      <c r="C99" s="39">
        <v>46183</v>
      </c>
      <c r="D99" s="304">
        <v>46185</v>
      </c>
      <c r="E99" s="133">
        <v>14</v>
      </c>
      <c r="F99" s="155">
        <v>112</v>
      </c>
      <c r="G99" s="138">
        <v>0.10925</v>
      </c>
      <c r="H99" s="8">
        <v>0.3125</v>
      </c>
      <c r="I99" s="8">
        <v>0.35</v>
      </c>
      <c r="J99" s="139">
        <v>45.75</v>
      </c>
      <c r="K99" s="139">
        <v>28.68525</v>
      </c>
      <c r="L99" s="139">
        <v>62.7</v>
      </c>
      <c r="M99" s="8">
        <v>0.22</v>
      </c>
      <c r="N99" s="140">
        <v>82</v>
      </c>
      <c r="O99" s="152"/>
      <c r="P99" s="138"/>
      <c r="Q99" s="8"/>
      <c r="R99" s="8"/>
      <c r="S99" s="139"/>
      <c r="T99" s="139"/>
      <c r="U99" s="139"/>
      <c r="V99" s="8"/>
      <c r="W99" s="140"/>
      <c r="X99" s="309">
        <v>46184</v>
      </c>
      <c r="Y99" s="309">
        <v>46184</v>
      </c>
      <c r="Z99" s="312">
        <v>11</v>
      </c>
      <c r="AA99" s="155">
        <v>91</v>
      </c>
      <c r="AB99" s="28">
        <v>0.10925</v>
      </c>
      <c r="AC99" s="30">
        <v>0.3125</v>
      </c>
      <c r="AD99" s="30">
        <v>0.35</v>
      </c>
      <c r="AE99" s="385">
        <v>39</v>
      </c>
      <c r="AF99" s="385">
        <f t="shared" si="7"/>
        <v>28.274999999999999</v>
      </c>
      <c r="AG99" s="385">
        <v>72.5</v>
      </c>
      <c r="AH99" s="406">
        <v>0.21</v>
      </c>
      <c r="AI99" s="408">
        <v>82</v>
      </c>
      <c r="AJ99" s="141" t="s">
        <v>458</v>
      </c>
      <c r="AK99" s="141"/>
      <c r="AL99" s="138">
        <f t="shared" si="10"/>
        <v>0</v>
      </c>
      <c r="AM99" s="8">
        <f t="shared" si="10"/>
        <v>0</v>
      </c>
      <c r="AN99" s="8">
        <f t="shared" si="10"/>
        <v>0</v>
      </c>
      <c r="AO99" s="139">
        <f t="shared" si="10"/>
        <v>-6.75</v>
      </c>
      <c r="AP99" s="139">
        <f t="shared" si="10"/>
        <v>-0.41025000000000134</v>
      </c>
      <c r="AQ99" s="139">
        <f t="shared" si="10"/>
        <v>9.7999999999999972</v>
      </c>
      <c r="AR99" s="8">
        <f t="shared" si="10"/>
        <v>-1.0000000000000009E-2</v>
      </c>
      <c r="AS99" s="139">
        <f t="shared" si="9"/>
        <v>0</v>
      </c>
      <c r="AT99" s="200" t="s">
        <v>222</v>
      </c>
      <c r="AU99" s="200" t="s">
        <v>222</v>
      </c>
      <c r="AV99" s="200" t="s">
        <v>222</v>
      </c>
      <c r="AW99" s="200" t="s">
        <v>222</v>
      </c>
      <c r="AX99" s="200" t="s">
        <v>222</v>
      </c>
      <c r="AY99" s="386">
        <v>10</v>
      </c>
      <c r="AZ99" s="312">
        <f t="shared" si="8"/>
        <v>11</v>
      </c>
      <c r="BA99" s="155">
        <f t="shared" si="8"/>
        <v>91</v>
      </c>
      <c r="BB99" s="39">
        <v>46183</v>
      </c>
      <c r="BC99" s="23" t="s">
        <v>458</v>
      </c>
      <c r="BD99" s="23"/>
    </row>
    <row r="100" spans="2:56" ht="15.5">
      <c r="B100" s="5">
        <v>6</v>
      </c>
      <c r="C100" s="39">
        <v>46183</v>
      </c>
      <c r="D100" s="304">
        <v>46185</v>
      </c>
      <c r="E100" s="133">
        <v>15</v>
      </c>
      <c r="F100" s="155">
        <v>113</v>
      </c>
      <c r="G100" s="138">
        <v>0.11075</v>
      </c>
      <c r="H100" s="8">
        <v>0.32</v>
      </c>
      <c r="I100" s="8">
        <v>0.3</v>
      </c>
      <c r="J100" s="139">
        <v>47.25</v>
      </c>
      <c r="K100" s="139">
        <v>29.495812499999996</v>
      </c>
      <c r="L100" s="139">
        <v>62.424999999999997</v>
      </c>
      <c r="M100" s="8">
        <v>0.2</v>
      </c>
      <c r="N100" s="140">
        <v>84</v>
      </c>
      <c r="O100" s="152"/>
      <c r="P100" s="138"/>
      <c r="Q100" s="8"/>
      <c r="R100" s="8"/>
      <c r="S100" s="139"/>
      <c r="T100" s="139"/>
      <c r="U100" s="139"/>
      <c r="V100" s="8"/>
      <c r="W100" s="140"/>
      <c r="X100" s="309">
        <v>46184</v>
      </c>
      <c r="Y100" s="309">
        <v>46184</v>
      </c>
      <c r="Z100" s="312">
        <v>11</v>
      </c>
      <c r="AA100" s="155">
        <v>92</v>
      </c>
      <c r="AB100" s="28">
        <v>0.11075</v>
      </c>
      <c r="AC100" s="30">
        <v>0.32</v>
      </c>
      <c r="AD100" s="30">
        <v>0.3</v>
      </c>
      <c r="AE100" s="385">
        <v>39</v>
      </c>
      <c r="AF100" s="385">
        <f t="shared" si="7"/>
        <v>27.202500000000001</v>
      </c>
      <c r="AG100" s="385">
        <v>69.75</v>
      </c>
      <c r="AH100" s="406">
        <v>0.21</v>
      </c>
      <c r="AI100" s="408">
        <v>82</v>
      </c>
      <c r="AJ100" s="141" t="s">
        <v>458</v>
      </c>
      <c r="AK100" s="141"/>
      <c r="AL100" s="138">
        <f t="shared" si="10"/>
        <v>0</v>
      </c>
      <c r="AM100" s="8">
        <f t="shared" si="10"/>
        <v>0</v>
      </c>
      <c r="AN100" s="8">
        <f t="shared" si="10"/>
        <v>0</v>
      </c>
      <c r="AO100" s="139">
        <f t="shared" si="10"/>
        <v>-8.25</v>
      </c>
      <c r="AP100" s="139">
        <f t="shared" si="10"/>
        <v>-2.2933124999999954</v>
      </c>
      <c r="AQ100" s="139">
        <f t="shared" si="10"/>
        <v>7.3250000000000028</v>
      </c>
      <c r="AR100" s="8">
        <f t="shared" si="10"/>
        <v>9.9999999999999811E-3</v>
      </c>
      <c r="AS100" s="139">
        <f t="shared" si="9"/>
        <v>-2</v>
      </c>
      <c r="AT100" s="200" t="s">
        <v>222</v>
      </c>
      <c r="AU100" s="200" t="s">
        <v>222</v>
      </c>
      <c r="AV100" s="200" t="s">
        <v>222</v>
      </c>
      <c r="AW100" s="200" t="s">
        <v>222</v>
      </c>
      <c r="AX100" s="200" t="s">
        <v>222</v>
      </c>
      <c r="AY100" s="386">
        <v>10</v>
      </c>
      <c r="AZ100" s="312">
        <f t="shared" si="8"/>
        <v>11</v>
      </c>
      <c r="BA100" s="155">
        <f t="shared" si="8"/>
        <v>92</v>
      </c>
      <c r="BB100" s="39">
        <v>46183</v>
      </c>
      <c r="BC100" s="23" t="s">
        <v>458</v>
      </c>
      <c r="BD100" s="23"/>
    </row>
    <row r="101" spans="2:56" ht="15.5">
      <c r="B101" s="5">
        <v>6</v>
      </c>
      <c r="C101" s="39">
        <v>46183</v>
      </c>
      <c r="D101" s="304">
        <v>46185</v>
      </c>
      <c r="E101" s="133">
        <v>15</v>
      </c>
      <c r="F101" s="155">
        <v>114</v>
      </c>
      <c r="G101" s="138">
        <v>0.11075</v>
      </c>
      <c r="H101" s="8">
        <v>0.34</v>
      </c>
      <c r="I101" s="8">
        <v>0.35</v>
      </c>
      <c r="J101" s="139">
        <v>45.75</v>
      </c>
      <c r="K101" s="139">
        <v>29.234250000000003</v>
      </c>
      <c r="L101" s="139">
        <v>63.900000000000006</v>
      </c>
      <c r="M101" s="8">
        <v>0.2</v>
      </c>
      <c r="N101" s="140">
        <v>84</v>
      </c>
      <c r="O101" s="152"/>
      <c r="P101" s="138"/>
      <c r="Q101" s="8"/>
      <c r="R101" s="8"/>
      <c r="S101" s="139"/>
      <c r="T101" s="139"/>
      <c r="U101" s="139"/>
      <c r="V101" s="8"/>
      <c r="W101" s="140"/>
      <c r="X101" s="309">
        <v>46184</v>
      </c>
      <c r="Y101" s="309">
        <v>46184</v>
      </c>
      <c r="Z101" s="312">
        <v>11</v>
      </c>
      <c r="AA101" s="155">
        <v>93</v>
      </c>
      <c r="AB101" s="28">
        <v>0.11075</v>
      </c>
      <c r="AC101" s="30">
        <v>0.34</v>
      </c>
      <c r="AD101" s="30">
        <v>0.35</v>
      </c>
      <c r="AE101" s="385">
        <v>38.25</v>
      </c>
      <c r="AF101" s="385">
        <f t="shared" si="7"/>
        <v>26.679375</v>
      </c>
      <c r="AG101" s="385">
        <v>69.75</v>
      </c>
      <c r="AH101" s="406">
        <v>0.21</v>
      </c>
      <c r="AI101" s="408">
        <v>82</v>
      </c>
      <c r="AJ101" s="141" t="s">
        <v>458</v>
      </c>
      <c r="AK101" s="141"/>
      <c r="AL101" s="138">
        <f t="shared" si="10"/>
        <v>0</v>
      </c>
      <c r="AM101" s="8">
        <f t="shared" si="10"/>
        <v>0</v>
      </c>
      <c r="AN101" s="8">
        <f t="shared" si="10"/>
        <v>0</v>
      </c>
      <c r="AO101" s="139">
        <f t="shared" si="10"/>
        <v>-7.5</v>
      </c>
      <c r="AP101" s="139">
        <f t="shared" si="10"/>
        <v>-2.5548750000000027</v>
      </c>
      <c r="AQ101" s="139">
        <f t="shared" si="10"/>
        <v>5.8499999999999943</v>
      </c>
      <c r="AR101" s="8">
        <f t="shared" si="10"/>
        <v>9.9999999999999811E-3</v>
      </c>
      <c r="AS101" s="139">
        <f t="shared" si="9"/>
        <v>-2</v>
      </c>
      <c r="AT101" s="200" t="s">
        <v>222</v>
      </c>
      <c r="AU101" s="200" t="s">
        <v>222</v>
      </c>
      <c r="AV101" s="200" t="s">
        <v>222</v>
      </c>
      <c r="AW101" s="200" t="s">
        <v>222</v>
      </c>
      <c r="AX101" s="200" t="s">
        <v>222</v>
      </c>
      <c r="AY101" s="386">
        <v>10</v>
      </c>
      <c r="AZ101" s="312">
        <f t="shared" si="8"/>
        <v>11</v>
      </c>
      <c r="BA101" s="155">
        <f t="shared" si="8"/>
        <v>93</v>
      </c>
      <c r="BB101" s="39">
        <v>46183</v>
      </c>
      <c r="BC101" s="23" t="s">
        <v>458</v>
      </c>
      <c r="BD101" s="23"/>
    </row>
    <row r="102" spans="2:56" ht="15.5">
      <c r="B102" s="5">
        <v>6</v>
      </c>
      <c r="C102" s="39">
        <v>46184</v>
      </c>
      <c r="D102" s="304">
        <v>46186</v>
      </c>
      <c r="E102" s="133">
        <v>15</v>
      </c>
      <c r="F102" s="155">
        <v>116</v>
      </c>
      <c r="G102" s="138">
        <v>0.10875</v>
      </c>
      <c r="H102" s="8">
        <v>0.29249999999999998</v>
      </c>
      <c r="I102" s="8">
        <v>0.32</v>
      </c>
      <c r="J102" s="139">
        <v>48.25</v>
      </c>
      <c r="K102" s="139">
        <v>29.492812499999996</v>
      </c>
      <c r="L102" s="139">
        <v>61.124999999999993</v>
      </c>
      <c r="M102" s="8">
        <v>0.2</v>
      </c>
      <c r="N102" s="140">
        <v>84</v>
      </c>
      <c r="O102" s="339">
        <v>46226</v>
      </c>
      <c r="P102" s="138"/>
      <c r="Q102" s="8"/>
      <c r="R102" s="8"/>
      <c r="S102" s="139"/>
      <c r="T102" s="139"/>
      <c r="U102" s="139"/>
      <c r="V102" s="8"/>
      <c r="W102" s="140" t="s">
        <v>570</v>
      </c>
      <c r="X102" s="309">
        <v>46184</v>
      </c>
      <c r="Y102" s="309">
        <v>46184</v>
      </c>
      <c r="Z102" s="312">
        <v>11</v>
      </c>
      <c r="AA102" s="155">
        <v>94</v>
      </c>
      <c r="AB102" s="28">
        <v>0.10875</v>
      </c>
      <c r="AC102" s="30">
        <v>0.29249999999999998</v>
      </c>
      <c r="AD102" s="30">
        <v>0.32</v>
      </c>
      <c r="AE102" s="385">
        <v>39</v>
      </c>
      <c r="AF102" s="385">
        <f t="shared" si="7"/>
        <v>28.177499999999998</v>
      </c>
      <c r="AG102" s="385">
        <v>72.25</v>
      </c>
      <c r="AH102" s="406">
        <v>0.21</v>
      </c>
      <c r="AI102" s="408">
        <v>82</v>
      </c>
      <c r="AJ102" s="141" t="s">
        <v>458</v>
      </c>
      <c r="AK102" s="141"/>
      <c r="AL102" s="138">
        <f t="shared" si="10"/>
        <v>0</v>
      </c>
      <c r="AM102" s="8">
        <f t="shared" si="10"/>
        <v>0</v>
      </c>
      <c r="AN102" s="8">
        <f t="shared" si="10"/>
        <v>0</v>
      </c>
      <c r="AO102" s="139">
        <f t="shared" si="10"/>
        <v>-9.25</v>
      </c>
      <c r="AP102" s="139">
        <f t="shared" si="10"/>
        <v>-1.3153124999999974</v>
      </c>
      <c r="AQ102" s="139">
        <f t="shared" si="10"/>
        <v>11.125000000000007</v>
      </c>
      <c r="AR102" s="8">
        <f t="shared" si="10"/>
        <v>9.9999999999999811E-3</v>
      </c>
      <c r="AS102" s="139">
        <f t="shared" si="9"/>
        <v>-2</v>
      </c>
      <c r="AT102" s="200" t="s">
        <v>222</v>
      </c>
      <c r="AU102" s="200" t="s">
        <v>222</v>
      </c>
      <c r="AV102" s="200" t="s">
        <v>222</v>
      </c>
      <c r="AW102" s="200" t="s">
        <v>222</v>
      </c>
      <c r="AX102" s="200" t="s">
        <v>222</v>
      </c>
      <c r="AY102" s="386">
        <v>10</v>
      </c>
      <c r="AZ102" s="312">
        <f t="shared" si="8"/>
        <v>11</v>
      </c>
      <c r="BA102" s="155">
        <f t="shared" si="8"/>
        <v>94</v>
      </c>
      <c r="BB102" s="39">
        <v>46184</v>
      </c>
      <c r="BC102" s="23" t="s">
        <v>458</v>
      </c>
      <c r="BD102" s="23"/>
    </row>
    <row r="103" spans="2:56" ht="15.5">
      <c r="B103" s="5">
        <v>6</v>
      </c>
      <c r="C103" s="39">
        <v>46184</v>
      </c>
      <c r="D103" s="304">
        <v>46186</v>
      </c>
      <c r="E103" s="133">
        <v>15</v>
      </c>
      <c r="F103" s="155">
        <v>117</v>
      </c>
      <c r="G103" s="138">
        <v>0.10775</v>
      </c>
      <c r="H103" s="8">
        <v>0.3</v>
      </c>
      <c r="I103" s="8">
        <v>0.33</v>
      </c>
      <c r="J103" s="139">
        <v>47</v>
      </c>
      <c r="K103" s="139">
        <v>30.479500000000002</v>
      </c>
      <c r="L103" s="139">
        <v>64.850000000000009</v>
      </c>
      <c r="M103" s="8">
        <v>0.2</v>
      </c>
      <c r="N103" s="140">
        <v>83</v>
      </c>
      <c r="O103" s="339">
        <v>46226</v>
      </c>
      <c r="P103" s="138"/>
      <c r="Q103" s="8"/>
      <c r="R103" s="8"/>
      <c r="S103" s="139"/>
      <c r="T103" s="139"/>
      <c r="U103" s="139"/>
      <c r="V103" s="8"/>
      <c r="W103" s="140">
        <v>90</v>
      </c>
      <c r="X103" s="309">
        <v>46184</v>
      </c>
      <c r="Y103" s="309">
        <v>46185</v>
      </c>
      <c r="Z103" s="312">
        <v>12</v>
      </c>
      <c r="AA103" s="155">
        <v>95</v>
      </c>
      <c r="AB103" s="28">
        <v>0.10775</v>
      </c>
      <c r="AC103" s="30">
        <v>0.3</v>
      </c>
      <c r="AD103" s="30">
        <v>0.33</v>
      </c>
      <c r="AE103" s="385">
        <v>37.75</v>
      </c>
      <c r="AF103" s="385">
        <f t="shared" si="7"/>
        <v>26.991250000000001</v>
      </c>
      <c r="AG103" s="385">
        <v>71.5</v>
      </c>
      <c r="AH103" s="406">
        <v>0.2</v>
      </c>
      <c r="AI103" s="407">
        <v>79</v>
      </c>
      <c r="AJ103" s="141" t="s">
        <v>458</v>
      </c>
      <c r="AK103" s="141"/>
      <c r="AL103" s="138">
        <f t="shared" si="10"/>
        <v>0</v>
      </c>
      <c r="AM103" s="8">
        <f t="shared" si="10"/>
        <v>0</v>
      </c>
      <c r="AN103" s="8">
        <f t="shared" si="10"/>
        <v>0</v>
      </c>
      <c r="AO103" s="139">
        <f t="shared" si="10"/>
        <v>-9.25</v>
      </c>
      <c r="AP103" s="139">
        <f t="shared" si="10"/>
        <v>-3.4882500000000007</v>
      </c>
      <c r="AQ103" s="139">
        <f t="shared" si="10"/>
        <v>6.6499999999999915</v>
      </c>
      <c r="AR103" s="8">
        <f t="shared" si="10"/>
        <v>0</v>
      </c>
      <c r="AS103" s="139">
        <f t="shared" si="9"/>
        <v>-4</v>
      </c>
      <c r="AT103" s="200" t="s">
        <v>222</v>
      </c>
      <c r="AU103" s="200" t="s">
        <v>222</v>
      </c>
      <c r="AV103" s="200" t="s">
        <v>222</v>
      </c>
      <c r="AW103" s="200" t="s">
        <v>222</v>
      </c>
      <c r="AX103" s="200" t="s">
        <v>222</v>
      </c>
      <c r="AY103" s="386">
        <v>10</v>
      </c>
      <c r="AZ103" s="312">
        <f t="shared" si="8"/>
        <v>12</v>
      </c>
      <c r="BA103" s="155">
        <f t="shared" si="8"/>
        <v>95</v>
      </c>
      <c r="BB103" s="39">
        <v>46184</v>
      </c>
      <c r="BC103" s="23" t="s">
        <v>458</v>
      </c>
      <c r="BD103" s="23"/>
    </row>
    <row r="104" spans="2:56" ht="15.5">
      <c r="B104" s="5">
        <v>6</v>
      </c>
      <c r="C104" s="39">
        <v>46184</v>
      </c>
      <c r="D104" s="304">
        <v>46186</v>
      </c>
      <c r="E104" s="133">
        <v>15</v>
      </c>
      <c r="F104" s="155">
        <v>118</v>
      </c>
      <c r="G104" s="138">
        <v>0.108</v>
      </c>
      <c r="H104" s="8">
        <v>0.29750000000000004</v>
      </c>
      <c r="I104" s="8">
        <v>0.34</v>
      </c>
      <c r="J104" s="139">
        <v>47.5</v>
      </c>
      <c r="K104" s="139">
        <v>28.262499999999996</v>
      </c>
      <c r="L104" s="139">
        <v>59.499999999999993</v>
      </c>
      <c r="M104" s="8">
        <v>0.2</v>
      </c>
      <c r="N104" s="140">
        <v>83</v>
      </c>
      <c r="O104" s="152"/>
      <c r="P104" s="138"/>
      <c r="Q104" s="8"/>
      <c r="R104" s="8"/>
      <c r="S104" s="139"/>
      <c r="T104" s="139"/>
      <c r="U104" s="139"/>
      <c r="V104" s="8"/>
      <c r="W104" s="140"/>
      <c r="X104" s="309">
        <v>46184</v>
      </c>
      <c r="Y104" s="309">
        <v>46185</v>
      </c>
      <c r="Z104" s="312">
        <v>12</v>
      </c>
      <c r="AA104" s="155">
        <v>96</v>
      </c>
      <c r="AB104" s="28">
        <v>0.108</v>
      </c>
      <c r="AC104" s="30">
        <v>0.29750000000000004</v>
      </c>
      <c r="AD104" s="30">
        <v>0.34</v>
      </c>
      <c r="AE104" s="385">
        <v>39.25</v>
      </c>
      <c r="AF104" s="385">
        <f t="shared" si="7"/>
        <v>28.063749999999999</v>
      </c>
      <c r="AG104" s="385">
        <v>71.5</v>
      </c>
      <c r="AH104" s="406">
        <v>0.2</v>
      </c>
      <c r="AI104" s="407">
        <v>79</v>
      </c>
      <c r="AJ104" s="141" t="s">
        <v>458</v>
      </c>
      <c r="AK104" s="141"/>
      <c r="AL104" s="138">
        <f t="shared" si="10"/>
        <v>0</v>
      </c>
      <c r="AM104" s="8">
        <f t="shared" si="10"/>
        <v>0</v>
      </c>
      <c r="AN104" s="8">
        <f t="shared" si="10"/>
        <v>0</v>
      </c>
      <c r="AO104" s="139">
        <f t="shared" si="10"/>
        <v>-8.25</v>
      </c>
      <c r="AP104" s="139">
        <f t="shared" si="10"/>
        <v>-0.19874999999999687</v>
      </c>
      <c r="AQ104" s="139">
        <f t="shared" si="10"/>
        <v>12.000000000000007</v>
      </c>
      <c r="AR104" s="8">
        <f t="shared" si="10"/>
        <v>0</v>
      </c>
      <c r="AS104" s="139">
        <f t="shared" si="9"/>
        <v>-4</v>
      </c>
      <c r="AT104" s="200" t="s">
        <v>222</v>
      </c>
      <c r="AU104" s="200" t="s">
        <v>222</v>
      </c>
      <c r="AV104" s="200" t="s">
        <v>222</v>
      </c>
      <c r="AW104" s="200" t="s">
        <v>222</v>
      </c>
      <c r="AX104" s="200" t="s">
        <v>222</v>
      </c>
      <c r="AY104" s="386">
        <v>10</v>
      </c>
      <c r="AZ104" s="312">
        <f t="shared" si="8"/>
        <v>12</v>
      </c>
      <c r="BA104" s="155">
        <f t="shared" si="8"/>
        <v>96</v>
      </c>
      <c r="BB104" s="39">
        <v>46184</v>
      </c>
      <c r="BC104" s="23" t="s">
        <v>458</v>
      </c>
      <c r="BD104" s="23"/>
    </row>
    <row r="105" spans="2:56" ht="15.5">
      <c r="B105" s="5">
        <v>6</v>
      </c>
      <c r="C105" s="39">
        <v>46184</v>
      </c>
      <c r="D105" s="304">
        <v>46186</v>
      </c>
      <c r="E105" s="133">
        <v>15</v>
      </c>
      <c r="F105" s="155">
        <v>119</v>
      </c>
      <c r="G105" s="138">
        <v>0.1075</v>
      </c>
      <c r="H105" s="8">
        <v>0.32999999999999996</v>
      </c>
      <c r="I105" s="8">
        <v>0.36</v>
      </c>
      <c r="J105" s="139">
        <v>46.75</v>
      </c>
      <c r="K105" s="139">
        <v>28.260375</v>
      </c>
      <c r="L105" s="139">
        <v>60.449999999999996</v>
      </c>
      <c r="M105" s="8">
        <v>0.2</v>
      </c>
      <c r="N105" s="140">
        <v>83</v>
      </c>
      <c r="O105" s="339">
        <v>46226</v>
      </c>
      <c r="P105" s="138"/>
      <c r="Q105" s="8"/>
      <c r="R105" s="8"/>
      <c r="S105" s="139"/>
      <c r="T105" s="139"/>
      <c r="U105" s="139"/>
      <c r="V105" s="8"/>
      <c r="W105" s="140">
        <v>88</v>
      </c>
      <c r="X105" s="309">
        <v>46184</v>
      </c>
      <c r="Y105" s="309">
        <v>46185</v>
      </c>
      <c r="Z105" s="312">
        <v>12</v>
      </c>
      <c r="AA105" s="155">
        <v>97</v>
      </c>
      <c r="AB105" s="28">
        <v>0.1075</v>
      </c>
      <c r="AC105" s="30">
        <v>0.32999999999999996</v>
      </c>
      <c r="AD105" s="30">
        <v>0.36</v>
      </c>
      <c r="AE105" s="385">
        <v>39.25</v>
      </c>
      <c r="AF105" s="385">
        <f t="shared" si="7"/>
        <v>28.554375</v>
      </c>
      <c r="AG105" s="385">
        <v>72.75</v>
      </c>
      <c r="AH105" s="406">
        <v>0.2</v>
      </c>
      <c r="AI105" s="407">
        <v>79</v>
      </c>
      <c r="AJ105" s="141" t="s">
        <v>458</v>
      </c>
      <c r="AK105" s="141"/>
      <c r="AL105" s="138">
        <f t="shared" si="10"/>
        <v>0</v>
      </c>
      <c r="AM105" s="8">
        <f t="shared" si="10"/>
        <v>0</v>
      </c>
      <c r="AN105" s="8">
        <f t="shared" si="10"/>
        <v>0</v>
      </c>
      <c r="AO105" s="139">
        <f t="shared" si="10"/>
        <v>-7.5</v>
      </c>
      <c r="AP105" s="139">
        <f t="shared" si="10"/>
        <v>0.29400000000000048</v>
      </c>
      <c r="AQ105" s="139">
        <f t="shared" si="10"/>
        <v>12.300000000000004</v>
      </c>
      <c r="AR105" s="8">
        <f t="shared" si="10"/>
        <v>0</v>
      </c>
      <c r="AS105" s="139">
        <f t="shared" si="9"/>
        <v>-4</v>
      </c>
      <c r="AT105" s="200" t="s">
        <v>222</v>
      </c>
      <c r="AU105" s="200" t="s">
        <v>222</v>
      </c>
      <c r="AV105" s="200" t="s">
        <v>222</v>
      </c>
      <c r="AW105" s="200" t="s">
        <v>222</v>
      </c>
      <c r="AX105" s="200" t="s">
        <v>222</v>
      </c>
      <c r="AY105" s="386">
        <v>10</v>
      </c>
      <c r="AZ105" s="312">
        <f t="shared" si="8"/>
        <v>12</v>
      </c>
      <c r="BA105" s="155">
        <f t="shared" si="8"/>
        <v>97</v>
      </c>
      <c r="BB105" s="39">
        <v>46184</v>
      </c>
      <c r="BC105" s="23" t="s">
        <v>458</v>
      </c>
      <c r="BD105" s="23"/>
    </row>
    <row r="106" spans="2:56" ht="15.5">
      <c r="B106" s="5">
        <v>6</v>
      </c>
      <c r="C106" s="39">
        <v>46184</v>
      </c>
      <c r="D106" s="304">
        <v>46186</v>
      </c>
      <c r="E106" s="133">
        <v>16</v>
      </c>
      <c r="F106" s="155">
        <v>121</v>
      </c>
      <c r="G106" s="138">
        <v>0.10775</v>
      </c>
      <c r="H106" s="8">
        <v>0.32750000000000001</v>
      </c>
      <c r="I106" s="8">
        <v>0.34</v>
      </c>
      <c r="J106" s="139">
        <v>45.25</v>
      </c>
      <c r="K106" s="139">
        <v>27.4780625</v>
      </c>
      <c r="L106" s="139">
        <v>60.725000000000001</v>
      </c>
      <c r="M106" s="8">
        <v>0.21</v>
      </c>
      <c r="N106" s="140">
        <v>84.5</v>
      </c>
      <c r="O106" s="339">
        <v>46226</v>
      </c>
      <c r="P106" s="138"/>
      <c r="Q106" s="8"/>
      <c r="R106" s="8"/>
      <c r="S106" s="387">
        <v>42</v>
      </c>
      <c r="T106" s="139">
        <v>26.04</v>
      </c>
      <c r="U106" s="387">
        <v>62</v>
      </c>
      <c r="V106" s="8"/>
      <c r="W106" s="305" t="s">
        <v>572</v>
      </c>
      <c r="X106" s="309">
        <v>46184</v>
      </c>
      <c r="Y106" s="309">
        <v>46185</v>
      </c>
      <c r="Z106" s="312">
        <v>12</v>
      </c>
      <c r="AA106" s="155">
        <v>98</v>
      </c>
      <c r="AB106" s="28">
        <v>0.10775</v>
      </c>
      <c r="AC106" s="30">
        <v>0.32750000000000001</v>
      </c>
      <c r="AD106" s="30">
        <v>0.34</v>
      </c>
      <c r="AE106" s="385">
        <v>35.75</v>
      </c>
      <c r="AF106" s="385">
        <f t="shared" si="7"/>
        <v>26.186875000000001</v>
      </c>
      <c r="AG106" s="385">
        <v>73.25</v>
      </c>
      <c r="AH106" s="406">
        <v>0.2</v>
      </c>
      <c r="AI106" s="407">
        <v>79</v>
      </c>
      <c r="AJ106" s="141" t="s">
        <v>458</v>
      </c>
      <c r="AK106" s="141"/>
      <c r="AL106" s="138">
        <f t="shared" si="10"/>
        <v>0</v>
      </c>
      <c r="AM106" s="8">
        <f t="shared" si="10"/>
        <v>0</v>
      </c>
      <c r="AN106" s="8">
        <f t="shared" si="10"/>
        <v>0</v>
      </c>
      <c r="AO106" s="139">
        <f t="shared" si="10"/>
        <v>-9.5</v>
      </c>
      <c r="AP106" s="139">
        <f t="shared" si="10"/>
        <v>-1.2911874999999995</v>
      </c>
      <c r="AQ106" s="139">
        <f t="shared" si="10"/>
        <v>12.524999999999999</v>
      </c>
      <c r="AR106" s="8">
        <f t="shared" si="10"/>
        <v>-9.9999999999999811E-3</v>
      </c>
      <c r="AS106" s="139">
        <f t="shared" si="9"/>
        <v>-5.5</v>
      </c>
      <c r="AT106" s="200" t="s">
        <v>222</v>
      </c>
      <c r="AU106" s="200" t="s">
        <v>222</v>
      </c>
      <c r="AV106" s="200" t="s">
        <v>222</v>
      </c>
      <c r="AW106" s="200" t="s">
        <v>222</v>
      </c>
      <c r="AX106" s="200" t="s">
        <v>222</v>
      </c>
      <c r="AY106" s="386">
        <v>10</v>
      </c>
      <c r="AZ106" s="312">
        <f t="shared" si="8"/>
        <v>12</v>
      </c>
      <c r="BA106" s="155">
        <f t="shared" si="8"/>
        <v>98</v>
      </c>
      <c r="BB106" s="39">
        <v>46184</v>
      </c>
      <c r="BC106" s="23" t="s">
        <v>458</v>
      </c>
      <c r="BD106" s="23"/>
    </row>
    <row r="107" spans="2:56" ht="15.5">
      <c r="B107" s="5">
        <v>6</v>
      </c>
      <c r="C107" s="39">
        <v>46184</v>
      </c>
      <c r="D107" s="304">
        <v>46186</v>
      </c>
      <c r="E107" s="133">
        <v>16</v>
      </c>
      <c r="F107" s="155">
        <v>122</v>
      </c>
      <c r="G107" s="138">
        <v>0.11874999999999999</v>
      </c>
      <c r="H107" s="8">
        <v>0.32750000000000001</v>
      </c>
      <c r="I107" s="8">
        <v>0.36</v>
      </c>
      <c r="J107" s="139">
        <v>49.25</v>
      </c>
      <c r="K107" s="139">
        <v>29.217562500000003</v>
      </c>
      <c r="L107" s="139">
        <v>59.325000000000003</v>
      </c>
      <c r="M107" s="8">
        <v>0.21</v>
      </c>
      <c r="N107" s="140">
        <v>84.5</v>
      </c>
      <c r="O107" s="339">
        <v>46226</v>
      </c>
      <c r="P107" s="138"/>
      <c r="Q107" s="8"/>
      <c r="R107" s="8"/>
      <c r="S107" s="387">
        <v>45</v>
      </c>
      <c r="T107" s="139">
        <v>29.969999999999995</v>
      </c>
      <c r="U107" s="387">
        <v>66.599999999999994</v>
      </c>
      <c r="V107" s="8"/>
      <c r="W107" s="305" t="s">
        <v>573</v>
      </c>
      <c r="X107" s="309">
        <v>46184</v>
      </c>
      <c r="Y107" s="309">
        <v>46185</v>
      </c>
      <c r="Z107" s="312">
        <v>12</v>
      </c>
      <c r="AA107" s="155">
        <v>99</v>
      </c>
      <c r="AB107" s="28">
        <v>0.11874999999999999</v>
      </c>
      <c r="AC107" s="30">
        <v>0.32750000000000001</v>
      </c>
      <c r="AD107" s="30">
        <v>0.36</v>
      </c>
      <c r="AE107" s="385">
        <v>39</v>
      </c>
      <c r="AF107" s="385">
        <f t="shared" si="7"/>
        <v>27.787500000000001</v>
      </c>
      <c r="AG107" s="385">
        <v>71.25</v>
      </c>
      <c r="AH107" s="406">
        <v>0.2</v>
      </c>
      <c r="AI107" s="407">
        <v>79</v>
      </c>
      <c r="AJ107" s="141" t="s">
        <v>458</v>
      </c>
      <c r="AK107" s="141"/>
      <c r="AL107" s="138">
        <f t="shared" si="10"/>
        <v>0</v>
      </c>
      <c r="AM107" s="8">
        <f t="shared" si="10"/>
        <v>0</v>
      </c>
      <c r="AN107" s="8">
        <f t="shared" si="10"/>
        <v>0</v>
      </c>
      <c r="AO107" s="139">
        <f t="shared" si="10"/>
        <v>-10.25</v>
      </c>
      <c r="AP107" s="139">
        <f t="shared" si="10"/>
        <v>-1.4300625000000018</v>
      </c>
      <c r="AQ107" s="139">
        <f t="shared" si="10"/>
        <v>11.924999999999997</v>
      </c>
      <c r="AR107" s="8">
        <f t="shared" si="10"/>
        <v>-9.9999999999999811E-3</v>
      </c>
      <c r="AS107" s="139">
        <f t="shared" si="9"/>
        <v>-5.5</v>
      </c>
      <c r="AT107" s="200" t="s">
        <v>222</v>
      </c>
      <c r="AU107" s="200" t="s">
        <v>222</v>
      </c>
      <c r="AV107" s="200" t="s">
        <v>222</v>
      </c>
      <c r="AW107" s="200" t="s">
        <v>222</v>
      </c>
      <c r="AX107" s="200" t="s">
        <v>222</v>
      </c>
      <c r="AY107" s="386">
        <v>10</v>
      </c>
      <c r="AZ107" s="312">
        <f t="shared" si="8"/>
        <v>12</v>
      </c>
      <c r="BA107" s="155">
        <f t="shared" si="8"/>
        <v>99</v>
      </c>
      <c r="BB107" s="39">
        <v>46184</v>
      </c>
      <c r="BC107" s="23" t="s">
        <v>458</v>
      </c>
      <c r="BD107" s="23"/>
    </row>
    <row r="108" spans="2:56" ht="15.5">
      <c r="B108" s="5">
        <v>6</v>
      </c>
      <c r="C108" s="39">
        <v>46185</v>
      </c>
      <c r="D108" s="304">
        <v>46187</v>
      </c>
      <c r="E108" s="133">
        <v>16</v>
      </c>
      <c r="F108" s="155">
        <v>123</v>
      </c>
      <c r="G108" s="138">
        <v>0.10975</v>
      </c>
      <c r="H108" s="8">
        <v>0.32250000000000001</v>
      </c>
      <c r="I108" s="8">
        <v>0.31</v>
      </c>
      <c r="J108" s="139">
        <v>47.75</v>
      </c>
      <c r="K108" s="139">
        <v>30.750999999999994</v>
      </c>
      <c r="L108" s="139">
        <v>64.399999999999991</v>
      </c>
      <c r="M108" s="8">
        <v>0.21</v>
      </c>
      <c r="N108" s="140">
        <v>84.5</v>
      </c>
      <c r="O108" s="339">
        <v>46226</v>
      </c>
      <c r="P108" s="138"/>
      <c r="Q108" s="8"/>
      <c r="R108" s="8"/>
      <c r="S108" s="139"/>
      <c r="T108" s="139"/>
      <c r="U108" s="139"/>
      <c r="V108" s="8"/>
      <c r="W108" s="409" t="s">
        <v>574</v>
      </c>
      <c r="X108" s="309">
        <v>46184</v>
      </c>
      <c r="Y108" s="309">
        <v>46185</v>
      </c>
      <c r="Z108" s="312">
        <v>12</v>
      </c>
      <c r="AA108" s="155">
        <v>100</v>
      </c>
      <c r="AB108" s="28">
        <v>0.10975</v>
      </c>
      <c r="AC108" s="30">
        <v>0.32250000000000001</v>
      </c>
      <c r="AD108" s="30">
        <v>0.31</v>
      </c>
      <c r="AE108" s="385">
        <v>36.25</v>
      </c>
      <c r="AF108" s="385">
        <f t="shared" si="7"/>
        <v>26.462499999999999</v>
      </c>
      <c r="AG108" s="385">
        <v>73</v>
      </c>
      <c r="AH108" s="406">
        <v>0.2</v>
      </c>
      <c r="AI108" s="407">
        <v>80</v>
      </c>
      <c r="AJ108" s="141" t="s">
        <v>458</v>
      </c>
      <c r="AK108" s="141"/>
      <c r="AL108" s="138">
        <f t="shared" si="10"/>
        <v>0</v>
      </c>
      <c r="AM108" s="8">
        <f t="shared" si="10"/>
        <v>0</v>
      </c>
      <c r="AN108" s="8">
        <f t="shared" si="10"/>
        <v>0</v>
      </c>
      <c r="AO108" s="139">
        <f t="shared" si="10"/>
        <v>-11.5</v>
      </c>
      <c r="AP108" s="139">
        <f t="shared" si="10"/>
        <v>-4.2884999999999955</v>
      </c>
      <c r="AQ108" s="139">
        <f t="shared" si="10"/>
        <v>8.6000000000000085</v>
      </c>
      <c r="AR108" s="8">
        <f t="shared" si="10"/>
        <v>-9.9999999999999811E-3</v>
      </c>
      <c r="AS108" s="139">
        <f t="shared" si="9"/>
        <v>-4.5</v>
      </c>
      <c r="AT108" s="200" t="s">
        <v>222</v>
      </c>
      <c r="AU108" s="200" t="s">
        <v>222</v>
      </c>
      <c r="AV108" s="200" t="s">
        <v>222</v>
      </c>
      <c r="AW108" s="200" t="s">
        <v>222</v>
      </c>
      <c r="AX108" s="200" t="s">
        <v>222</v>
      </c>
      <c r="AY108" s="386">
        <v>10</v>
      </c>
      <c r="AZ108" s="312">
        <f t="shared" si="8"/>
        <v>12</v>
      </c>
      <c r="BA108" s="155">
        <f t="shared" si="8"/>
        <v>100</v>
      </c>
      <c r="BB108" s="39">
        <v>46185</v>
      </c>
      <c r="BC108" s="23" t="s">
        <v>458</v>
      </c>
      <c r="BD108" s="23"/>
    </row>
    <row r="109" spans="2:56" ht="15.5">
      <c r="B109" s="5">
        <v>7</v>
      </c>
      <c r="C109" s="39">
        <v>46190</v>
      </c>
      <c r="D109" s="304">
        <v>46192</v>
      </c>
      <c r="E109" s="133">
        <v>17</v>
      </c>
      <c r="F109" s="155">
        <v>133</v>
      </c>
      <c r="G109" s="138">
        <v>0.1065</v>
      </c>
      <c r="H109" s="8">
        <v>0.28000000000000003</v>
      </c>
      <c r="I109" s="8">
        <v>0.36</v>
      </c>
      <c r="J109" s="139">
        <v>46.25</v>
      </c>
      <c r="K109" s="139">
        <v>26.235312499999996</v>
      </c>
      <c r="L109" s="139">
        <v>56.724999999999994</v>
      </c>
      <c r="M109" s="8">
        <v>0.22</v>
      </c>
      <c r="N109" s="140">
        <v>84.5</v>
      </c>
      <c r="O109" s="339">
        <v>46226</v>
      </c>
      <c r="P109" s="138"/>
      <c r="Q109" s="8"/>
      <c r="R109" s="8"/>
      <c r="S109" s="387">
        <v>44</v>
      </c>
      <c r="T109" s="139">
        <v>28.16</v>
      </c>
      <c r="U109" s="387">
        <v>64</v>
      </c>
      <c r="V109" s="8"/>
      <c r="W109" s="305" t="s">
        <v>576</v>
      </c>
      <c r="X109" s="309">
        <v>46184</v>
      </c>
      <c r="Y109" s="309">
        <v>46185</v>
      </c>
      <c r="Z109" s="312">
        <v>12</v>
      </c>
      <c r="AA109" s="155">
        <v>101</v>
      </c>
      <c r="AB109" s="28">
        <v>0.1065</v>
      </c>
      <c r="AC109" s="30">
        <v>0.28000000000000003</v>
      </c>
      <c r="AD109" s="30">
        <v>0.36</v>
      </c>
      <c r="AE109" s="385">
        <v>39.25</v>
      </c>
      <c r="AF109" s="385">
        <f t="shared" si="7"/>
        <v>27.769375</v>
      </c>
      <c r="AG109" s="385">
        <v>70.75</v>
      </c>
      <c r="AH109" s="406">
        <v>0.2</v>
      </c>
      <c r="AI109" s="407">
        <v>80</v>
      </c>
      <c r="AJ109" s="141" t="s">
        <v>458</v>
      </c>
      <c r="AK109" s="141"/>
      <c r="AL109" s="138">
        <f t="shared" si="10"/>
        <v>0</v>
      </c>
      <c r="AM109" s="8">
        <f t="shared" si="10"/>
        <v>0</v>
      </c>
      <c r="AN109" s="8">
        <f t="shared" si="10"/>
        <v>0</v>
      </c>
      <c r="AO109" s="139">
        <f t="shared" si="10"/>
        <v>-7</v>
      </c>
      <c r="AP109" s="139">
        <f t="shared" si="10"/>
        <v>1.5340625000000045</v>
      </c>
      <c r="AQ109" s="139">
        <f t="shared" si="10"/>
        <v>14.025000000000006</v>
      </c>
      <c r="AR109" s="8">
        <f t="shared" si="10"/>
        <v>-1.999999999999999E-2</v>
      </c>
      <c r="AS109" s="139">
        <f t="shared" si="9"/>
        <v>-4.5</v>
      </c>
      <c r="AT109" s="200" t="s">
        <v>222</v>
      </c>
      <c r="AU109" s="200" t="s">
        <v>222</v>
      </c>
      <c r="AV109" s="200" t="s">
        <v>222</v>
      </c>
      <c r="AW109" s="200" t="s">
        <v>222</v>
      </c>
      <c r="AX109" s="200" t="s">
        <v>222</v>
      </c>
      <c r="AY109" s="386">
        <v>10</v>
      </c>
      <c r="AZ109" s="312">
        <f t="shared" si="8"/>
        <v>12</v>
      </c>
      <c r="BA109" s="155">
        <f t="shared" si="8"/>
        <v>101</v>
      </c>
      <c r="BB109" s="39">
        <v>46190</v>
      </c>
      <c r="BC109" s="23" t="s">
        <v>458</v>
      </c>
      <c r="BD109" s="23"/>
    </row>
    <row r="110" spans="2:56" ht="15.5">
      <c r="B110" s="5">
        <v>7</v>
      </c>
      <c r="C110" s="39">
        <v>46190</v>
      </c>
      <c r="D110" s="304">
        <v>46192</v>
      </c>
      <c r="E110" s="133">
        <v>17</v>
      </c>
      <c r="F110" s="155">
        <v>134</v>
      </c>
      <c r="G110" s="138">
        <v>0.1065</v>
      </c>
      <c r="H110" s="8">
        <v>0.29000000000000004</v>
      </c>
      <c r="I110" s="8">
        <v>0.39</v>
      </c>
      <c r="J110" s="139">
        <v>47.5</v>
      </c>
      <c r="K110" s="139">
        <v>27.478750000000005</v>
      </c>
      <c r="L110" s="139">
        <v>57.850000000000009</v>
      </c>
      <c r="M110" s="8">
        <v>0.22</v>
      </c>
      <c r="N110" s="140">
        <v>84.5</v>
      </c>
      <c r="O110" s="339">
        <v>46226</v>
      </c>
      <c r="P110" s="138"/>
      <c r="Q110" s="8"/>
      <c r="R110" s="8"/>
      <c r="S110" s="139">
        <v>45</v>
      </c>
      <c r="T110" s="139">
        <v>29.7</v>
      </c>
      <c r="U110" s="139">
        <v>66</v>
      </c>
      <c r="V110" s="8"/>
      <c r="W110" s="305" t="s">
        <v>577</v>
      </c>
      <c r="X110" s="309">
        <v>46184</v>
      </c>
      <c r="Y110" s="309">
        <v>46185</v>
      </c>
      <c r="Z110" s="312">
        <v>12</v>
      </c>
      <c r="AA110" s="155">
        <v>102</v>
      </c>
      <c r="AB110" s="28">
        <v>0.1065</v>
      </c>
      <c r="AC110" s="30">
        <v>0.29000000000000004</v>
      </c>
      <c r="AD110" s="30">
        <v>0.39</v>
      </c>
      <c r="AE110" s="385">
        <v>40.25</v>
      </c>
      <c r="AF110" s="385">
        <f t="shared" si="7"/>
        <v>29.080625000000001</v>
      </c>
      <c r="AG110" s="385">
        <v>72.25</v>
      </c>
      <c r="AH110" s="406">
        <v>0.2</v>
      </c>
      <c r="AI110" s="407">
        <v>80</v>
      </c>
      <c r="AJ110" s="141" t="s">
        <v>458</v>
      </c>
      <c r="AK110" s="141"/>
      <c r="AL110" s="138">
        <f t="shared" si="10"/>
        <v>0</v>
      </c>
      <c r="AM110" s="8">
        <f t="shared" si="10"/>
        <v>0</v>
      </c>
      <c r="AN110" s="8">
        <f t="shared" si="10"/>
        <v>0</v>
      </c>
      <c r="AO110" s="139">
        <f t="shared" si="10"/>
        <v>-7.25</v>
      </c>
      <c r="AP110" s="139">
        <f t="shared" si="10"/>
        <v>1.6018749999999962</v>
      </c>
      <c r="AQ110" s="139">
        <f t="shared" si="10"/>
        <v>14.399999999999991</v>
      </c>
      <c r="AR110" s="8">
        <f t="shared" si="10"/>
        <v>-1.999999999999999E-2</v>
      </c>
      <c r="AS110" s="139">
        <f t="shared" si="9"/>
        <v>-4.5</v>
      </c>
      <c r="AT110" s="200" t="s">
        <v>222</v>
      </c>
      <c r="AU110" s="200" t="s">
        <v>222</v>
      </c>
      <c r="AV110" s="200" t="s">
        <v>222</v>
      </c>
      <c r="AW110" s="200" t="s">
        <v>222</v>
      </c>
      <c r="AX110" s="200" t="s">
        <v>222</v>
      </c>
      <c r="AY110" s="386">
        <v>10</v>
      </c>
      <c r="AZ110" s="312">
        <f t="shared" si="8"/>
        <v>12</v>
      </c>
      <c r="BA110" s="155">
        <f t="shared" si="8"/>
        <v>102</v>
      </c>
      <c r="BB110" s="39">
        <v>46190</v>
      </c>
      <c r="BC110" s="23" t="s">
        <v>458</v>
      </c>
      <c r="BD110" s="23"/>
    </row>
    <row r="111" spans="2:56" ht="15.5">
      <c r="B111" s="228">
        <v>7</v>
      </c>
      <c r="C111" s="393">
        <v>46191</v>
      </c>
      <c r="D111" s="232">
        <v>46193</v>
      </c>
      <c r="E111" s="233">
        <v>18</v>
      </c>
      <c r="F111" s="234">
        <v>141</v>
      </c>
      <c r="G111" s="235">
        <v>0.11025</v>
      </c>
      <c r="H111" s="236">
        <v>0.28000000000000003</v>
      </c>
      <c r="I111" s="236">
        <v>0.31</v>
      </c>
      <c r="J111" s="237">
        <v>45</v>
      </c>
      <c r="K111" s="237">
        <v>29.756250000000001</v>
      </c>
      <c r="L111" s="237">
        <v>66.125</v>
      </c>
      <c r="M111" s="236">
        <v>0.23</v>
      </c>
      <c r="N111" s="238">
        <v>83.5</v>
      </c>
      <c r="O111" s="341"/>
      <c r="P111" s="235"/>
      <c r="Q111" s="236"/>
      <c r="R111" s="236"/>
      <c r="S111" s="237"/>
      <c r="T111" s="237"/>
      <c r="U111" s="237"/>
      <c r="V111" s="236"/>
      <c r="W111" s="238"/>
      <c r="X111" s="309">
        <v>46184</v>
      </c>
      <c r="Y111" s="309">
        <v>46185</v>
      </c>
      <c r="Z111" s="312">
        <v>12</v>
      </c>
      <c r="AA111" s="155">
        <v>103</v>
      </c>
      <c r="AB111" s="28">
        <v>0.11025</v>
      </c>
      <c r="AC111" s="30">
        <v>0.28000000000000003</v>
      </c>
      <c r="AD111" s="30">
        <v>0.31</v>
      </c>
      <c r="AE111" s="385">
        <v>39.25</v>
      </c>
      <c r="AF111" s="385">
        <f t="shared" si="7"/>
        <v>28.6525</v>
      </c>
      <c r="AG111" s="385">
        <v>73</v>
      </c>
      <c r="AH111" s="406">
        <v>0.2</v>
      </c>
      <c r="AI111" s="407">
        <v>80</v>
      </c>
      <c r="AJ111" s="141" t="s">
        <v>458</v>
      </c>
      <c r="AK111" s="141"/>
      <c r="AL111" s="138">
        <f t="shared" si="10"/>
        <v>0</v>
      </c>
      <c r="AM111" s="8">
        <f t="shared" si="10"/>
        <v>0</v>
      </c>
      <c r="AN111" s="8">
        <f t="shared" si="10"/>
        <v>0</v>
      </c>
      <c r="AO111" s="139">
        <f t="shared" si="10"/>
        <v>-5.75</v>
      </c>
      <c r="AP111" s="139">
        <f t="shared" si="10"/>
        <v>-1.1037500000000016</v>
      </c>
      <c r="AQ111" s="139">
        <f t="shared" si="10"/>
        <v>6.875</v>
      </c>
      <c r="AR111" s="8">
        <f t="shared" si="10"/>
        <v>-0.03</v>
      </c>
      <c r="AS111" s="139">
        <f t="shared" si="9"/>
        <v>-3.5</v>
      </c>
      <c r="AT111" s="200" t="s">
        <v>222</v>
      </c>
      <c r="AU111" s="200" t="s">
        <v>222</v>
      </c>
      <c r="AV111" s="200" t="s">
        <v>222</v>
      </c>
      <c r="AW111" s="200" t="s">
        <v>222</v>
      </c>
      <c r="AX111" s="200" t="s">
        <v>222</v>
      </c>
      <c r="AY111" s="386">
        <v>10</v>
      </c>
      <c r="AZ111" s="312">
        <f t="shared" si="8"/>
        <v>12</v>
      </c>
      <c r="BA111" s="155">
        <f t="shared" si="8"/>
        <v>103</v>
      </c>
      <c r="BB111" s="393">
        <v>46191</v>
      </c>
      <c r="BC111" s="23" t="s">
        <v>458</v>
      </c>
      <c r="BD111" s="23"/>
    </row>
    <row r="112" spans="2:56" ht="15.5">
      <c r="B112" s="5">
        <v>7</v>
      </c>
      <c r="C112" s="39">
        <v>46192</v>
      </c>
      <c r="D112" s="304">
        <v>46194</v>
      </c>
      <c r="E112" s="133">
        <v>20</v>
      </c>
      <c r="F112" s="155">
        <v>158</v>
      </c>
      <c r="G112" s="138">
        <v>0.10475000000000001</v>
      </c>
      <c r="H112" s="8">
        <v>0.315</v>
      </c>
      <c r="I112" s="8">
        <v>0.39</v>
      </c>
      <c r="J112" s="139">
        <v>43.25</v>
      </c>
      <c r="K112" s="139">
        <v>27.993562499999999</v>
      </c>
      <c r="L112" s="139">
        <v>64.724999999999994</v>
      </c>
      <c r="M112" s="8">
        <v>0.22</v>
      </c>
      <c r="N112" s="140">
        <v>84.5</v>
      </c>
      <c r="O112" s="156"/>
      <c r="P112" s="138"/>
      <c r="Q112" s="8"/>
      <c r="R112" s="8"/>
      <c r="S112" s="139"/>
      <c r="T112" s="139"/>
      <c r="U112" s="139"/>
      <c r="V112" s="8"/>
      <c r="W112" s="140"/>
      <c r="X112" s="309">
        <v>46184</v>
      </c>
      <c r="Y112" s="309">
        <v>46185</v>
      </c>
      <c r="Z112" s="312">
        <v>12</v>
      </c>
      <c r="AA112" s="155">
        <v>104</v>
      </c>
      <c r="AB112" s="28">
        <v>0.10475000000000001</v>
      </c>
      <c r="AC112" s="30">
        <v>0.315</v>
      </c>
      <c r="AD112" s="30">
        <v>0.39</v>
      </c>
      <c r="AE112" s="385">
        <v>39.75</v>
      </c>
      <c r="AF112" s="385">
        <f t="shared" si="7"/>
        <v>28.321874999999999</v>
      </c>
      <c r="AG112" s="385">
        <v>71.25</v>
      </c>
      <c r="AH112" s="406">
        <v>0.2</v>
      </c>
      <c r="AI112" s="407">
        <v>80</v>
      </c>
      <c r="AJ112" s="141" t="s">
        <v>458</v>
      </c>
      <c r="AK112" s="141"/>
      <c r="AL112" s="138">
        <f t="shared" si="10"/>
        <v>0</v>
      </c>
      <c r="AM112" s="8">
        <f t="shared" si="10"/>
        <v>0</v>
      </c>
      <c r="AN112" s="8">
        <f t="shared" si="10"/>
        <v>0</v>
      </c>
      <c r="AO112" s="139">
        <f t="shared" si="10"/>
        <v>-3.5</v>
      </c>
      <c r="AP112" s="139">
        <f t="shared" si="10"/>
        <v>0.32831249999999912</v>
      </c>
      <c r="AQ112" s="139">
        <f t="shared" si="10"/>
        <v>6.5250000000000057</v>
      </c>
      <c r="AR112" s="8">
        <f t="shared" si="10"/>
        <v>-1.999999999999999E-2</v>
      </c>
      <c r="AS112" s="139">
        <f t="shared" si="9"/>
        <v>-4.5</v>
      </c>
      <c r="AT112" s="200" t="s">
        <v>222</v>
      </c>
      <c r="AU112" s="200" t="s">
        <v>222</v>
      </c>
      <c r="AV112" s="200" t="s">
        <v>222</v>
      </c>
      <c r="AW112" s="200" t="s">
        <v>222</v>
      </c>
      <c r="AX112" s="200" t="s">
        <v>222</v>
      </c>
      <c r="AY112" s="386">
        <v>10</v>
      </c>
      <c r="AZ112" s="312">
        <f t="shared" si="8"/>
        <v>12</v>
      </c>
      <c r="BA112" s="155">
        <f t="shared" si="8"/>
        <v>104</v>
      </c>
      <c r="BB112" s="39">
        <v>46192</v>
      </c>
      <c r="BC112" s="23" t="s">
        <v>458</v>
      </c>
      <c r="BD112" s="23"/>
    </row>
    <row r="113" spans="2:56" ht="15.5">
      <c r="B113" s="397">
        <v>6</v>
      </c>
      <c r="C113" s="398">
        <v>46182</v>
      </c>
      <c r="D113" s="302">
        <v>46184</v>
      </c>
      <c r="E113" s="133">
        <v>14</v>
      </c>
      <c r="F113" s="155">
        <v>107</v>
      </c>
      <c r="G113" s="402">
        <v>0.10425</v>
      </c>
      <c r="H113" s="403">
        <v>0.3125</v>
      </c>
      <c r="I113" s="403">
        <v>0.37</v>
      </c>
      <c r="J113" s="404">
        <v>49</v>
      </c>
      <c r="K113" s="404">
        <f t="shared" ref="K113" si="11">J113*L113/100</f>
        <v>30.000249999999998</v>
      </c>
      <c r="L113" s="404">
        <v>61.224999999999994</v>
      </c>
      <c r="M113" s="403">
        <v>0.22</v>
      </c>
      <c r="N113" s="405">
        <v>82</v>
      </c>
      <c r="O113" s="306"/>
      <c r="P113" s="140"/>
      <c r="Q113" s="140"/>
      <c r="R113" s="140"/>
      <c r="S113" s="140"/>
      <c r="T113" s="140"/>
      <c r="U113" s="140"/>
      <c r="V113" s="140"/>
      <c r="W113" s="140"/>
      <c r="X113" s="309">
        <v>46189</v>
      </c>
      <c r="Y113" s="309">
        <v>46189</v>
      </c>
      <c r="Z113" s="312">
        <v>13</v>
      </c>
      <c r="AA113" s="155">
        <v>105</v>
      </c>
      <c r="AB113" s="28">
        <v>0.10425</v>
      </c>
      <c r="AC113" s="30">
        <v>0.3125</v>
      </c>
      <c r="AD113" s="30">
        <v>0.37</v>
      </c>
      <c r="AE113" s="385">
        <v>39.25</v>
      </c>
      <c r="AF113" s="385">
        <f t="shared" si="7"/>
        <v>28.26</v>
      </c>
      <c r="AG113" s="385">
        <v>72</v>
      </c>
      <c r="AH113" s="406">
        <v>0.22</v>
      </c>
      <c r="AI113" s="407">
        <v>80</v>
      </c>
      <c r="AJ113" s="141" t="s">
        <v>458</v>
      </c>
      <c r="AK113" s="141"/>
      <c r="AL113" s="138">
        <f t="shared" si="10"/>
        <v>0</v>
      </c>
      <c r="AM113" s="8">
        <f t="shared" si="10"/>
        <v>0</v>
      </c>
      <c r="AN113" s="8">
        <f t="shared" si="10"/>
        <v>0</v>
      </c>
      <c r="AO113" s="139">
        <f t="shared" si="10"/>
        <v>-9.75</v>
      </c>
      <c r="AP113" s="139">
        <f t="shared" si="10"/>
        <v>-1.7402499999999961</v>
      </c>
      <c r="AQ113" s="139">
        <f t="shared" si="10"/>
        <v>10.775000000000006</v>
      </c>
      <c r="AR113" s="8">
        <f t="shared" si="10"/>
        <v>0</v>
      </c>
      <c r="AS113" s="139">
        <f t="shared" si="9"/>
        <v>-2</v>
      </c>
      <c r="AT113" s="200" t="s">
        <v>222</v>
      </c>
      <c r="AU113" s="200" t="s">
        <v>222</v>
      </c>
      <c r="AV113" s="200" t="s">
        <v>222</v>
      </c>
      <c r="AW113" s="200" t="s">
        <v>222</v>
      </c>
      <c r="AX113" s="200" t="s">
        <v>222</v>
      </c>
      <c r="AY113" s="386">
        <v>11</v>
      </c>
      <c r="AZ113" s="312">
        <f t="shared" si="8"/>
        <v>13</v>
      </c>
      <c r="BA113" s="155">
        <f t="shared" si="8"/>
        <v>105</v>
      </c>
      <c r="BB113" s="398">
        <v>46182</v>
      </c>
      <c r="BC113" s="23" t="s">
        <v>458</v>
      </c>
      <c r="BD113" s="23"/>
    </row>
    <row r="114" spans="2:56" ht="15.5">
      <c r="B114" s="5">
        <v>1</v>
      </c>
      <c r="C114" s="39">
        <v>46219</v>
      </c>
      <c r="D114" s="302">
        <v>46216</v>
      </c>
      <c r="E114" s="133">
        <v>22</v>
      </c>
      <c r="F114" s="155">
        <v>176</v>
      </c>
      <c r="G114" s="138">
        <v>6.6500000000000004E-2</v>
      </c>
      <c r="H114" s="8">
        <v>0.3</v>
      </c>
      <c r="I114" s="8">
        <v>0.18</v>
      </c>
      <c r="J114" s="139">
        <v>35</v>
      </c>
      <c r="K114" s="139">
        <v>26.074999999999999</v>
      </c>
      <c r="L114" s="139">
        <v>74.5</v>
      </c>
      <c r="M114" s="8">
        <v>0.21</v>
      </c>
      <c r="N114" s="140">
        <v>72</v>
      </c>
      <c r="O114" s="306"/>
      <c r="P114" s="140"/>
      <c r="Q114" s="140"/>
      <c r="R114" s="140"/>
      <c r="S114" s="140"/>
      <c r="T114" s="140"/>
      <c r="U114" s="140"/>
      <c r="V114" s="140"/>
      <c r="W114" s="140"/>
      <c r="X114" s="309">
        <v>46189</v>
      </c>
      <c r="Y114" s="309">
        <v>46189</v>
      </c>
      <c r="Z114" s="312">
        <v>13</v>
      </c>
      <c r="AA114" s="155">
        <v>106</v>
      </c>
      <c r="AB114" s="28">
        <v>6.6500000000000004E-2</v>
      </c>
      <c r="AC114" s="30">
        <v>0.3</v>
      </c>
      <c r="AD114" s="30">
        <v>0.18</v>
      </c>
      <c r="AE114" s="385">
        <v>36.5</v>
      </c>
      <c r="AF114" s="385">
        <f t="shared" si="7"/>
        <v>26.188749999999999</v>
      </c>
      <c r="AG114" s="385">
        <v>71.75</v>
      </c>
      <c r="AH114" s="406">
        <v>0.22</v>
      </c>
      <c r="AI114" s="407">
        <v>80</v>
      </c>
      <c r="AJ114" s="141" t="s">
        <v>458</v>
      </c>
      <c r="AK114" s="141"/>
      <c r="AL114" s="138">
        <f t="shared" si="10"/>
        <v>0</v>
      </c>
      <c r="AM114" s="8">
        <f t="shared" si="10"/>
        <v>0</v>
      </c>
      <c r="AN114" s="8">
        <f t="shared" si="10"/>
        <v>0</v>
      </c>
      <c r="AO114" s="139">
        <f t="shared" si="10"/>
        <v>1.5</v>
      </c>
      <c r="AP114" s="139">
        <f t="shared" si="10"/>
        <v>0.11374999999999957</v>
      </c>
      <c r="AQ114" s="139">
        <f t="shared" si="10"/>
        <v>-2.75</v>
      </c>
      <c r="AR114" s="8">
        <f t="shared" si="10"/>
        <v>1.0000000000000009E-2</v>
      </c>
      <c r="AS114" s="139">
        <f t="shared" si="9"/>
        <v>8</v>
      </c>
      <c r="AT114" s="200" t="s">
        <v>222</v>
      </c>
      <c r="AU114" s="200" t="s">
        <v>222</v>
      </c>
      <c r="AV114" s="200" t="s">
        <v>222</v>
      </c>
      <c r="AW114" s="200" t="s">
        <v>222</v>
      </c>
      <c r="AX114" s="200" t="s">
        <v>222</v>
      </c>
      <c r="AY114" s="386">
        <v>11</v>
      </c>
      <c r="AZ114" s="312">
        <f t="shared" si="8"/>
        <v>13</v>
      </c>
      <c r="BA114" s="155">
        <f t="shared" si="8"/>
        <v>106</v>
      </c>
      <c r="BB114" s="39">
        <v>46219</v>
      </c>
      <c r="BC114" s="23" t="s">
        <v>458</v>
      </c>
      <c r="BD114" s="23"/>
    </row>
    <row r="115" spans="2:56" ht="15.5">
      <c r="B115" s="5">
        <v>7</v>
      </c>
      <c r="C115" s="39">
        <v>46191</v>
      </c>
      <c r="D115" s="302">
        <v>46219</v>
      </c>
      <c r="E115" s="133">
        <v>19</v>
      </c>
      <c r="F115" s="155">
        <v>148</v>
      </c>
      <c r="G115" s="138">
        <v>0.111</v>
      </c>
      <c r="H115" s="8">
        <v>0.29750000000000004</v>
      </c>
      <c r="I115" s="8">
        <v>0.39</v>
      </c>
      <c r="J115" s="139">
        <v>46.5</v>
      </c>
      <c r="K115" s="139">
        <v>30.724875000000001</v>
      </c>
      <c r="L115" s="139">
        <v>66.075000000000003</v>
      </c>
      <c r="M115" s="8">
        <v>0.24</v>
      </c>
      <c r="N115" s="140">
        <v>78</v>
      </c>
      <c r="O115" s="306"/>
      <c r="P115" s="140"/>
      <c r="Q115" s="140"/>
      <c r="R115" s="140"/>
      <c r="S115" s="140"/>
      <c r="T115" s="140"/>
      <c r="U115" s="140"/>
      <c r="V115" s="140"/>
      <c r="W115" s="140"/>
      <c r="X115" s="309">
        <v>46189</v>
      </c>
      <c r="Y115" s="309">
        <v>46189</v>
      </c>
      <c r="Z115" s="312">
        <v>13</v>
      </c>
      <c r="AA115" s="155">
        <v>107</v>
      </c>
      <c r="AB115" s="28">
        <v>0.111</v>
      </c>
      <c r="AC115" s="30">
        <v>0.29750000000000004</v>
      </c>
      <c r="AD115" s="30">
        <v>0.39</v>
      </c>
      <c r="AE115" s="385">
        <v>40</v>
      </c>
      <c r="AF115" s="385">
        <f t="shared" si="7"/>
        <v>28</v>
      </c>
      <c r="AG115" s="385">
        <v>70</v>
      </c>
      <c r="AH115" s="406">
        <v>0.22</v>
      </c>
      <c r="AI115" s="407">
        <v>80</v>
      </c>
      <c r="AJ115" s="141" t="s">
        <v>458</v>
      </c>
      <c r="AK115" s="141"/>
      <c r="AL115" s="138">
        <f t="shared" si="10"/>
        <v>0</v>
      </c>
      <c r="AM115" s="8">
        <f t="shared" si="10"/>
        <v>0</v>
      </c>
      <c r="AN115" s="8">
        <f t="shared" si="10"/>
        <v>0</v>
      </c>
      <c r="AO115" s="139">
        <f t="shared" si="10"/>
        <v>-6.5</v>
      </c>
      <c r="AP115" s="139">
        <f t="shared" si="10"/>
        <v>-2.7248750000000008</v>
      </c>
      <c r="AQ115" s="139">
        <f t="shared" si="10"/>
        <v>3.9249999999999972</v>
      </c>
      <c r="AR115" s="8">
        <f t="shared" si="10"/>
        <v>-1.999999999999999E-2</v>
      </c>
      <c r="AS115" s="139">
        <f t="shared" si="9"/>
        <v>2</v>
      </c>
      <c r="AT115" s="200" t="s">
        <v>222</v>
      </c>
      <c r="AU115" s="200" t="s">
        <v>222</v>
      </c>
      <c r="AV115" s="200" t="s">
        <v>222</v>
      </c>
      <c r="AW115" s="200" t="s">
        <v>222</v>
      </c>
      <c r="AX115" s="200" t="s">
        <v>222</v>
      </c>
      <c r="AY115" s="386">
        <v>11</v>
      </c>
      <c r="AZ115" s="312">
        <f t="shared" si="8"/>
        <v>13</v>
      </c>
      <c r="BA115" s="155">
        <f t="shared" si="8"/>
        <v>107</v>
      </c>
      <c r="BB115" s="39">
        <v>46191</v>
      </c>
      <c r="BC115" s="23" t="s">
        <v>458</v>
      </c>
      <c r="BD115" s="23"/>
    </row>
    <row r="116" spans="2:56" ht="15.5">
      <c r="B116" s="5">
        <v>1</v>
      </c>
      <c r="C116" s="39">
        <v>46214</v>
      </c>
      <c r="D116" s="302">
        <v>46219</v>
      </c>
      <c r="E116" s="133">
        <v>20</v>
      </c>
      <c r="F116" s="155">
        <v>159</v>
      </c>
      <c r="G116" s="138">
        <v>7.825E-2</v>
      </c>
      <c r="H116" s="8">
        <v>0.3075</v>
      </c>
      <c r="I116" s="8">
        <v>0.38</v>
      </c>
      <c r="J116" s="139">
        <v>36</v>
      </c>
      <c r="K116" s="139">
        <v>24.993808049535609</v>
      </c>
      <c r="L116" s="139">
        <v>69.427244582043357</v>
      </c>
      <c r="M116" s="8">
        <v>0.22</v>
      </c>
      <c r="N116" s="140">
        <v>84.5</v>
      </c>
      <c r="O116" s="306"/>
      <c r="P116" s="140"/>
      <c r="Q116" s="140"/>
      <c r="R116" s="140"/>
      <c r="S116" s="140"/>
      <c r="T116" s="140"/>
      <c r="U116" s="140"/>
      <c r="V116" s="140"/>
      <c r="W116" s="140"/>
      <c r="X116" s="309">
        <v>46189</v>
      </c>
      <c r="Y116" s="309">
        <v>46189</v>
      </c>
      <c r="Z116" s="312">
        <v>13</v>
      </c>
      <c r="AA116" s="155">
        <v>108</v>
      </c>
      <c r="AB116" s="28">
        <v>7.825E-2</v>
      </c>
      <c r="AC116" s="30">
        <v>0.3075</v>
      </c>
      <c r="AD116" s="30">
        <v>0.38</v>
      </c>
      <c r="AE116" s="385">
        <v>35.25</v>
      </c>
      <c r="AF116" s="385">
        <f t="shared" si="7"/>
        <v>24.498750000000001</v>
      </c>
      <c r="AG116" s="385">
        <v>69.5</v>
      </c>
      <c r="AH116" s="406">
        <v>0.22</v>
      </c>
      <c r="AI116" s="407">
        <v>80</v>
      </c>
      <c r="AJ116" s="141" t="s">
        <v>458</v>
      </c>
      <c r="AK116" s="141"/>
      <c r="AL116" s="138">
        <f t="shared" si="10"/>
        <v>0</v>
      </c>
      <c r="AM116" s="8">
        <f t="shared" si="10"/>
        <v>0</v>
      </c>
      <c r="AN116" s="8">
        <f t="shared" si="10"/>
        <v>0</v>
      </c>
      <c r="AO116" s="139">
        <f t="shared" si="10"/>
        <v>-0.75</v>
      </c>
      <c r="AP116" s="139">
        <f t="shared" si="10"/>
        <v>-0.49505804953560784</v>
      </c>
      <c r="AQ116" s="139">
        <f t="shared" si="10"/>
        <v>7.2755417956642532E-2</v>
      </c>
      <c r="AR116" s="8">
        <f t="shared" si="10"/>
        <v>0</v>
      </c>
      <c r="AS116" s="139">
        <f t="shared" si="9"/>
        <v>-4.5</v>
      </c>
      <c r="AT116" s="200" t="s">
        <v>222</v>
      </c>
      <c r="AU116" s="200" t="s">
        <v>222</v>
      </c>
      <c r="AV116" s="200" t="s">
        <v>222</v>
      </c>
      <c r="AW116" s="200" t="s">
        <v>222</v>
      </c>
      <c r="AX116" s="200" t="s">
        <v>222</v>
      </c>
      <c r="AY116" s="386">
        <v>11</v>
      </c>
      <c r="AZ116" s="312">
        <f t="shared" si="8"/>
        <v>13</v>
      </c>
      <c r="BA116" s="155">
        <f t="shared" si="8"/>
        <v>108</v>
      </c>
      <c r="BB116" s="39">
        <v>46214</v>
      </c>
      <c r="BC116" s="23" t="s">
        <v>458</v>
      </c>
      <c r="BD116" s="23"/>
    </row>
    <row r="117" spans="2:56" ht="15.5">
      <c r="B117" s="397">
        <v>1</v>
      </c>
      <c r="C117" s="398">
        <v>46218</v>
      </c>
      <c r="D117" s="302">
        <v>46220</v>
      </c>
      <c r="E117" s="133">
        <v>21</v>
      </c>
      <c r="F117" s="155">
        <v>165</v>
      </c>
      <c r="G117" s="402">
        <v>8.1250000000000003E-2</v>
      </c>
      <c r="H117" s="403">
        <v>0.25750000000000001</v>
      </c>
      <c r="I117" s="403">
        <v>0.24</v>
      </c>
      <c r="J117" s="404">
        <v>33.5</v>
      </c>
      <c r="K117" s="404">
        <v>23.868749999999999</v>
      </c>
      <c r="L117" s="404">
        <v>71.25</v>
      </c>
      <c r="M117" s="403">
        <v>0.22</v>
      </c>
      <c r="N117" s="405">
        <v>66</v>
      </c>
      <c r="O117" s="306"/>
      <c r="P117" s="140"/>
      <c r="Q117" s="140"/>
      <c r="R117" s="140"/>
      <c r="S117" s="140"/>
      <c r="T117" s="140"/>
      <c r="U117" s="140"/>
      <c r="V117" s="140"/>
      <c r="W117" s="140"/>
      <c r="X117" s="309">
        <v>46189</v>
      </c>
      <c r="Y117" s="309">
        <v>46189</v>
      </c>
      <c r="Z117" s="312">
        <v>13</v>
      </c>
      <c r="AA117" s="155">
        <v>109</v>
      </c>
      <c r="AB117" s="28">
        <v>8.1250000000000003E-2</v>
      </c>
      <c r="AC117" s="30">
        <v>0.25750000000000001</v>
      </c>
      <c r="AD117" s="30">
        <v>0.24</v>
      </c>
      <c r="AE117" s="385">
        <v>37</v>
      </c>
      <c r="AF117" s="385">
        <f t="shared" si="7"/>
        <v>26.454999999999998</v>
      </c>
      <c r="AG117" s="385">
        <v>71.5</v>
      </c>
      <c r="AH117" s="406">
        <v>0.22</v>
      </c>
      <c r="AI117" s="407">
        <v>74</v>
      </c>
      <c r="AJ117" s="141" t="s">
        <v>458</v>
      </c>
      <c r="AK117" s="141"/>
      <c r="AL117" s="138">
        <f t="shared" si="10"/>
        <v>0</v>
      </c>
      <c r="AM117" s="8">
        <f t="shared" si="10"/>
        <v>0</v>
      </c>
      <c r="AN117" s="8">
        <f t="shared" si="10"/>
        <v>0</v>
      </c>
      <c r="AO117" s="139">
        <f t="shared" si="10"/>
        <v>3.5</v>
      </c>
      <c r="AP117" s="139">
        <f t="shared" si="10"/>
        <v>2.5862499999999997</v>
      </c>
      <c r="AQ117" s="139">
        <f t="shared" si="10"/>
        <v>0.25</v>
      </c>
      <c r="AR117" s="8">
        <f t="shared" si="10"/>
        <v>0</v>
      </c>
      <c r="AS117" s="139">
        <f t="shared" si="9"/>
        <v>8</v>
      </c>
      <c r="AT117" s="200" t="s">
        <v>222</v>
      </c>
      <c r="AU117" s="200" t="s">
        <v>222</v>
      </c>
      <c r="AV117" s="200" t="s">
        <v>222</v>
      </c>
      <c r="AW117" s="200" t="s">
        <v>222</v>
      </c>
      <c r="AX117" s="200" t="s">
        <v>222</v>
      </c>
      <c r="AY117" s="386">
        <v>11</v>
      </c>
      <c r="AZ117" s="312">
        <f t="shared" si="8"/>
        <v>13</v>
      </c>
      <c r="BA117" s="155">
        <f t="shared" si="8"/>
        <v>109</v>
      </c>
      <c r="BB117" s="398">
        <v>46218</v>
      </c>
      <c r="BC117" s="23" t="s">
        <v>458</v>
      </c>
      <c r="BD117" s="23"/>
    </row>
    <row r="118" spans="2:56" ht="15.5">
      <c r="B118" s="5">
        <v>1</v>
      </c>
      <c r="C118" s="39">
        <v>46218</v>
      </c>
      <c r="D118" s="302">
        <v>46220</v>
      </c>
      <c r="E118" s="133">
        <v>21</v>
      </c>
      <c r="F118" s="155">
        <v>168</v>
      </c>
      <c r="G118" s="138">
        <v>9.7250000000000003E-2</v>
      </c>
      <c r="H118" s="8">
        <v>0.24</v>
      </c>
      <c r="I118" s="8">
        <v>0.37</v>
      </c>
      <c r="J118" s="139">
        <v>34.75</v>
      </c>
      <c r="K118" s="139">
        <v>24.759374999999999</v>
      </c>
      <c r="L118" s="139">
        <v>71.25</v>
      </c>
      <c r="M118" s="8">
        <v>0.22</v>
      </c>
      <c r="N118" s="140">
        <v>66</v>
      </c>
      <c r="O118" s="306"/>
      <c r="P118" s="140"/>
      <c r="Q118" s="140"/>
      <c r="R118" s="140"/>
      <c r="S118" s="140"/>
      <c r="T118" s="140"/>
      <c r="U118" s="140"/>
      <c r="V118" s="140"/>
      <c r="W118" s="140"/>
      <c r="X118" s="309">
        <v>46189</v>
      </c>
      <c r="Y118" s="309">
        <v>46189</v>
      </c>
      <c r="Z118" s="312">
        <v>13</v>
      </c>
      <c r="AA118" s="155">
        <v>110</v>
      </c>
      <c r="AB118" s="28">
        <v>9.7250000000000003E-2</v>
      </c>
      <c r="AC118" s="30">
        <v>0.24</v>
      </c>
      <c r="AD118" s="30">
        <v>0.37</v>
      </c>
      <c r="AE118" s="385">
        <v>35.5</v>
      </c>
      <c r="AF118" s="385">
        <f t="shared" si="7"/>
        <v>25.471250000000001</v>
      </c>
      <c r="AG118" s="385">
        <v>71.75</v>
      </c>
      <c r="AH118" s="406">
        <v>0.22</v>
      </c>
      <c r="AI118" s="407">
        <v>74</v>
      </c>
      <c r="AJ118" s="141" t="s">
        <v>458</v>
      </c>
      <c r="AK118" s="141"/>
      <c r="AL118" s="138">
        <f t="shared" si="10"/>
        <v>0</v>
      </c>
      <c r="AM118" s="8">
        <f t="shared" si="10"/>
        <v>0</v>
      </c>
      <c r="AN118" s="8">
        <f t="shared" si="10"/>
        <v>0</v>
      </c>
      <c r="AO118" s="139">
        <f t="shared" si="10"/>
        <v>0.75</v>
      </c>
      <c r="AP118" s="139">
        <f t="shared" si="10"/>
        <v>0.7118750000000027</v>
      </c>
      <c r="AQ118" s="139">
        <f t="shared" si="10"/>
        <v>0.5</v>
      </c>
      <c r="AR118" s="8">
        <f t="shared" si="10"/>
        <v>0</v>
      </c>
      <c r="AS118" s="139">
        <f t="shared" si="9"/>
        <v>8</v>
      </c>
      <c r="AT118" s="200" t="s">
        <v>222</v>
      </c>
      <c r="AU118" s="200" t="s">
        <v>222</v>
      </c>
      <c r="AV118" s="200" t="s">
        <v>222</v>
      </c>
      <c r="AW118" s="200" t="s">
        <v>222</v>
      </c>
      <c r="AX118" s="200" t="s">
        <v>222</v>
      </c>
      <c r="AY118" s="386">
        <v>11</v>
      </c>
      <c r="AZ118" s="312">
        <f t="shared" si="8"/>
        <v>13</v>
      </c>
      <c r="BA118" s="155">
        <f t="shared" si="8"/>
        <v>110</v>
      </c>
      <c r="BB118" s="39">
        <v>46218</v>
      </c>
      <c r="BC118" s="23" t="s">
        <v>458</v>
      </c>
      <c r="BD118" s="23"/>
    </row>
    <row r="119" spans="2:56" ht="15.5">
      <c r="B119" s="5">
        <v>1</v>
      </c>
      <c r="C119" s="39">
        <v>46219</v>
      </c>
      <c r="D119" s="302">
        <v>46220</v>
      </c>
      <c r="E119" s="133">
        <v>22</v>
      </c>
      <c r="F119" s="155">
        <v>173</v>
      </c>
      <c r="G119" s="138">
        <v>8.8249999999999995E-2</v>
      </c>
      <c r="H119" s="8">
        <v>0.3125</v>
      </c>
      <c r="I119" s="8">
        <v>0.3</v>
      </c>
      <c r="J119" s="139">
        <v>32</v>
      </c>
      <c r="K119" s="139">
        <v>21.84</v>
      </c>
      <c r="L119" s="139">
        <v>68.25</v>
      </c>
      <c r="M119" s="8">
        <v>0.21</v>
      </c>
      <c r="N119" s="140">
        <v>72</v>
      </c>
      <c r="O119" s="306"/>
      <c r="P119" s="140"/>
      <c r="Q119" s="140"/>
      <c r="R119" s="140"/>
      <c r="S119" s="140"/>
      <c r="T119" s="140"/>
      <c r="U119" s="140"/>
      <c r="V119" s="140"/>
      <c r="W119" s="140"/>
      <c r="X119" s="309">
        <v>46189</v>
      </c>
      <c r="Y119" s="309">
        <v>46189</v>
      </c>
      <c r="Z119" s="312">
        <v>13</v>
      </c>
      <c r="AA119" s="155">
        <v>111</v>
      </c>
      <c r="AB119" s="28">
        <v>8.8249999999999995E-2</v>
      </c>
      <c r="AC119" s="30">
        <v>0.3125</v>
      </c>
      <c r="AD119" s="30">
        <v>0.3</v>
      </c>
      <c r="AE119" s="385">
        <v>33.5</v>
      </c>
      <c r="AF119" s="385">
        <f t="shared" si="7"/>
        <v>23.868749999999999</v>
      </c>
      <c r="AG119" s="385">
        <v>71.25</v>
      </c>
      <c r="AH119" s="406">
        <v>0.22</v>
      </c>
      <c r="AI119" s="407">
        <v>74</v>
      </c>
      <c r="AJ119" s="141" t="s">
        <v>458</v>
      </c>
      <c r="AK119" s="141"/>
      <c r="AL119" s="138">
        <f t="shared" si="10"/>
        <v>0</v>
      </c>
      <c r="AM119" s="8">
        <f t="shared" si="10"/>
        <v>0</v>
      </c>
      <c r="AN119" s="8">
        <f t="shared" si="10"/>
        <v>0</v>
      </c>
      <c r="AO119" s="139">
        <f t="shared" si="10"/>
        <v>1.5</v>
      </c>
      <c r="AP119" s="139">
        <f t="shared" si="10"/>
        <v>2.0287499999999987</v>
      </c>
      <c r="AQ119" s="139">
        <f t="shared" si="10"/>
        <v>3</v>
      </c>
      <c r="AR119" s="8">
        <f t="shared" si="10"/>
        <v>1.0000000000000009E-2</v>
      </c>
      <c r="AS119" s="139">
        <f t="shared" si="9"/>
        <v>2</v>
      </c>
      <c r="AT119" s="200" t="s">
        <v>222</v>
      </c>
      <c r="AU119" s="200" t="s">
        <v>222</v>
      </c>
      <c r="AV119" s="200" t="s">
        <v>222</v>
      </c>
      <c r="AW119" s="200" t="s">
        <v>222</v>
      </c>
      <c r="AX119" s="200" t="s">
        <v>222</v>
      </c>
      <c r="AY119" s="386">
        <v>11</v>
      </c>
      <c r="AZ119" s="312">
        <f t="shared" si="8"/>
        <v>13</v>
      </c>
      <c r="BA119" s="155">
        <f t="shared" si="8"/>
        <v>111</v>
      </c>
      <c r="BB119" s="39">
        <v>46219</v>
      </c>
      <c r="BC119" s="23" t="s">
        <v>458</v>
      </c>
      <c r="BD119" s="23"/>
    </row>
    <row r="120" spans="2:56" ht="15.5">
      <c r="B120" s="5">
        <v>1</v>
      </c>
      <c r="C120" s="39">
        <v>46219</v>
      </c>
      <c r="D120" s="302">
        <v>46193</v>
      </c>
      <c r="E120" s="133">
        <v>22</v>
      </c>
      <c r="F120" s="155">
        <v>174</v>
      </c>
      <c r="G120" s="138">
        <v>9.5250000000000001E-2</v>
      </c>
      <c r="H120" s="8">
        <v>0.29500000000000004</v>
      </c>
      <c r="I120" s="8">
        <v>0.15</v>
      </c>
      <c r="J120" s="139">
        <v>35.75</v>
      </c>
      <c r="K120" s="139">
        <v>25.650625000000002</v>
      </c>
      <c r="L120" s="139">
        <v>71.75</v>
      </c>
      <c r="M120" s="8">
        <v>0.21</v>
      </c>
      <c r="N120" s="140">
        <v>72</v>
      </c>
      <c r="O120" s="306"/>
      <c r="P120" s="140"/>
      <c r="Q120" s="140"/>
      <c r="R120" s="140"/>
      <c r="S120" s="140"/>
      <c r="T120" s="140"/>
      <c r="U120" s="140"/>
      <c r="V120" s="140"/>
      <c r="W120" s="140"/>
      <c r="X120" s="309">
        <v>46189</v>
      </c>
      <c r="Y120" s="309">
        <v>46189</v>
      </c>
      <c r="Z120" s="312">
        <v>13</v>
      </c>
      <c r="AA120" s="155">
        <v>112</v>
      </c>
      <c r="AB120" s="28">
        <v>9.5250000000000001E-2</v>
      </c>
      <c r="AC120" s="30">
        <v>0.29500000000000004</v>
      </c>
      <c r="AD120" s="30">
        <v>0.15</v>
      </c>
      <c r="AE120" s="385">
        <v>35.75</v>
      </c>
      <c r="AF120" s="385">
        <f t="shared" si="7"/>
        <v>25.650625000000002</v>
      </c>
      <c r="AG120" s="385">
        <v>71.75</v>
      </c>
      <c r="AH120" s="406">
        <v>0.22</v>
      </c>
      <c r="AI120" s="407">
        <v>74</v>
      </c>
      <c r="AJ120" s="141" t="s">
        <v>458</v>
      </c>
      <c r="AK120" s="141"/>
      <c r="AL120" s="138">
        <f t="shared" si="10"/>
        <v>0</v>
      </c>
      <c r="AM120" s="8">
        <f t="shared" si="10"/>
        <v>0</v>
      </c>
      <c r="AN120" s="8">
        <f t="shared" si="10"/>
        <v>0</v>
      </c>
      <c r="AO120" s="139">
        <f t="shared" si="10"/>
        <v>0</v>
      </c>
      <c r="AP120" s="139">
        <f t="shared" si="10"/>
        <v>0</v>
      </c>
      <c r="AQ120" s="139">
        <f t="shared" si="10"/>
        <v>0</v>
      </c>
      <c r="AR120" s="8">
        <f t="shared" si="10"/>
        <v>1.0000000000000009E-2</v>
      </c>
      <c r="AS120" s="139">
        <f t="shared" si="9"/>
        <v>2</v>
      </c>
      <c r="AT120" s="200" t="s">
        <v>222</v>
      </c>
      <c r="AU120" s="200" t="s">
        <v>222</v>
      </c>
      <c r="AV120" s="200" t="s">
        <v>222</v>
      </c>
      <c r="AW120" s="200" t="s">
        <v>222</v>
      </c>
      <c r="AX120" s="200" t="s">
        <v>222</v>
      </c>
      <c r="AY120" s="386">
        <v>11</v>
      </c>
      <c r="AZ120" s="312">
        <f t="shared" si="8"/>
        <v>13</v>
      </c>
      <c r="BA120" s="155">
        <f t="shared" si="8"/>
        <v>112</v>
      </c>
      <c r="BB120" s="39">
        <v>46219</v>
      </c>
      <c r="BC120" s="23" t="s">
        <v>458</v>
      </c>
      <c r="BD120" s="23"/>
    </row>
    <row r="121" spans="2:56" ht="15.5">
      <c r="B121" s="5">
        <v>1</v>
      </c>
      <c r="C121" s="39">
        <v>46219</v>
      </c>
      <c r="D121" s="304">
        <v>46220</v>
      </c>
      <c r="E121" s="133">
        <v>22</v>
      </c>
      <c r="F121" s="155">
        <v>175</v>
      </c>
      <c r="G121" s="138">
        <v>6.4500000000000002E-2</v>
      </c>
      <c r="H121" s="8">
        <v>0.3</v>
      </c>
      <c r="I121" s="8">
        <v>0.16</v>
      </c>
      <c r="J121" s="139">
        <v>36</v>
      </c>
      <c r="K121" s="139">
        <v>27</v>
      </c>
      <c r="L121" s="139">
        <v>75</v>
      </c>
      <c r="M121" s="8">
        <v>0.21</v>
      </c>
      <c r="N121" s="140">
        <v>72</v>
      </c>
      <c r="O121" s="306"/>
      <c r="P121" s="140"/>
      <c r="Q121" s="140"/>
      <c r="R121" s="140"/>
      <c r="S121" s="140"/>
      <c r="T121" s="140"/>
      <c r="U121" s="140"/>
      <c r="V121" s="140"/>
      <c r="W121" s="140"/>
      <c r="X121" s="309">
        <v>46189</v>
      </c>
      <c r="Y121" s="309">
        <v>46190</v>
      </c>
      <c r="Z121" s="312">
        <v>14</v>
      </c>
      <c r="AA121" s="155">
        <v>113</v>
      </c>
      <c r="AB121" s="28">
        <v>6.4500000000000002E-2</v>
      </c>
      <c r="AC121" s="30">
        <v>0.3</v>
      </c>
      <c r="AD121" s="30">
        <v>0.16</v>
      </c>
      <c r="AE121" s="385">
        <v>36</v>
      </c>
      <c r="AF121" s="385">
        <f t="shared" si="7"/>
        <v>26.55</v>
      </c>
      <c r="AG121" s="385">
        <v>73.75</v>
      </c>
      <c r="AH121" s="406">
        <v>0.21</v>
      </c>
      <c r="AI121" s="407">
        <v>73</v>
      </c>
      <c r="AJ121" s="141" t="s">
        <v>458</v>
      </c>
      <c r="AK121" s="141"/>
      <c r="AL121" s="138">
        <f t="shared" si="10"/>
        <v>0</v>
      </c>
      <c r="AM121" s="8">
        <f t="shared" si="10"/>
        <v>0</v>
      </c>
      <c r="AN121" s="8">
        <f t="shared" si="10"/>
        <v>0</v>
      </c>
      <c r="AO121" s="139">
        <f t="shared" si="10"/>
        <v>0</v>
      </c>
      <c r="AP121" s="139">
        <f t="shared" si="10"/>
        <v>-0.44999999999999929</v>
      </c>
      <c r="AQ121" s="139">
        <f t="shared" si="10"/>
        <v>-1.25</v>
      </c>
      <c r="AR121" s="8">
        <f t="shared" si="10"/>
        <v>0</v>
      </c>
      <c r="AS121" s="139">
        <f t="shared" si="9"/>
        <v>1</v>
      </c>
      <c r="AT121" s="200" t="s">
        <v>222</v>
      </c>
      <c r="AU121" s="200" t="s">
        <v>222</v>
      </c>
      <c r="AV121" s="200" t="s">
        <v>222</v>
      </c>
      <c r="AW121" s="200" t="s">
        <v>222</v>
      </c>
      <c r="AX121" s="200" t="s">
        <v>222</v>
      </c>
      <c r="AY121" s="386">
        <v>11</v>
      </c>
      <c r="AZ121" s="312">
        <f t="shared" si="8"/>
        <v>14</v>
      </c>
      <c r="BA121" s="155">
        <f t="shared" si="8"/>
        <v>113</v>
      </c>
      <c r="BB121" s="39">
        <v>46219</v>
      </c>
      <c r="BC121" s="23" t="s">
        <v>458</v>
      </c>
      <c r="BD121" s="23"/>
    </row>
    <row r="122" spans="2:56" ht="15.5">
      <c r="B122" s="5">
        <v>1</v>
      </c>
      <c r="C122" s="39">
        <v>46219</v>
      </c>
      <c r="D122" s="304">
        <v>46220</v>
      </c>
      <c r="E122" s="133">
        <v>23</v>
      </c>
      <c r="F122" s="155">
        <v>177</v>
      </c>
      <c r="G122" s="138">
        <v>7.1249999999999994E-2</v>
      </c>
      <c r="H122" s="8">
        <v>0.32500000000000001</v>
      </c>
      <c r="I122" s="8">
        <v>0.14000000000000001</v>
      </c>
      <c r="J122" s="139">
        <v>36.25</v>
      </c>
      <c r="K122" s="139">
        <v>25.646875000000001</v>
      </c>
      <c r="L122" s="139">
        <v>70.75</v>
      </c>
      <c r="M122" s="8">
        <v>0.23</v>
      </c>
      <c r="N122" s="140">
        <v>69.5</v>
      </c>
      <c r="O122" s="306"/>
      <c r="P122" s="140"/>
      <c r="Q122" s="140"/>
      <c r="R122" s="140"/>
      <c r="S122" s="140"/>
      <c r="T122" s="140"/>
      <c r="U122" s="140"/>
      <c r="V122" s="140"/>
      <c r="W122" s="140"/>
      <c r="X122" s="309">
        <v>46189</v>
      </c>
      <c r="Y122" s="309">
        <v>46190</v>
      </c>
      <c r="Z122" s="312">
        <v>14</v>
      </c>
      <c r="AA122" s="155">
        <v>114</v>
      </c>
      <c r="AB122" s="28">
        <v>7.1249999999999994E-2</v>
      </c>
      <c r="AC122" s="30">
        <v>0.32500000000000001</v>
      </c>
      <c r="AD122" s="30">
        <v>0.14000000000000001</v>
      </c>
      <c r="AE122" s="385">
        <v>36.5</v>
      </c>
      <c r="AF122" s="385">
        <f t="shared" si="7"/>
        <v>25.732500000000002</v>
      </c>
      <c r="AG122" s="385">
        <v>70.5</v>
      </c>
      <c r="AH122" s="406">
        <v>0.21</v>
      </c>
      <c r="AI122" s="407">
        <v>73</v>
      </c>
      <c r="AJ122" s="141" t="s">
        <v>458</v>
      </c>
      <c r="AK122" s="141"/>
      <c r="AL122" s="138">
        <f t="shared" si="10"/>
        <v>0</v>
      </c>
      <c r="AM122" s="8">
        <f t="shared" si="10"/>
        <v>0</v>
      </c>
      <c r="AN122" s="8">
        <f t="shared" si="10"/>
        <v>0</v>
      </c>
      <c r="AO122" s="139">
        <f t="shared" si="10"/>
        <v>0.25</v>
      </c>
      <c r="AP122" s="139">
        <f t="shared" si="10"/>
        <v>8.5625000000000284E-2</v>
      </c>
      <c r="AQ122" s="139">
        <f t="shared" si="10"/>
        <v>-0.25</v>
      </c>
      <c r="AR122" s="8">
        <f t="shared" si="10"/>
        <v>-2.0000000000000018E-2</v>
      </c>
      <c r="AS122" s="139">
        <f t="shared" si="9"/>
        <v>3.5</v>
      </c>
      <c r="AT122" s="200" t="s">
        <v>222</v>
      </c>
      <c r="AU122" s="200" t="s">
        <v>222</v>
      </c>
      <c r="AV122" s="200" t="s">
        <v>222</v>
      </c>
      <c r="AW122" s="200" t="s">
        <v>222</v>
      </c>
      <c r="AX122" s="200" t="s">
        <v>222</v>
      </c>
      <c r="AY122" s="386">
        <v>11</v>
      </c>
      <c r="AZ122" s="312">
        <f t="shared" si="8"/>
        <v>14</v>
      </c>
      <c r="BA122" s="155">
        <f t="shared" si="8"/>
        <v>114</v>
      </c>
      <c r="BB122" s="39">
        <v>46219</v>
      </c>
      <c r="BC122" s="23" t="s">
        <v>458</v>
      </c>
      <c r="BD122" s="23"/>
    </row>
    <row r="123" spans="2:56" ht="15.5">
      <c r="B123" s="5">
        <v>1</v>
      </c>
      <c r="C123" s="39">
        <v>46220</v>
      </c>
      <c r="D123" s="304">
        <v>46221</v>
      </c>
      <c r="E123" s="133">
        <v>23</v>
      </c>
      <c r="F123" s="155">
        <v>178</v>
      </c>
      <c r="G123" s="138">
        <v>5.7749999999999996E-2</v>
      </c>
      <c r="H123" s="8">
        <v>0.315</v>
      </c>
      <c r="I123" s="8">
        <v>0.15</v>
      </c>
      <c r="J123" s="139">
        <v>36.25</v>
      </c>
      <c r="K123" s="139">
        <v>25.918749999999999</v>
      </c>
      <c r="L123" s="139">
        <v>71.5</v>
      </c>
      <c r="M123" s="8">
        <v>0.23</v>
      </c>
      <c r="N123" s="140">
        <v>69.5</v>
      </c>
      <c r="O123" s="306"/>
      <c r="P123" s="140"/>
      <c r="Q123" s="140"/>
      <c r="R123" s="140"/>
      <c r="S123" s="140"/>
      <c r="T123" s="140"/>
      <c r="U123" s="140"/>
      <c r="V123" s="140"/>
      <c r="W123" s="140"/>
      <c r="X123" s="309">
        <v>46189</v>
      </c>
      <c r="Y123" s="309">
        <v>46190</v>
      </c>
      <c r="Z123" s="312">
        <v>14</v>
      </c>
      <c r="AA123" s="155">
        <v>115</v>
      </c>
      <c r="AB123" s="28">
        <v>5.7749999999999996E-2</v>
      </c>
      <c r="AC123" s="30">
        <v>0.315</v>
      </c>
      <c r="AD123" s="30">
        <v>0.15</v>
      </c>
      <c r="AE123" s="385">
        <v>37.25</v>
      </c>
      <c r="AF123" s="385">
        <f t="shared" si="7"/>
        <v>26.168125</v>
      </c>
      <c r="AG123" s="385">
        <v>70.25</v>
      </c>
      <c r="AH123" s="406">
        <v>0.21</v>
      </c>
      <c r="AI123" s="407">
        <v>73</v>
      </c>
      <c r="AJ123" s="141" t="s">
        <v>458</v>
      </c>
      <c r="AK123" s="141"/>
      <c r="AL123" s="138">
        <f t="shared" si="10"/>
        <v>0</v>
      </c>
      <c r="AM123" s="8">
        <f t="shared" si="10"/>
        <v>0</v>
      </c>
      <c r="AN123" s="8">
        <f t="shared" si="10"/>
        <v>0</v>
      </c>
      <c r="AO123" s="139">
        <f t="shared" ref="AO123:AS174" si="12">AE123-J123</f>
        <v>1</v>
      </c>
      <c r="AP123" s="139">
        <f t="shared" si="12"/>
        <v>0.24937500000000057</v>
      </c>
      <c r="AQ123" s="139">
        <f t="shared" si="12"/>
        <v>-1.25</v>
      </c>
      <c r="AR123" s="8">
        <f t="shared" si="12"/>
        <v>-2.0000000000000018E-2</v>
      </c>
      <c r="AS123" s="139">
        <f t="shared" si="9"/>
        <v>3.5</v>
      </c>
      <c r="AT123" s="200" t="s">
        <v>222</v>
      </c>
      <c r="AU123" s="200" t="s">
        <v>222</v>
      </c>
      <c r="AV123" s="200" t="s">
        <v>222</v>
      </c>
      <c r="AW123" s="200" t="s">
        <v>222</v>
      </c>
      <c r="AX123" s="200" t="s">
        <v>222</v>
      </c>
      <c r="AY123" s="386">
        <v>11</v>
      </c>
      <c r="AZ123" s="312">
        <f t="shared" si="8"/>
        <v>14</v>
      </c>
      <c r="BA123" s="155">
        <f t="shared" si="8"/>
        <v>115</v>
      </c>
      <c r="BB123" s="39">
        <v>46220</v>
      </c>
      <c r="BC123" s="23" t="s">
        <v>458</v>
      </c>
      <c r="BD123" s="23"/>
    </row>
    <row r="124" spans="2:56" ht="15.5">
      <c r="B124" s="5">
        <v>1</v>
      </c>
      <c r="C124" s="39">
        <v>46220</v>
      </c>
      <c r="D124" s="304">
        <v>46221</v>
      </c>
      <c r="E124" s="133">
        <v>23</v>
      </c>
      <c r="F124" s="155">
        <v>179</v>
      </c>
      <c r="G124" s="138">
        <v>7.2999999999999995E-2</v>
      </c>
      <c r="H124" s="8">
        <v>0.3125</v>
      </c>
      <c r="I124" s="8">
        <v>0.37</v>
      </c>
      <c r="J124" s="139">
        <v>35.25</v>
      </c>
      <c r="K124" s="139">
        <v>25.732500000000002</v>
      </c>
      <c r="L124" s="139">
        <v>73</v>
      </c>
      <c r="M124" s="8">
        <v>0.23</v>
      </c>
      <c r="N124" s="140">
        <v>69.5</v>
      </c>
      <c r="O124" s="306"/>
      <c r="P124" s="140"/>
      <c r="Q124" s="140"/>
      <c r="R124" s="140"/>
      <c r="S124" s="140"/>
      <c r="T124" s="140"/>
      <c r="U124" s="140"/>
      <c r="V124" s="140"/>
      <c r="W124" s="140"/>
      <c r="X124" s="309">
        <v>46189</v>
      </c>
      <c r="Y124" s="309">
        <v>46190</v>
      </c>
      <c r="Z124" s="312">
        <v>14</v>
      </c>
      <c r="AA124" s="155">
        <v>116</v>
      </c>
      <c r="AB124" s="28">
        <v>7.2999999999999995E-2</v>
      </c>
      <c r="AC124" s="30">
        <v>0.3125</v>
      </c>
      <c r="AD124" s="30">
        <v>0.37</v>
      </c>
      <c r="AE124" s="385">
        <v>36</v>
      </c>
      <c r="AF124" s="385">
        <f t="shared" si="7"/>
        <v>25.65</v>
      </c>
      <c r="AG124" s="385">
        <v>71.25</v>
      </c>
      <c r="AH124" s="406">
        <v>0.21</v>
      </c>
      <c r="AI124" s="407">
        <v>73</v>
      </c>
      <c r="AJ124" s="141" t="s">
        <v>458</v>
      </c>
      <c r="AK124" s="141"/>
      <c r="AL124" s="138">
        <f t="shared" ref="AL124:AS175" si="13">AB124-G124</f>
        <v>0</v>
      </c>
      <c r="AM124" s="8">
        <f t="shared" si="13"/>
        <v>0</v>
      </c>
      <c r="AN124" s="8">
        <f t="shared" si="13"/>
        <v>0</v>
      </c>
      <c r="AO124" s="139">
        <f t="shared" si="12"/>
        <v>0.75</v>
      </c>
      <c r="AP124" s="139">
        <f t="shared" si="12"/>
        <v>-8.2500000000003126E-2</v>
      </c>
      <c r="AQ124" s="139">
        <f t="shared" si="12"/>
        <v>-1.75</v>
      </c>
      <c r="AR124" s="8">
        <f t="shared" si="12"/>
        <v>-2.0000000000000018E-2</v>
      </c>
      <c r="AS124" s="139">
        <f t="shared" si="9"/>
        <v>3.5</v>
      </c>
      <c r="AT124" s="200" t="s">
        <v>222</v>
      </c>
      <c r="AU124" s="200" t="s">
        <v>222</v>
      </c>
      <c r="AV124" s="200" t="s">
        <v>222</v>
      </c>
      <c r="AW124" s="200" t="s">
        <v>222</v>
      </c>
      <c r="AX124" s="200" t="s">
        <v>222</v>
      </c>
      <c r="AY124" s="386">
        <v>11</v>
      </c>
      <c r="AZ124" s="312">
        <f t="shared" si="8"/>
        <v>14</v>
      </c>
      <c r="BA124" s="155">
        <f t="shared" si="8"/>
        <v>116</v>
      </c>
      <c r="BB124" s="39">
        <v>46220</v>
      </c>
      <c r="BC124" s="23" t="s">
        <v>458</v>
      </c>
      <c r="BD124" s="23"/>
    </row>
    <row r="125" spans="2:56" ht="15.5">
      <c r="B125" s="5">
        <v>1</v>
      </c>
      <c r="C125" s="39">
        <v>46220</v>
      </c>
      <c r="D125" s="304">
        <v>46221</v>
      </c>
      <c r="E125" s="133">
        <v>23</v>
      </c>
      <c r="F125" s="155">
        <v>180</v>
      </c>
      <c r="G125" s="138">
        <v>9.2499999999999999E-2</v>
      </c>
      <c r="H125" s="8">
        <v>0.3</v>
      </c>
      <c r="I125" s="8">
        <v>0.4</v>
      </c>
      <c r="J125" s="139">
        <v>34</v>
      </c>
      <c r="K125" s="139">
        <v>24.734999999999999</v>
      </c>
      <c r="L125" s="139">
        <v>72.75</v>
      </c>
      <c r="M125" s="8">
        <v>0.23</v>
      </c>
      <c r="N125" s="140">
        <v>69.5</v>
      </c>
      <c r="O125" s="306"/>
      <c r="P125" s="140"/>
      <c r="Q125" s="140"/>
      <c r="R125" s="140"/>
      <c r="S125" s="140"/>
      <c r="T125" s="140"/>
      <c r="U125" s="140"/>
      <c r="V125" s="140"/>
      <c r="W125" s="140"/>
      <c r="X125" s="309">
        <v>46189</v>
      </c>
      <c r="Y125" s="309">
        <v>46190</v>
      </c>
      <c r="Z125" s="312">
        <v>14</v>
      </c>
      <c r="AA125" s="155">
        <v>117</v>
      </c>
      <c r="AB125" s="28">
        <v>9.2499999999999999E-2</v>
      </c>
      <c r="AC125" s="30">
        <v>0.3</v>
      </c>
      <c r="AD125" s="30">
        <v>0.4</v>
      </c>
      <c r="AE125" s="385">
        <v>36</v>
      </c>
      <c r="AF125" s="385">
        <f t="shared" si="7"/>
        <v>25.38</v>
      </c>
      <c r="AG125" s="385">
        <v>70.5</v>
      </c>
      <c r="AH125" s="406">
        <v>0.21</v>
      </c>
      <c r="AI125" s="407">
        <v>73</v>
      </c>
      <c r="AJ125" s="141" t="s">
        <v>458</v>
      </c>
      <c r="AK125" s="141"/>
      <c r="AL125" s="138">
        <f t="shared" si="13"/>
        <v>0</v>
      </c>
      <c r="AM125" s="8">
        <f t="shared" si="13"/>
        <v>0</v>
      </c>
      <c r="AN125" s="8">
        <f t="shared" si="13"/>
        <v>0</v>
      </c>
      <c r="AO125" s="139">
        <f t="shared" si="12"/>
        <v>2</v>
      </c>
      <c r="AP125" s="139">
        <f t="shared" si="12"/>
        <v>0.64499999999999957</v>
      </c>
      <c r="AQ125" s="139">
        <f t="shared" si="12"/>
        <v>-2.25</v>
      </c>
      <c r="AR125" s="8">
        <f t="shared" si="12"/>
        <v>-2.0000000000000018E-2</v>
      </c>
      <c r="AS125" s="139">
        <f t="shared" si="9"/>
        <v>3.5</v>
      </c>
      <c r="AT125" s="200" t="s">
        <v>222</v>
      </c>
      <c r="AU125" s="200" t="s">
        <v>222</v>
      </c>
      <c r="AV125" s="200" t="s">
        <v>222</v>
      </c>
      <c r="AW125" s="200" t="s">
        <v>222</v>
      </c>
      <c r="AX125" s="200" t="s">
        <v>222</v>
      </c>
      <c r="AY125" s="386">
        <v>11</v>
      </c>
      <c r="AZ125" s="312">
        <f t="shared" si="8"/>
        <v>14</v>
      </c>
      <c r="BA125" s="155">
        <f t="shared" si="8"/>
        <v>117</v>
      </c>
      <c r="BB125" s="39">
        <v>46220</v>
      </c>
      <c r="BC125" s="23" t="s">
        <v>458</v>
      </c>
      <c r="BD125" s="23"/>
    </row>
    <row r="126" spans="2:56" ht="15.5">
      <c r="B126" s="5">
        <v>1</v>
      </c>
      <c r="C126" s="39">
        <v>46220</v>
      </c>
      <c r="D126" s="304">
        <v>46221</v>
      </c>
      <c r="E126" s="133">
        <v>23</v>
      </c>
      <c r="F126" s="155">
        <v>181</v>
      </c>
      <c r="G126" s="138">
        <v>9.5250000000000001E-2</v>
      </c>
      <c r="H126" s="8">
        <v>0.28000000000000003</v>
      </c>
      <c r="I126" s="8">
        <v>0.36</v>
      </c>
      <c r="J126" s="139">
        <v>34.75</v>
      </c>
      <c r="K126" s="139">
        <v>26.149374999999999</v>
      </c>
      <c r="L126" s="139">
        <v>75.25</v>
      </c>
      <c r="M126" s="8">
        <v>0.23</v>
      </c>
      <c r="N126" s="140">
        <v>74</v>
      </c>
      <c r="O126" s="306"/>
      <c r="P126" s="140"/>
      <c r="Q126" s="140"/>
      <c r="R126" s="140"/>
      <c r="S126" s="140"/>
      <c r="T126" s="140"/>
      <c r="U126" s="140"/>
      <c r="V126" s="140"/>
      <c r="W126" s="140"/>
      <c r="X126" s="309">
        <v>46189</v>
      </c>
      <c r="Y126" s="309">
        <v>46190</v>
      </c>
      <c r="Z126" s="312">
        <v>14</v>
      </c>
      <c r="AA126" s="155">
        <v>118</v>
      </c>
      <c r="AB126" s="28">
        <v>9.5250000000000001E-2</v>
      </c>
      <c r="AC126" s="30">
        <v>0.28000000000000003</v>
      </c>
      <c r="AD126" s="30">
        <v>0.36</v>
      </c>
      <c r="AE126" s="385">
        <v>36.75</v>
      </c>
      <c r="AF126" s="385">
        <f t="shared" si="7"/>
        <v>26.184374999999999</v>
      </c>
      <c r="AG126" s="385">
        <v>71.25</v>
      </c>
      <c r="AH126" s="406">
        <v>0.21</v>
      </c>
      <c r="AI126" s="407">
        <v>73</v>
      </c>
      <c r="AJ126" s="141" t="s">
        <v>458</v>
      </c>
      <c r="AK126" s="141"/>
      <c r="AL126" s="138">
        <f t="shared" si="13"/>
        <v>0</v>
      </c>
      <c r="AM126" s="8">
        <f t="shared" si="13"/>
        <v>0</v>
      </c>
      <c r="AN126" s="8">
        <f t="shared" si="13"/>
        <v>0</v>
      </c>
      <c r="AO126" s="139">
        <f t="shared" si="12"/>
        <v>2</v>
      </c>
      <c r="AP126" s="139">
        <f t="shared" si="12"/>
        <v>3.5000000000000142E-2</v>
      </c>
      <c r="AQ126" s="139">
        <f t="shared" si="12"/>
        <v>-4</v>
      </c>
      <c r="AR126" s="8">
        <f t="shared" si="12"/>
        <v>-2.0000000000000018E-2</v>
      </c>
      <c r="AS126" s="139">
        <f t="shared" si="9"/>
        <v>-1</v>
      </c>
      <c r="AT126" s="200" t="s">
        <v>222</v>
      </c>
      <c r="AU126" s="200" t="s">
        <v>222</v>
      </c>
      <c r="AV126" s="200" t="s">
        <v>222</v>
      </c>
      <c r="AW126" s="200" t="s">
        <v>222</v>
      </c>
      <c r="AX126" s="200" t="s">
        <v>222</v>
      </c>
      <c r="AY126" s="386">
        <v>11</v>
      </c>
      <c r="AZ126" s="312">
        <f t="shared" si="8"/>
        <v>14</v>
      </c>
      <c r="BA126" s="155">
        <f t="shared" si="8"/>
        <v>118</v>
      </c>
      <c r="BB126" s="39">
        <v>46220</v>
      </c>
      <c r="BC126" s="23" t="s">
        <v>458</v>
      </c>
      <c r="BD126" s="23"/>
    </row>
    <row r="127" spans="2:56" ht="15.5">
      <c r="B127" s="5">
        <v>1</v>
      </c>
      <c r="C127" s="39">
        <v>46220</v>
      </c>
      <c r="D127" s="304">
        <v>46221</v>
      </c>
      <c r="E127" s="133">
        <v>23</v>
      </c>
      <c r="F127" s="155">
        <v>182</v>
      </c>
      <c r="G127" s="138">
        <v>2.8749999999999998E-2</v>
      </c>
      <c r="H127" s="8">
        <v>0.255</v>
      </c>
      <c r="I127" s="8">
        <v>0.41</v>
      </c>
      <c r="J127" s="139">
        <v>36.5</v>
      </c>
      <c r="K127" s="139">
        <v>26.462499999999999</v>
      </c>
      <c r="L127" s="139">
        <v>72.5</v>
      </c>
      <c r="M127" s="8">
        <v>0.23</v>
      </c>
      <c r="N127" s="140">
        <v>74</v>
      </c>
      <c r="O127" s="306"/>
      <c r="P127" s="140"/>
      <c r="Q127" s="140"/>
      <c r="R127" s="140"/>
      <c r="S127" s="140"/>
      <c r="T127" s="140"/>
      <c r="U127" s="140"/>
      <c r="V127" s="140"/>
      <c r="W127" s="140"/>
      <c r="X127" s="309">
        <v>46189</v>
      </c>
      <c r="Y127" s="309">
        <v>46190</v>
      </c>
      <c r="Z127" s="312">
        <v>14</v>
      </c>
      <c r="AA127" s="155">
        <v>119</v>
      </c>
      <c r="AB127" s="28">
        <v>2.8749999999999998E-2</v>
      </c>
      <c r="AC127" s="30">
        <v>0.255</v>
      </c>
      <c r="AD127" s="30">
        <v>0.41</v>
      </c>
      <c r="AE127" s="385">
        <v>36.25</v>
      </c>
      <c r="AF127" s="385">
        <f t="shared" si="7"/>
        <v>26.462499999999999</v>
      </c>
      <c r="AG127" s="385">
        <v>73</v>
      </c>
      <c r="AH127" s="406">
        <v>0.21</v>
      </c>
      <c r="AI127" s="407">
        <v>73</v>
      </c>
      <c r="AJ127" s="141" t="s">
        <v>458</v>
      </c>
      <c r="AK127" s="141"/>
      <c r="AL127" s="138">
        <f t="shared" si="13"/>
        <v>0</v>
      </c>
      <c r="AM127" s="8">
        <f t="shared" si="13"/>
        <v>0</v>
      </c>
      <c r="AN127" s="8">
        <f t="shared" si="13"/>
        <v>0</v>
      </c>
      <c r="AO127" s="139">
        <f t="shared" si="12"/>
        <v>-0.25</v>
      </c>
      <c r="AP127" s="139">
        <f t="shared" si="12"/>
        <v>0</v>
      </c>
      <c r="AQ127" s="139">
        <f t="shared" si="12"/>
        <v>0.5</v>
      </c>
      <c r="AR127" s="8">
        <f t="shared" si="12"/>
        <v>-2.0000000000000018E-2</v>
      </c>
      <c r="AS127" s="139">
        <f t="shared" si="9"/>
        <v>-1</v>
      </c>
      <c r="AT127" s="200" t="s">
        <v>222</v>
      </c>
      <c r="AU127" s="200" t="s">
        <v>222</v>
      </c>
      <c r="AV127" s="200" t="s">
        <v>222</v>
      </c>
      <c r="AW127" s="200" t="s">
        <v>222</v>
      </c>
      <c r="AX127" s="200" t="s">
        <v>222</v>
      </c>
      <c r="AY127" s="386">
        <v>11</v>
      </c>
      <c r="AZ127" s="312">
        <f t="shared" si="8"/>
        <v>14</v>
      </c>
      <c r="BA127" s="155">
        <f t="shared" si="8"/>
        <v>119</v>
      </c>
      <c r="BB127" s="39">
        <v>46220</v>
      </c>
      <c r="BC127" s="23" t="s">
        <v>458</v>
      </c>
      <c r="BD127" s="23"/>
    </row>
    <row r="128" spans="2:56" ht="15.5">
      <c r="B128" s="141">
        <v>2</v>
      </c>
      <c r="C128" s="39">
        <v>46220</v>
      </c>
      <c r="D128" s="304">
        <v>46221</v>
      </c>
      <c r="E128" s="133">
        <v>23</v>
      </c>
      <c r="F128" s="155">
        <v>183</v>
      </c>
      <c r="G128" s="138">
        <v>7.5999999999999998E-2</v>
      </c>
      <c r="H128" s="8">
        <v>0.3125</v>
      </c>
      <c r="I128" s="8">
        <v>0.27</v>
      </c>
      <c r="J128" s="139">
        <v>36</v>
      </c>
      <c r="K128" s="139">
        <v>26.46</v>
      </c>
      <c r="L128" s="139">
        <v>73.5</v>
      </c>
      <c r="M128" s="8">
        <v>0.23</v>
      </c>
      <c r="N128" s="140">
        <v>74</v>
      </c>
      <c r="O128" s="306"/>
      <c r="P128" s="140"/>
      <c r="Q128" s="140"/>
      <c r="R128" s="140"/>
      <c r="S128" s="140"/>
      <c r="T128" s="140"/>
      <c r="U128" s="140"/>
      <c r="V128" s="140"/>
      <c r="W128" s="140"/>
      <c r="X128" s="309">
        <v>46189</v>
      </c>
      <c r="Y128" s="309">
        <v>46190</v>
      </c>
      <c r="Z128" s="312">
        <v>14</v>
      </c>
      <c r="AA128" s="155">
        <v>120</v>
      </c>
      <c r="AB128" s="28">
        <v>7.5999999999999998E-2</v>
      </c>
      <c r="AC128" s="30">
        <v>0.3125</v>
      </c>
      <c r="AD128" s="30">
        <v>0.27</v>
      </c>
      <c r="AE128" s="385">
        <v>35.25</v>
      </c>
      <c r="AF128" s="385">
        <f t="shared" si="7"/>
        <v>25.38</v>
      </c>
      <c r="AG128" s="385">
        <v>72</v>
      </c>
      <c r="AH128" s="406">
        <v>0.21</v>
      </c>
      <c r="AI128" s="407">
        <v>73</v>
      </c>
      <c r="AJ128" s="141" t="s">
        <v>458</v>
      </c>
      <c r="AK128" s="141"/>
      <c r="AL128" s="138">
        <f t="shared" si="13"/>
        <v>0</v>
      </c>
      <c r="AM128" s="8">
        <f t="shared" si="13"/>
        <v>0</v>
      </c>
      <c r="AN128" s="8">
        <f t="shared" si="13"/>
        <v>0</v>
      </c>
      <c r="AO128" s="139">
        <f t="shared" si="12"/>
        <v>-0.75</v>
      </c>
      <c r="AP128" s="139">
        <f t="shared" si="12"/>
        <v>-1.0800000000000018</v>
      </c>
      <c r="AQ128" s="139">
        <f t="shared" si="12"/>
        <v>-1.5</v>
      </c>
      <c r="AR128" s="8">
        <f t="shared" si="12"/>
        <v>-2.0000000000000018E-2</v>
      </c>
      <c r="AS128" s="139">
        <f t="shared" si="9"/>
        <v>-1</v>
      </c>
      <c r="AT128" s="200" t="s">
        <v>222</v>
      </c>
      <c r="AU128" s="200" t="s">
        <v>222</v>
      </c>
      <c r="AV128" s="200" t="s">
        <v>222</v>
      </c>
      <c r="AW128" s="200" t="s">
        <v>222</v>
      </c>
      <c r="AX128" s="200" t="s">
        <v>222</v>
      </c>
      <c r="AY128" s="386">
        <v>11</v>
      </c>
      <c r="AZ128" s="312">
        <f t="shared" si="8"/>
        <v>14</v>
      </c>
      <c r="BA128" s="155">
        <f t="shared" si="8"/>
        <v>120</v>
      </c>
      <c r="BB128" s="39">
        <v>46220</v>
      </c>
      <c r="BC128" s="23" t="s">
        <v>458</v>
      </c>
      <c r="BD128" s="23"/>
    </row>
    <row r="129" spans="2:56" ht="15.5">
      <c r="B129" s="5"/>
      <c r="C129" s="39"/>
      <c r="D129" s="302"/>
      <c r="E129" s="133" t="s">
        <v>618</v>
      </c>
      <c r="F129" s="308" t="s">
        <v>301</v>
      </c>
      <c r="G129" s="138"/>
      <c r="H129" s="8"/>
      <c r="I129" s="8"/>
      <c r="J129" s="139"/>
      <c r="K129" s="139"/>
      <c r="L129" s="139"/>
      <c r="M129" s="8"/>
      <c r="N129" s="140"/>
      <c r="O129" s="306"/>
      <c r="P129" s="140"/>
      <c r="Q129" s="140"/>
      <c r="R129" s="140"/>
      <c r="S129" s="140"/>
      <c r="T129" s="140"/>
      <c r="U129" s="140"/>
      <c r="V129" s="140"/>
      <c r="W129" s="140"/>
      <c r="X129" s="309">
        <v>46188</v>
      </c>
      <c r="Y129" s="309">
        <v>46188</v>
      </c>
      <c r="Z129" s="312">
        <v>15</v>
      </c>
      <c r="AA129" s="155">
        <v>121</v>
      </c>
      <c r="AB129" s="28">
        <v>0.10925</v>
      </c>
      <c r="AC129" s="30">
        <v>0.3125</v>
      </c>
      <c r="AD129" s="30">
        <v>0.35</v>
      </c>
      <c r="AE129" s="385">
        <v>38</v>
      </c>
      <c r="AF129" s="385">
        <f t="shared" si="7"/>
        <v>26.41</v>
      </c>
      <c r="AG129" s="385">
        <v>69.5</v>
      </c>
      <c r="AH129" s="23">
        <v>0.23</v>
      </c>
      <c r="AI129" s="140">
        <v>82</v>
      </c>
      <c r="AJ129" s="141" t="s">
        <v>458</v>
      </c>
      <c r="AK129" s="141"/>
      <c r="AL129" s="138">
        <f t="shared" si="13"/>
        <v>0.10925</v>
      </c>
      <c r="AM129" s="8">
        <f t="shared" si="13"/>
        <v>0.3125</v>
      </c>
      <c r="AN129" s="8">
        <f t="shared" si="13"/>
        <v>0.35</v>
      </c>
      <c r="AO129" s="139">
        <f t="shared" si="12"/>
        <v>38</v>
      </c>
      <c r="AP129" s="139">
        <f t="shared" si="12"/>
        <v>26.41</v>
      </c>
      <c r="AQ129" s="139">
        <f t="shared" si="12"/>
        <v>69.5</v>
      </c>
      <c r="AR129" s="8">
        <f t="shared" si="12"/>
        <v>0.23</v>
      </c>
      <c r="AS129" s="139">
        <f t="shared" si="9"/>
        <v>82</v>
      </c>
      <c r="AT129" s="200" t="s">
        <v>222</v>
      </c>
      <c r="AU129" s="200" t="s">
        <v>222</v>
      </c>
      <c r="AV129" s="200" t="s">
        <v>222</v>
      </c>
      <c r="AW129" s="200" t="s">
        <v>222</v>
      </c>
      <c r="AX129" s="200" t="s">
        <v>222</v>
      </c>
      <c r="AY129" s="386">
        <v>13</v>
      </c>
      <c r="AZ129" s="312">
        <f t="shared" si="8"/>
        <v>15</v>
      </c>
      <c r="BA129" s="155">
        <f t="shared" si="8"/>
        <v>121</v>
      </c>
      <c r="BB129" s="309">
        <v>46188</v>
      </c>
      <c r="BC129" s="23" t="s">
        <v>458</v>
      </c>
      <c r="BD129" s="23"/>
    </row>
    <row r="130" spans="2:56" ht="15.5">
      <c r="B130" s="5"/>
      <c r="C130" s="39"/>
      <c r="D130" s="302"/>
      <c r="E130" s="133" t="s">
        <v>618</v>
      </c>
      <c r="F130" s="308" t="s">
        <v>308</v>
      </c>
      <c r="G130" s="138"/>
      <c r="H130" s="8"/>
      <c r="I130" s="8"/>
      <c r="J130" s="139"/>
      <c r="K130" s="139"/>
      <c r="L130" s="139"/>
      <c r="M130" s="8"/>
      <c r="N130" s="140"/>
      <c r="O130" s="306"/>
      <c r="P130" s="140"/>
      <c r="Q130" s="140"/>
      <c r="R130" s="140"/>
      <c r="S130" s="140"/>
      <c r="T130" s="140"/>
      <c r="U130" s="140"/>
      <c r="V130" s="140"/>
      <c r="W130" s="140"/>
      <c r="X130" s="309">
        <v>46188</v>
      </c>
      <c r="Y130" s="309">
        <v>46188</v>
      </c>
      <c r="Z130" s="312">
        <v>15</v>
      </c>
      <c r="AA130" s="155">
        <v>122</v>
      </c>
      <c r="AB130" s="28">
        <v>0.10249999999999999</v>
      </c>
      <c r="AC130" s="30">
        <v>0.33750000000000002</v>
      </c>
      <c r="AD130" s="30">
        <v>0.38</v>
      </c>
      <c r="AE130" s="385">
        <v>39.75</v>
      </c>
      <c r="AF130" s="385">
        <f t="shared" si="7"/>
        <v>28.02375</v>
      </c>
      <c r="AG130" s="385">
        <v>70.5</v>
      </c>
      <c r="AH130" s="23">
        <v>0.23</v>
      </c>
      <c r="AI130" s="140">
        <v>82</v>
      </c>
      <c r="AJ130" s="141" t="s">
        <v>458</v>
      </c>
      <c r="AK130" s="141"/>
      <c r="AL130" s="138">
        <f t="shared" si="13"/>
        <v>0.10249999999999999</v>
      </c>
      <c r="AM130" s="8">
        <f t="shared" si="13"/>
        <v>0.33750000000000002</v>
      </c>
      <c r="AN130" s="8">
        <f t="shared" si="13"/>
        <v>0.38</v>
      </c>
      <c r="AO130" s="139">
        <f t="shared" si="12"/>
        <v>39.75</v>
      </c>
      <c r="AP130" s="139">
        <f t="shared" si="12"/>
        <v>28.02375</v>
      </c>
      <c r="AQ130" s="139">
        <f t="shared" si="12"/>
        <v>70.5</v>
      </c>
      <c r="AR130" s="8">
        <f t="shared" si="12"/>
        <v>0.23</v>
      </c>
      <c r="AS130" s="139">
        <f t="shared" si="9"/>
        <v>82</v>
      </c>
      <c r="AT130" s="200" t="s">
        <v>222</v>
      </c>
      <c r="AU130" s="200" t="s">
        <v>222</v>
      </c>
      <c r="AV130" s="200" t="s">
        <v>222</v>
      </c>
      <c r="AW130" s="200" t="s">
        <v>222</v>
      </c>
      <c r="AX130" s="200" t="s">
        <v>222</v>
      </c>
      <c r="AY130" s="386">
        <v>13</v>
      </c>
      <c r="AZ130" s="312">
        <f t="shared" si="8"/>
        <v>15</v>
      </c>
      <c r="BA130" s="155">
        <f t="shared" si="8"/>
        <v>122</v>
      </c>
      <c r="BB130" s="309">
        <v>46188</v>
      </c>
      <c r="BC130" s="23" t="s">
        <v>458</v>
      </c>
      <c r="BD130" s="23"/>
    </row>
    <row r="131" spans="2:56" ht="15.5">
      <c r="B131" s="5"/>
      <c r="C131" s="39"/>
      <c r="D131" s="302"/>
      <c r="E131" s="133" t="s">
        <v>618</v>
      </c>
      <c r="F131" s="308" t="s">
        <v>309</v>
      </c>
      <c r="G131" s="138"/>
      <c r="H131" s="8"/>
      <c r="I131" s="8"/>
      <c r="J131" s="139"/>
      <c r="K131" s="139"/>
      <c r="L131" s="139"/>
      <c r="M131" s="8"/>
      <c r="N131" s="140"/>
      <c r="O131" s="306"/>
      <c r="P131" s="140"/>
      <c r="Q131" s="140"/>
      <c r="R131" s="140"/>
      <c r="S131" s="140"/>
      <c r="T131" s="140"/>
      <c r="U131" s="140"/>
      <c r="V131" s="140"/>
      <c r="W131" s="140"/>
      <c r="X131" s="309">
        <v>46188</v>
      </c>
      <c r="Y131" s="309">
        <v>46188</v>
      </c>
      <c r="Z131" s="312">
        <v>15</v>
      </c>
      <c r="AA131" s="155">
        <v>123</v>
      </c>
      <c r="AB131" s="28">
        <v>9.7000000000000003E-2</v>
      </c>
      <c r="AC131" s="30">
        <v>0.35249999999999998</v>
      </c>
      <c r="AD131" s="30">
        <v>0.4</v>
      </c>
      <c r="AE131" s="385">
        <v>40</v>
      </c>
      <c r="AF131" s="385">
        <f t="shared" si="7"/>
        <v>28</v>
      </c>
      <c r="AG131" s="385">
        <v>70</v>
      </c>
      <c r="AH131" s="23">
        <v>0.23</v>
      </c>
      <c r="AI131" s="140">
        <v>82</v>
      </c>
      <c r="AJ131" s="141" t="s">
        <v>458</v>
      </c>
      <c r="AK131" s="141"/>
      <c r="AL131" s="138">
        <f t="shared" si="13"/>
        <v>9.7000000000000003E-2</v>
      </c>
      <c r="AM131" s="8">
        <f t="shared" si="13"/>
        <v>0.35249999999999998</v>
      </c>
      <c r="AN131" s="8">
        <f t="shared" si="13"/>
        <v>0.4</v>
      </c>
      <c r="AO131" s="139">
        <f t="shared" si="12"/>
        <v>40</v>
      </c>
      <c r="AP131" s="139">
        <f t="shared" si="12"/>
        <v>28</v>
      </c>
      <c r="AQ131" s="139">
        <f t="shared" si="12"/>
        <v>70</v>
      </c>
      <c r="AR131" s="8">
        <f t="shared" si="12"/>
        <v>0.23</v>
      </c>
      <c r="AS131" s="139">
        <f t="shared" si="9"/>
        <v>82</v>
      </c>
      <c r="AT131" s="200" t="s">
        <v>222</v>
      </c>
      <c r="AU131" s="200" t="s">
        <v>222</v>
      </c>
      <c r="AV131" s="200" t="s">
        <v>222</v>
      </c>
      <c r="AW131" s="200" t="s">
        <v>222</v>
      </c>
      <c r="AX131" s="200" t="s">
        <v>222</v>
      </c>
      <c r="AY131" s="386">
        <v>13</v>
      </c>
      <c r="AZ131" s="312">
        <f t="shared" si="8"/>
        <v>15</v>
      </c>
      <c r="BA131" s="155">
        <f t="shared" si="8"/>
        <v>123</v>
      </c>
      <c r="BB131" s="309">
        <v>46188</v>
      </c>
      <c r="BC131" s="23" t="s">
        <v>458</v>
      </c>
      <c r="BD131" s="23"/>
    </row>
    <row r="132" spans="2:56" ht="15.5">
      <c r="B132" s="5"/>
      <c r="C132" s="39"/>
      <c r="D132" s="302"/>
      <c r="E132" s="133" t="s">
        <v>618</v>
      </c>
      <c r="F132" s="308" t="s">
        <v>315</v>
      </c>
      <c r="G132" s="138"/>
      <c r="H132" s="8"/>
      <c r="I132" s="8"/>
      <c r="J132" s="139"/>
      <c r="K132" s="139"/>
      <c r="L132" s="139"/>
      <c r="M132" s="8"/>
      <c r="N132" s="140"/>
      <c r="O132" s="306"/>
      <c r="P132" s="140"/>
      <c r="Q132" s="140"/>
      <c r="R132" s="140"/>
      <c r="S132" s="140"/>
      <c r="T132" s="140"/>
      <c r="U132" s="140"/>
      <c r="V132" s="140"/>
      <c r="W132" s="140"/>
      <c r="X132" s="309">
        <v>46188</v>
      </c>
      <c r="Y132" s="309">
        <v>46188</v>
      </c>
      <c r="Z132" s="312">
        <v>15</v>
      </c>
      <c r="AA132" s="155">
        <v>124</v>
      </c>
      <c r="AB132" s="28">
        <v>0.10025000000000001</v>
      </c>
      <c r="AC132" s="30">
        <v>0.3175</v>
      </c>
      <c r="AD132" s="30">
        <v>0.32</v>
      </c>
      <c r="AE132" s="385">
        <v>38.75</v>
      </c>
      <c r="AF132" s="385">
        <f t="shared" si="7"/>
        <v>27.996874999999999</v>
      </c>
      <c r="AG132" s="385">
        <v>72.25</v>
      </c>
      <c r="AH132" s="23">
        <v>0.23</v>
      </c>
      <c r="AI132" s="140">
        <v>82</v>
      </c>
      <c r="AJ132" s="141" t="s">
        <v>458</v>
      </c>
      <c r="AK132" s="141"/>
      <c r="AL132" s="138">
        <f t="shared" si="13"/>
        <v>0.10025000000000001</v>
      </c>
      <c r="AM132" s="8">
        <f t="shared" si="13"/>
        <v>0.3175</v>
      </c>
      <c r="AN132" s="8">
        <f t="shared" si="13"/>
        <v>0.32</v>
      </c>
      <c r="AO132" s="139">
        <f t="shared" si="12"/>
        <v>38.75</v>
      </c>
      <c r="AP132" s="139">
        <f t="shared" si="12"/>
        <v>27.996874999999999</v>
      </c>
      <c r="AQ132" s="139">
        <f t="shared" si="12"/>
        <v>72.25</v>
      </c>
      <c r="AR132" s="8">
        <f t="shared" si="12"/>
        <v>0.23</v>
      </c>
      <c r="AS132" s="139">
        <f t="shared" si="9"/>
        <v>82</v>
      </c>
      <c r="AT132" s="200" t="s">
        <v>222</v>
      </c>
      <c r="AU132" s="200" t="s">
        <v>222</v>
      </c>
      <c r="AV132" s="200" t="s">
        <v>222</v>
      </c>
      <c r="AW132" s="200" t="s">
        <v>222</v>
      </c>
      <c r="AX132" s="200" t="s">
        <v>222</v>
      </c>
      <c r="AY132" s="386">
        <v>13</v>
      </c>
      <c r="AZ132" s="312">
        <f t="shared" si="8"/>
        <v>15</v>
      </c>
      <c r="BA132" s="155">
        <f t="shared" si="8"/>
        <v>124</v>
      </c>
      <c r="BB132" s="309">
        <v>46188</v>
      </c>
      <c r="BC132" s="23" t="s">
        <v>458</v>
      </c>
      <c r="BD132" s="23"/>
    </row>
    <row r="133" spans="2:56" ht="15.5">
      <c r="B133" s="5">
        <v>4</v>
      </c>
      <c r="C133" s="39">
        <v>46164</v>
      </c>
      <c r="D133" s="302">
        <v>46166</v>
      </c>
      <c r="E133" s="133">
        <v>8</v>
      </c>
      <c r="F133" s="155">
        <v>60</v>
      </c>
      <c r="G133" s="138">
        <v>0.105</v>
      </c>
      <c r="H133" s="8">
        <v>0.3125</v>
      </c>
      <c r="I133" s="8">
        <v>0.34</v>
      </c>
      <c r="J133" s="139">
        <v>51</v>
      </c>
      <c r="K133" s="139">
        <v>33.558</v>
      </c>
      <c r="L133" s="139">
        <v>65.8</v>
      </c>
      <c r="M133" s="8">
        <v>0.22</v>
      </c>
      <c r="N133" s="140">
        <v>83.5</v>
      </c>
      <c r="O133" s="306" t="s">
        <v>558</v>
      </c>
      <c r="P133" s="140"/>
      <c r="Q133" s="140"/>
      <c r="R133" s="140"/>
      <c r="S133" s="140"/>
      <c r="T133" s="140"/>
      <c r="U133" s="140"/>
      <c r="V133" s="140"/>
      <c r="W133" s="140" t="s">
        <v>559</v>
      </c>
      <c r="X133" s="309">
        <v>46188</v>
      </c>
      <c r="Y133" s="309">
        <v>46188</v>
      </c>
      <c r="Z133" s="312">
        <v>15</v>
      </c>
      <c r="AA133" s="155">
        <v>125</v>
      </c>
      <c r="AB133" s="28">
        <v>0.105</v>
      </c>
      <c r="AC133" s="30">
        <v>0.3125</v>
      </c>
      <c r="AD133" s="30">
        <v>0.34</v>
      </c>
      <c r="AE133" s="385">
        <v>40.25</v>
      </c>
      <c r="AF133" s="385">
        <f t="shared" si="7"/>
        <v>28.275625000000002</v>
      </c>
      <c r="AG133" s="385">
        <v>70.25</v>
      </c>
      <c r="AH133" s="23">
        <v>0.23</v>
      </c>
      <c r="AI133" s="140">
        <v>82</v>
      </c>
      <c r="AJ133" s="141" t="s">
        <v>458</v>
      </c>
      <c r="AK133" s="141"/>
      <c r="AL133" s="138">
        <f t="shared" si="13"/>
        <v>0</v>
      </c>
      <c r="AM133" s="8">
        <f t="shared" si="13"/>
        <v>0</v>
      </c>
      <c r="AN133" s="8">
        <f t="shared" si="13"/>
        <v>0</v>
      </c>
      <c r="AO133" s="139">
        <f t="shared" si="12"/>
        <v>-10.75</v>
      </c>
      <c r="AP133" s="139">
        <f t="shared" si="12"/>
        <v>-5.2823749999999983</v>
      </c>
      <c r="AQ133" s="139">
        <f t="shared" si="12"/>
        <v>4.4500000000000028</v>
      </c>
      <c r="AR133" s="8">
        <f t="shared" si="12"/>
        <v>1.0000000000000009E-2</v>
      </c>
      <c r="AS133" s="139">
        <f t="shared" si="9"/>
        <v>-1.5</v>
      </c>
      <c r="AT133" s="200" t="s">
        <v>222</v>
      </c>
      <c r="AU133" s="200" t="s">
        <v>222</v>
      </c>
      <c r="AV133" s="200" t="s">
        <v>222</v>
      </c>
      <c r="AW133" s="200" t="s">
        <v>222</v>
      </c>
      <c r="AX133" s="200" t="s">
        <v>222</v>
      </c>
      <c r="AY133" s="386">
        <v>13</v>
      </c>
      <c r="AZ133" s="312">
        <f t="shared" si="8"/>
        <v>15</v>
      </c>
      <c r="BA133" s="155">
        <f t="shared" si="8"/>
        <v>125</v>
      </c>
      <c r="BB133" s="309">
        <v>46188</v>
      </c>
      <c r="BC133" s="23" t="s">
        <v>458</v>
      </c>
      <c r="BD133" s="23"/>
    </row>
    <row r="134" spans="2:56" ht="15.5">
      <c r="B134" s="5">
        <v>4</v>
      </c>
      <c r="C134" s="39">
        <v>46167</v>
      </c>
      <c r="D134" s="302">
        <v>46169</v>
      </c>
      <c r="E134" s="133">
        <v>9</v>
      </c>
      <c r="F134" s="155">
        <v>66</v>
      </c>
      <c r="G134" s="138">
        <v>0.11075</v>
      </c>
      <c r="H134" s="8">
        <v>0.35500000000000004</v>
      </c>
      <c r="I134" s="8">
        <v>0.37</v>
      </c>
      <c r="J134" s="139">
        <v>50.25</v>
      </c>
      <c r="K134" s="139">
        <v>32.750437499999997</v>
      </c>
      <c r="L134" s="139">
        <v>65.174999999999997</v>
      </c>
      <c r="M134" s="8">
        <v>0.23</v>
      </c>
      <c r="N134" s="140">
        <v>81.5</v>
      </c>
      <c r="O134" s="306"/>
      <c r="P134" s="140"/>
      <c r="Q134" s="140"/>
      <c r="R134" s="140"/>
      <c r="S134" s="140"/>
      <c r="T134" s="140"/>
      <c r="U134" s="140"/>
      <c r="V134" s="140"/>
      <c r="W134" s="140"/>
      <c r="X134" s="309">
        <v>46188</v>
      </c>
      <c r="Y134" s="309">
        <v>46188</v>
      </c>
      <c r="Z134" s="312">
        <v>15</v>
      </c>
      <c r="AA134" s="155">
        <v>126</v>
      </c>
      <c r="AB134" s="28">
        <v>0.11075</v>
      </c>
      <c r="AC134" s="30">
        <v>0.35500000000000004</v>
      </c>
      <c r="AD134" s="30">
        <v>0.37</v>
      </c>
      <c r="AE134" s="385">
        <v>37.5</v>
      </c>
      <c r="AF134" s="385">
        <f t="shared" si="7"/>
        <v>26.4375</v>
      </c>
      <c r="AG134" s="385">
        <v>70.5</v>
      </c>
      <c r="AH134" s="23">
        <v>0.23</v>
      </c>
      <c r="AI134" s="140">
        <v>80</v>
      </c>
      <c r="AJ134" s="141" t="s">
        <v>458</v>
      </c>
      <c r="AK134" s="141"/>
      <c r="AL134" s="138">
        <f t="shared" si="13"/>
        <v>0</v>
      </c>
      <c r="AM134" s="8">
        <f t="shared" si="13"/>
        <v>0</v>
      </c>
      <c r="AN134" s="8">
        <f t="shared" si="13"/>
        <v>0</v>
      </c>
      <c r="AO134" s="139">
        <f t="shared" si="12"/>
        <v>-12.75</v>
      </c>
      <c r="AP134" s="139">
        <f t="shared" si="12"/>
        <v>-6.3129374999999968</v>
      </c>
      <c r="AQ134" s="139">
        <f t="shared" si="12"/>
        <v>5.3250000000000028</v>
      </c>
      <c r="AR134" s="8">
        <f t="shared" si="12"/>
        <v>0</v>
      </c>
      <c r="AS134" s="139">
        <f t="shared" si="9"/>
        <v>-1.5</v>
      </c>
      <c r="AT134" s="200" t="s">
        <v>222</v>
      </c>
      <c r="AU134" s="200" t="s">
        <v>222</v>
      </c>
      <c r="AV134" s="200" t="s">
        <v>222</v>
      </c>
      <c r="AW134" s="200" t="s">
        <v>222</v>
      </c>
      <c r="AX134" s="200" t="s">
        <v>222</v>
      </c>
      <c r="AY134" s="386">
        <v>13</v>
      </c>
      <c r="AZ134" s="312">
        <f t="shared" si="8"/>
        <v>15</v>
      </c>
      <c r="BA134" s="155">
        <f t="shared" si="8"/>
        <v>126</v>
      </c>
      <c r="BB134" s="309">
        <v>46188</v>
      </c>
      <c r="BC134" s="23" t="s">
        <v>458</v>
      </c>
      <c r="BD134" s="23"/>
    </row>
    <row r="135" spans="2:56" ht="15.5">
      <c r="B135" s="5">
        <v>4</v>
      </c>
      <c r="C135" s="39">
        <v>46167</v>
      </c>
      <c r="D135" s="302">
        <v>46169</v>
      </c>
      <c r="E135" s="133">
        <v>9</v>
      </c>
      <c r="F135" s="155">
        <v>67</v>
      </c>
      <c r="G135" s="138">
        <v>0.11474999999999999</v>
      </c>
      <c r="H135" s="8">
        <v>0.36499999999999999</v>
      </c>
      <c r="I135" s="8">
        <v>0.38</v>
      </c>
      <c r="J135" s="139">
        <v>49</v>
      </c>
      <c r="K135" s="139">
        <v>33.246500000000005</v>
      </c>
      <c r="L135" s="139">
        <v>67.850000000000009</v>
      </c>
      <c r="M135" s="8">
        <v>0.23</v>
      </c>
      <c r="N135" s="140">
        <v>81.5</v>
      </c>
      <c r="O135" s="306"/>
      <c r="P135" s="140"/>
      <c r="Q135" s="140"/>
      <c r="R135" s="140"/>
      <c r="S135" s="140"/>
      <c r="T135" s="140"/>
      <c r="U135" s="140"/>
      <c r="V135" s="140"/>
      <c r="W135" s="140"/>
      <c r="X135" s="309">
        <v>46188</v>
      </c>
      <c r="Y135" s="309">
        <v>46188</v>
      </c>
      <c r="Z135" s="312">
        <v>15</v>
      </c>
      <c r="AA135" s="155">
        <v>127</v>
      </c>
      <c r="AB135" s="28">
        <v>0.11474999999999999</v>
      </c>
      <c r="AC135" s="30">
        <v>0.36499999999999999</v>
      </c>
      <c r="AD135" s="30">
        <v>0.38</v>
      </c>
      <c r="AE135" s="385">
        <v>35.75</v>
      </c>
      <c r="AF135" s="385">
        <f t="shared" si="7"/>
        <v>25.918749999999999</v>
      </c>
      <c r="AG135" s="385">
        <v>72.5</v>
      </c>
      <c r="AH135" s="23">
        <v>0.23</v>
      </c>
      <c r="AI135" s="140">
        <v>80</v>
      </c>
      <c r="AJ135" s="141" t="s">
        <v>458</v>
      </c>
      <c r="AK135" s="141"/>
      <c r="AL135" s="138">
        <f t="shared" si="13"/>
        <v>0</v>
      </c>
      <c r="AM135" s="8">
        <f t="shared" si="13"/>
        <v>0</v>
      </c>
      <c r="AN135" s="8">
        <f t="shared" si="13"/>
        <v>0</v>
      </c>
      <c r="AO135" s="139">
        <f t="shared" si="12"/>
        <v>-13.25</v>
      </c>
      <c r="AP135" s="139">
        <f t="shared" si="12"/>
        <v>-7.3277500000000053</v>
      </c>
      <c r="AQ135" s="139">
        <f t="shared" si="12"/>
        <v>4.6499999999999915</v>
      </c>
      <c r="AR135" s="8">
        <f t="shared" si="12"/>
        <v>0</v>
      </c>
      <c r="AS135" s="139">
        <f t="shared" si="9"/>
        <v>-1.5</v>
      </c>
      <c r="AT135" s="200" t="s">
        <v>222</v>
      </c>
      <c r="AU135" s="200" t="s">
        <v>222</v>
      </c>
      <c r="AV135" s="200" t="s">
        <v>222</v>
      </c>
      <c r="AW135" s="200" t="s">
        <v>222</v>
      </c>
      <c r="AX135" s="200" t="s">
        <v>222</v>
      </c>
      <c r="AY135" s="386">
        <v>13</v>
      </c>
      <c r="AZ135" s="312">
        <f t="shared" si="8"/>
        <v>15</v>
      </c>
      <c r="BA135" s="155">
        <f t="shared" si="8"/>
        <v>127</v>
      </c>
      <c r="BB135" s="309">
        <v>46188</v>
      </c>
      <c r="BC135" s="23" t="s">
        <v>458</v>
      </c>
      <c r="BD135" s="23"/>
    </row>
    <row r="136" spans="2:56" ht="15.5">
      <c r="B136" s="5">
        <v>7</v>
      </c>
      <c r="C136" s="39">
        <v>46188</v>
      </c>
      <c r="D136" s="302">
        <v>46190</v>
      </c>
      <c r="E136" s="133">
        <v>16</v>
      </c>
      <c r="F136" s="155">
        <v>125</v>
      </c>
      <c r="G136" s="138">
        <v>0.1065</v>
      </c>
      <c r="H136" s="8">
        <v>0.35249999999999992</v>
      </c>
      <c r="I136" s="8">
        <v>0.36</v>
      </c>
      <c r="J136" s="139">
        <v>47.25</v>
      </c>
      <c r="K136" s="139">
        <v>29.743874999999992</v>
      </c>
      <c r="L136" s="139">
        <v>62.949999999999989</v>
      </c>
      <c r="M136" s="8">
        <v>0.21</v>
      </c>
      <c r="N136" s="140">
        <v>83.5</v>
      </c>
      <c r="O136" s="306"/>
      <c r="P136" s="140"/>
      <c r="Q136" s="140"/>
      <c r="R136" s="140"/>
      <c r="S136" s="140"/>
      <c r="T136" s="140"/>
      <c r="U136" s="140"/>
      <c r="V136" s="140"/>
      <c r="W136" s="140"/>
      <c r="X136" s="309">
        <v>46188</v>
      </c>
      <c r="Y136" s="309">
        <v>46188</v>
      </c>
      <c r="Z136" s="312">
        <v>15</v>
      </c>
      <c r="AA136" s="155">
        <v>128</v>
      </c>
      <c r="AB136" s="28">
        <v>0.1065</v>
      </c>
      <c r="AC136" s="30">
        <v>0.35249999999999992</v>
      </c>
      <c r="AD136" s="30">
        <v>0.36</v>
      </c>
      <c r="AE136" s="385">
        <v>38.5</v>
      </c>
      <c r="AF136" s="385">
        <f t="shared" si="7"/>
        <v>27.23875</v>
      </c>
      <c r="AG136" s="385">
        <v>70.75</v>
      </c>
      <c r="AH136" s="23">
        <v>0.23</v>
      </c>
      <c r="AI136" s="140">
        <v>80</v>
      </c>
      <c r="AJ136" s="141" t="s">
        <v>458</v>
      </c>
      <c r="AK136" s="141"/>
      <c r="AL136" s="138">
        <f t="shared" si="13"/>
        <v>0</v>
      </c>
      <c r="AM136" s="8">
        <f t="shared" si="13"/>
        <v>0</v>
      </c>
      <c r="AN136" s="8">
        <f t="shared" si="13"/>
        <v>0</v>
      </c>
      <c r="AO136" s="139">
        <f t="shared" si="12"/>
        <v>-8.75</v>
      </c>
      <c r="AP136" s="139">
        <f t="shared" si="12"/>
        <v>-2.5051249999999925</v>
      </c>
      <c r="AQ136" s="139">
        <f t="shared" si="12"/>
        <v>7.8000000000000114</v>
      </c>
      <c r="AR136" s="8">
        <f t="shared" si="12"/>
        <v>2.0000000000000018E-2</v>
      </c>
      <c r="AS136" s="139">
        <f t="shared" si="9"/>
        <v>-3.5</v>
      </c>
      <c r="AT136" s="200" t="s">
        <v>222</v>
      </c>
      <c r="AU136" s="200" t="s">
        <v>222</v>
      </c>
      <c r="AV136" s="200" t="s">
        <v>222</v>
      </c>
      <c r="AW136" s="200" t="s">
        <v>222</v>
      </c>
      <c r="AX136" s="200" t="s">
        <v>222</v>
      </c>
      <c r="AY136" s="386">
        <v>13</v>
      </c>
      <c r="AZ136" s="312">
        <f t="shared" si="8"/>
        <v>15</v>
      </c>
      <c r="BA136" s="155">
        <f t="shared" si="8"/>
        <v>128</v>
      </c>
      <c r="BB136" s="309">
        <v>46188</v>
      </c>
      <c r="BC136" s="23" t="s">
        <v>458</v>
      </c>
      <c r="BD136" s="23"/>
    </row>
    <row r="137" spans="2:56" ht="15.5">
      <c r="B137" s="5">
        <v>7</v>
      </c>
      <c r="C137" s="39">
        <v>46188</v>
      </c>
      <c r="D137" s="302">
        <v>46190</v>
      </c>
      <c r="E137" s="133">
        <v>16</v>
      </c>
      <c r="F137" s="155">
        <v>126</v>
      </c>
      <c r="G137" s="138">
        <v>0.10775</v>
      </c>
      <c r="H137" s="8">
        <v>0.33</v>
      </c>
      <c r="I137" s="8">
        <v>0.38</v>
      </c>
      <c r="J137" s="139">
        <v>47.25</v>
      </c>
      <c r="K137" s="139">
        <v>28.9996875</v>
      </c>
      <c r="L137" s="139">
        <v>61.375</v>
      </c>
      <c r="M137" s="8">
        <v>0.21</v>
      </c>
      <c r="N137" s="140">
        <v>83.5</v>
      </c>
      <c r="O137" s="306"/>
      <c r="P137" s="140"/>
      <c r="Q137" s="140"/>
      <c r="R137" s="140"/>
      <c r="S137" s="140"/>
      <c r="T137" s="140"/>
      <c r="U137" s="140"/>
      <c r="V137" s="140"/>
      <c r="W137" s="140"/>
      <c r="X137" s="309">
        <v>46188</v>
      </c>
      <c r="Y137" s="309">
        <v>46188</v>
      </c>
      <c r="Z137" s="312">
        <v>15</v>
      </c>
      <c r="AA137" s="155">
        <v>129</v>
      </c>
      <c r="AB137" s="28">
        <v>0.10775</v>
      </c>
      <c r="AC137" s="30">
        <v>0.33</v>
      </c>
      <c r="AD137" s="30">
        <v>0.38</v>
      </c>
      <c r="AE137" s="385">
        <v>38.5</v>
      </c>
      <c r="AF137" s="385">
        <f t="shared" si="7"/>
        <v>27.81625</v>
      </c>
      <c r="AG137" s="385">
        <v>72.25</v>
      </c>
      <c r="AH137" s="23">
        <v>0.23</v>
      </c>
      <c r="AI137" s="140">
        <v>80</v>
      </c>
      <c r="AJ137" s="141" t="s">
        <v>458</v>
      </c>
      <c r="AK137" s="141"/>
      <c r="AL137" s="138">
        <f t="shared" si="13"/>
        <v>0</v>
      </c>
      <c r="AM137" s="8">
        <f t="shared" si="13"/>
        <v>0</v>
      </c>
      <c r="AN137" s="8">
        <f t="shared" si="13"/>
        <v>0</v>
      </c>
      <c r="AO137" s="139">
        <f t="shared" si="12"/>
        <v>-8.75</v>
      </c>
      <c r="AP137" s="139">
        <f t="shared" si="12"/>
        <v>-1.1834375000000001</v>
      </c>
      <c r="AQ137" s="139">
        <f t="shared" si="12"/>
        <v>10.875</v>
      </c>
      <c r="AR137" s="8">
        <f t="shared" si="12"/>
        <v>2.0000000000000018E-2</v>
      </c>
      <c r="AS137" s="139">
        <f t="shared" si="9"/>
        <v>-3.5</v>
      </c>
      <c r="AT137" s="200" t="s">
        <v>222</v>
      </c>
      <c r="AU137" s="200" t="s">
        <v>222</v>
      </c>
      <c r="AV137" s="200" t="s">
        <v>222</v>
      </c>
      <c r="AW137" s="200" t="s">
        <v>222</v>
      </c>
      <c r="AX137" s="200" t="s">
        <v>222</v>
      </c>
      <c r="AY137" s="386">
        <v>13</v>
      </c>
      <c r="AZ137" s="312">
        <f t="shared" si="8"/>
        <v>15</v>
      </c>
      <c r="BA137" s="155">
        <f t="shared" si="8"/>
        <v>129</v>
      </c>
      <c r="BB137" s="309">
        <v>46188</v>
      </c>
      <c r="BC137" s="23" t="s">
        <v>458</v>
      </c>
      <c r="BD137" s="23"/>
    </row>
    <row r="138" spans="2:56" ht="15.5">
      <c r="B138" s="5">
        <v>7</v>
      </c>
      <c r="C138" s="39">
        <v>46188</v>
      </c>
      <c r="D138" s="302">
        <v>46190</v>
      </c>
      <c r="E138" s="133">
        <v>16</v>
      </c>
      <c r="F138" s="155">
        <v>127</v>
      </c>
      <c r="G138" s="138">
        <v>0.10725</v>
      </c>
      <c r="H138" s="8">
        <v>0.34499999999999997</v>
      </c>
      <c r="I138" s="8">
        <v>0.38</v>
      </c>
      <c r="J138" s="139">
        <v>46.75</v>
      </c>
      <c r="K138" s="139">
        <v>26.250124999999997</v>
      </c>
      <c r="L138" s="139">
        <v>56.149999999999991</v>
      </c>
      <c r="M138" s="8">
        <v>0.21</v>
      </c>
      <c r="N138" s="140">
        <v>83.5</v>
      </c>
      <c r="O138" s="306">
        <v>46226</v>
      </c>
      <c r="P138" s="140"/>
      <c r="Q138" s="140"/>
      <c r="R138" s="140"/>
      <c r="S138" s="140">
        <v>47</v>
      </c>
      <c r="T138" s="140">
        <v>30.08</v>
      </c>
      <c r="U138" s="140">
        <v>64</v>
      </c>
      <c r="V138" s="140"/>
      <c r="W138" s="140" t="s">
        <v>575</v>
      </c>
      <c r="X138" s="309">
        <v>46188</v>
      </c>
      <c r="Y138" s="309">
        <v>46188</v>
      </c>
      <c r="Z138" s="312">
        <v>15</v>
      </c>
      <c r="AA138" s="155">
        <v>130</v>
      </c>
      <c r="AB138" s="28">
        <v>0.10725</v>
      </c>
      <c r="AC138" s="30">
        <v>0.34499999999999997</v>
      </c>
      <c r="AD138" s="30">
        <v>0.38</v>
      </c>
      <c r="AE138" s="385">
        <v>38</v>
      </c>
      <c r="AF138" s="385">
        <f t="shared" ref="AF138:AF199" si="14">AE138*AG138/100</f>
        <v>26.41</v>
      </c>
      <c r="AG138" s="385">
        <v>69.5</v>
      </c>
      <c r="AH138" s="23">
        <v>0.23</v>
      </c>
      <c r="AI138" s="140">
        <v>80</v>
      </c>
      <c r="AJ138" s="141" t="s">
        <v>458</v>
      </c>
      <c r="AK138" s="141"/>
      <c r="AL138" s="138">
        <f t="shared" si="13"/>
        <v>0</v>
      </c>
      <c r="AM138" s="8">
        <f t="shared" si="13"/>
        <v>0</v>
      </c>
      <c r="AN138" s="8">
        <f t="shared" si="13"/>
        <v>0</v>
      </c>
      <c r="AO138" s="139">
        <f t="shared" si="12"/>
        <v>-8.75</v>
      </c>
      <c r="AP138" s="139">
        <f t="shared" si="12"/>
        <v>0.1598750000000031</v>
      </c>
      <c r="AQ138" s="139">
        <f t="shared" si="12"/>
        <v>13.350000000000009</v>
      </c>
      <c r="AR138" s="8">
        <f t="shared" si="12"/>
        <v>2.0000000000000018E-2</v>
      </c>
      <c r="AS138" s="139">
        <f t="shared" si="9"/>
        <v>-3.5</v>
      </c>
      <c r="AT138" s="200" t="s">
        <v>222</v>
      </c>
      <c r="AU138" s="200" t="s">
        <v>222</v>
      </c>
      <c r="AV138" s="200" t="s">
        <v>222</v>
      </c>
      <c r="AW138" s="200" t="s">
        <v>222</v>
      </c>
      <c r="AX138" s="200" t="s">
        <v>222</v>
      </c>
      <c r="AY138" s="386">
        <v>13</v>
      </c>
      <c r="AZ138" s="312">
        <f t="shared" ref="AZ138:BA199" si="15">Z138</f>
        <v>15</v>
      </c>
      <c r="BA138" s="155">
        <f t="shared" si="15"/>
        <v>130</v>
      </c>
      <c r="BB138" s="309">
        <v>46188</v>
      </c>
      <c r="BC138" s="23" t="s">
        <v>458</v>
      </c>
      <c r="BD138" s="23"/>
    </row>
    <row r="139" spans="2:56" ht="15.5">
      <c r="B139" s="5">
        <v>7</v>
      </c>
      <c r="C139" s="39">
        <v>46188</v>
      </c>
      <c r="D139" s="302">
        <v>46190</v>
      </c>
      <c r="E139" s="133">
        <v>16</v>
      </c>
      <c r="F139" s="155">
        <v>128</v>
      </c>
      <c r="G139" s="138">
        <v>0.109</v>
      </c>
      <c r="H139" s="8">
        <v>0.34750000000000003</v>
      </c>
      <c r="I139" s="8">
        <v>0.35</v>
      </c>
      <c r="J139" s="139">
        <v>45</v>
      </c>
      <c r="K139" s="139">
        <v>28.248750000000005</v>
      </c>
      <c r="L139" s="139">
        <v>62.775000000000006</v>
      </c>
      <c r="M139" s="8">
        <v>0.21</v>
      </c>
      <c r="N139" s="140">
        <v>83.5</v>
      </c>
      <c r="O139" s="306"/>
      <c r="P139" s="140"/>
      <c r="Q139" s="140"/>
      <c r="R139" s="140"/>
      <c r="S139" s="140"/>
      <c r="T139" s="140"/>
      <c r="U139" s="140"/>
      <c r="V139" s="140"/>
      <c r="W139" s="140"/>
      <c r="X139" s="309">
        <v>46188</v>
      </c>
      <c r="Y139" s="309">
        <v>46189</v>
      </c>
      <c r="Z139" s="312">
        <v>16</v>
      </c>
      <c r="AA139" s="155">
        <v>131</v>
      </c>
      <c r="AB139" s="28">
        <v>0.109</v>
      </c>
      <c r="AC139" s="30">
        <v>0.34750000000000003</v>
      </c>
      <c r="AD139" s="30">
        <v>0.35</v>
      </c>
      <c r="AE139" s="385">
        <v>39</v>
      </c>
      <c r="AF139" s="385">
        <f t="shared" si="14"/>
        <v>27.3</v>
      </c>
      <c r="AG139" s="385">
        <v>70</v>
      </c>
      <c r="AH139" s="23">
        <v>0.21</v>
      </c>
      <c r="AI139" s="140">
        <v>83</v>
      </c>
      <c r="AJ139" s="141" t="s">
        <v>458</v>
      </c>
      <c r="AK139" s="141"/>
      <c r="AL139" s="138">
        <f t="shared" si="13"/>
        <v>0</v>
      </c>
      <c r="AM139" s="8">
        <f t="shared" si="13"/>
        <v>0</v>
      </c>
      <c r="AN139" s="8">
        <f t="shared" si="13"/>
        <v>0</v>
      </c>
      <c r="AO139" s="139">
        <f t="shared" si="12"/>
        <v>-6</v>
      </c>
      <c r="AP139" s="139">
        <f t="shared" si="12"/>
        <v>-0.94875000000000398</v>
      </c>
      <c r="AQ139" s="139">
        <f t="shared" si="12"/>
        <v>7.2249999999999943</v>
      </c>
      <c r="AR139" s="8">
        <f t="shared" si="12"/>
        <v>0</v>
      </c>
      <c r="AS139" s="139">
        <f t="shared" si="9"/>
        <v>-0.5</v>
      </c>
      <c r="AT139" s="200" t="s">
        <v>222</v>
      </c>
      <c r="AU139" s="200" t="s">
        <v>222</v>
      </c>
      <c r="AV139" s="200" t="s">
        <v>222</v>
      </c>
      <c r="AW139" s="200" t="s">
        <v>222</v>
      </c>
      <c r="AX139" s="200" t="s">
        <v>222</v>
      </c>
      <c r="AY139" s="386">
        <v>13</v>
      </c>
      <c r="AZ139" s="312">
        <f t="shared" si="15"/>
        <v>16</v>
      </c>
      <c r="BA139" s="155">
        <f t="shared" si="15"/>
        <v>131</v>
      </c>
      <c r="BB139" s="309">
        <v>46188</v>
      </c>
      <c r="BC139" s="23" t="s">
        <v>458</v>
      </c>
      <c r="BD139" s="23"/>
    </row>
    <row r="140" spans="2:56" ht="15.5">
      <c r="B140" s="5">
        <v>7</v>
      </c>
      <c r="C140" s="39">
        <v>46188</v>
      </c>
      <c r="D140" s="302">
        <v>46190</v>
      </c>
      <c r="E140" s="133">
        <v>17</v>
      </c>
      <c r="F140" s="155">
        <v>129</v>
      </c>
      <c r="G140" s="138">
        <v>0.106</v>
      </c>
      <c r="H140" s="8">
        <v>0.32500000000000001</v>
      </c>
      <c r="I140" s="8">
        <v>0.4</v>
      </c>
      <c r="J140" s="139">
        <v>47.75</v>
      </c>
      <c r="K140" s="139">
        <v>28.996187500000001</v>
      </c>
      <c r="L140" s="139">
        <v>60.725000000000001</v>
      </c>
      <c r="M140" s="8">
        <v>0.22</v>
      </c>
      <c r="N140" s="140">
        <v>83.5</v>
      </c>
      <c r="O140" s="306"/>
      <c r="P140" s="140"/>
      <c r="Q140" s="140"/>
      <c r="R140" s="140"/>
      <c r="S140" s="140"/>
      <c r="T140" s="140"/>
      <c r="U140" s="140"/>
      <c r="V140" s="140"/>
      <c r="W140" s="140"/>
      <c r="X140" s="309">
        <v>46188</v>
      </c>
      <c r="Y140" s="309">
        <v>46189</v>
      </c>
      <c r="Z140" s="312">
        <v>16</v>
      </c>
      <c r="AA140" s="155">
        <v>132</v>
      </c>
      <c r="AB140" s="28">
        <v>0.106</v>
      </c>
      <c r="AC140" s="30">
        <v>0.32500000000000001</v>
      </c>
      <c r="AD140" s="30">
        <v>0.4</v>
      </c>
      <c r="AE140" s="385">
        <v>40</v>
      </c>
      <c r="AF140" s="385">
        <f t="shared" si="14"/>
        <v>28.6</v>
      </c>
      <c r="AG140" s="385">
        <v>71.5</v>
      </c>
      <c r="AH140" s="23">
        <v>0.21</v>
      </c>
      <c r="AI140" s="140">
        <v>83</v>
      </c>
      <c r="AJ140" s="141" t="s">
        <v>458</v>
      </c>
      <c r="AK140" s="141"/>
      <c r="AL140" s="138">
        <f t="shared" si="13"/>
        <v>0</v>
      </c>
      <c r="AM140" s="8">
        <f t="shared" si="13"/>
        <v>0</v>
      </c>
      <c r="AN140" s="8">
        <f t="shared" si="13"/>
        <v>0</v>
      </c>
      <c r="AO140" s="139">
        <f t="shared" si="12"/>
        <v>-7.75</v>
      </c>
      <c r="AP140" s="139">
        <f t="shared" si="12"/>
        <v>-0.39618749999999991</v>
      </c>
      <c r="AQ140" s="139">
        <f t="shared" si="12"/>
        <v>10.774999999999999</v>
      </c>
      <c r="AR140" s="8">
        <f t="shared" si="12"/>
        <v>-1.0000000000000009E-2</v>
      </c>
      <c r="AS140" s="139">
        <f t="shared" si="9"/>
        <v>-0.5</v>
      </c>
      <c r="AT140" s="200" t="s">
        <v>222</v>
      </c>
      <c r="AU140" s="200" t="s">
        <v>222</v>
      </c>
      <c r="AV140" s="200" t="s">
        <v>222</v>
      </c>
      <c r="AW140" s="200" t="s">
        <v>222</v>
      </c>
      <c r="AX140" s="200" t="s">
        <v>222</v>
      </c>
      <c r="AY140" s="386">
        <v>13</v>
      </c>
      <c r="AZ140" s="312">
        <f t="shared" si="15"/>
        <v>16</v>
      </c>
      <c r="BA140" s="155">
        <f t="shared" si="15"/>
        <v>132</v>
      </c>
      <c r="BB140" s="309">
        <v>46188</v>
      </c>
      <c r="BC140" s="23" t="s">
        <v>458</v>
      </c>
      <c r="BD140" s="23"/>
    </row>
    <row r="141" spans="2:56" ht="15.5">
      <c r="B141" s="5">
        <v>7</v>
      </c>
      <c r="C141" s="39">
        <v>46188</v>
      </c>
      <c r="D141" s="302">
        <v>46190</v>
      </c>
      <c r="E141" s="133">
        <v>17</v>
      </c>
      <c r="F141" s="155">
        <v>131</v>
      </c>
      <c r="G141" s="138">
        <v>0.1125</v>
      </c>
      <c r="H141" s="8">
        <v>0.32</v>
      </c>
      <c r="I141" s="8">
        <v>0.4</v>
      </c>
      <c r="J141" s="139">
        <v>45.75</v>
      </c>
      <c r="K141" s="139">
        <v>28.742437500000001</v>
      </c>
      <c r="L141" s="139">
        <v>62.825000000000003</v>
      </c>
      <c r="M141" s="8">
        <v>0.22</v>
      </c>
      <c r="N141" s="140">
        <v>83.5</v>
      </c>
      <c r="O141" s="306"/>
      <c r="P141" s="140"/>
      <c r="Q141" s="140"/>
      <c r="R141" s="140"/>
      <c r="S141" s="140"/>
      <c r="T141" s="140"/>
      <c r="U141" s="140"/>
      <c r="V141" s="140"/>
      <c r="W141" s="140"/>
      <c r="X141" s="309">
        <v>46188</v>
      </c>
      <c r="Y141" s="309">
        <v>46189</v>
      </c>
      <c r="Z141" s="312">
        <v>16</v>
      </c>
      <c r="AA141" s="155">
        <v>133</v>
      </c>
      <c r="AB141" s="28">
        <v>0.1125</v>
      </c>
      <c r="AC141" s="30">
        <v>0.32</v>
      </c>
      <c r="AD141" s="30">
        <v>0.4</v>
      </c>
      <c r="AE141" s="385">
        <v>38.75</v>
      </c>
      <c r="AF141" s="385">
        <f t="shared" si="14"/>
        <v>28.481249999999999</v>
      </c>
      <c r="AG141" s="385">
        <v>73.5</v>
      </c>
      <c r="AH141" s="23">
        <v>0.21</v>
      </c>
      <c r="AI141" s="140">
        <v>83</v>
      </c>
      <c r="AJ141" s="141" t="s">
        <v>458</v>
      </c>
      <c r="AK141" s="141"/>
      <c r="AL141" s="138">
        <f t="shared" si="13"/>
        <v>0</v>
      </c>
      <c r="AM141" s="8">
        <f t="shared" si="13"/>
        <v>0</v>
      </c>
      <c r="AN141" s="8">
        <f t="shared" si="13"/>
        <v>0</v>
      </c>
      <c r="AO141" s="139">
        <f t="shared" si="12"/>
        <v>-7</v>
      </c>
      <c r="AP141" s="139">
        <f t="shared" si="12"/>
        <v>-0.2611875000000019</v>
      </c>
      <c r="AQ141" s="139">
        <f t="shared" si="12"/>
        <v>10.674999999999997</v>
      </c>
      <c r="AR141" s="8">
        <f t="shared" si="12"/>
        <v>-1.0000000000000009E-2</v>
      </c>
      <c r="AS141" s="139">
        <f t="shared" si="9"/>
        <v>-0.5</v>
      </c>
      <c r="AT141" s="200" t="s">
        <v>222</v>
      </c>
      <c r="AU141" s="200" t="s">
        <v>222</v>
      </c>
      <c r="AV141" s="200" t="s">
        <v>222</v>
      </c>
      <c r="AW141" s="200" t="s">
        <v>222</v>
      </c>
      <c r="AX141" s="200" t="s">
        <v>222</v>
      </c>
      <c r="AY141" s="386">
        <v>13</v>
      </c>
      <c r="AZ141" s="312">
        <f t="shared" si="15"/>
        <v>16</v>
      </c>
      <c r="BA141" s="155">
        <f t="shared" si="15"/>
        <v>133</v>
      </c>
      <c r="BB141" s="309">
        <v>46188</v>
      </c>
      <c r="BC141" s="23" t="s">
        <v>458</v>
      </c>
      <c r="BD141" s="23"/>
    </row>
    <row r="142" spans="2:56" ht="15.5">
      <c r="B142" s="5">
        <v>7</v>
      </c>
      <c r="C142" s="39">
        <v>46190</v>
      </c>
      <c r="D142" s="302">
        <v>46192</v>
      </c>
      <c r="E142" s="133">
        <v>17</v>
      </c>
      <c r="F142" s="155">
        <v>132</v>
      </c>
      <c r="G142" s="138">
        <v>0.105</v>
      </c>
      <c r="H142" s="8">
        <v>0.27750000000000002</v>
      </c>
      <c r="I142" s="8">
        <v>0.39</v>
      </c>
      <c r="J142" s="139">
        <v>45.5</v>
      </c>
      <c r="K142" s="139">
        <v>27.459249999999997</v>
      </c>
      <c r="L142" s="139">
        <v>60.349999999999994</v>
      </c>
      <c r="M142" s="8">
        <v>0.22</v>
      </c>
      <c r="N142" s="140">
        <v>83.5</v>
      </c>
      <c r="O142" s="306"/>
      <c r="P142" s="140"/>
      <c r="Q142" s="140"/>
      <c r="R142" s="140"/>
      <c r="S142" s="140"/>
      <c r="T142" s="140"/>
      <c r="U142" s="140"/>
      <c r="V142" s="140"/>
      <c r="W142" s="140"/>
      <c r="X142" s="309">
        <v>46188</v>
      </c>
      <c r="Y142" s="309">
        <v>46189</v>
      </c>
      <c r="Z142" s="312">
        <v>16</v>
      </c>
      <c r="AA142" s="155">
        <v>134</v>
      </c>
      <c r="AB142" s="28">
        <v>0.105</v>
      </c>
      <c r="AC142" s="30">
        <v>0.27750000000000002</v>
      </c>
      <c r="AD142" s="30">
        <v>0.39</v>
      </c>
      <c r="AE142" s="385">
        <v>41</v>
      </c>
      <c r="AF142" s="385">
        <f t="shared" si="14"/>
        <v>29.212499999999999</v>
      </c>
      <c r="AG142" s="385">
        <v>71.25</v>
      </c>
      <c r="AH142" s="23">
        <v>0.21</v>
      </c>
      <c r="AI142" s="140">
        <v>83</v>
      </c>
      <c r="AJ142" s="141" t="s">
        <v>458</v>
      </c>
      <c r="AK142" s="141"/>
      <c r="AL142" s="138">
        <f t="shared" si="13"/>
        <v>0</v>
      </c>
      <c r="AM142" s="8">
        <f t="shared" si="13"/>
        <v>0</v>
      </c>
      <c r="AN142" s="8">
        <f t="shared" si="13"/>
        <v>0</v>
      </c>
      <c r="AO142" s="139">
        <f t="shared" si="12"/>
        <v>-4.5</v>
      </c>
      <c r="AP142" s="139">
        <f t="shared" si="12"/>
        <v>1.7532500000000013</v>
      </c>
      <c r="AQ142" s="139">
        <f t="shared" si="12"/>
        <v>10.900000000000006</v>
      </c>
      <c r="AR142" s="8">
        <f t="shared" si="12"/>
        <v>-1.0000000000000009E-2</v>
      </c>
      <c r="AS142" s="139">
        <f t="shared" si="9"/>
        <v>-0.5</v>
      </c>
      <c r="AT142" s="200" t="s">
        <v>222</v>
      </c>
      <c r="AU142" s="200" t="s">
        <v>222</v>
      </c>
      <c r="AV142" s="200" t="s">
        <v>222</v>
      </c>
      <c r="AW142" s="200" t="s">
        <v>222</v>
      </c>
      <c r="AX142" s="200" t="s">
        <v>222</v>
      </c>
      <c r="AY142" s="386">
        <v>13</v>
      </c>
      <c r="AZ142" s="312">
        <f t="shared" si="15"/>
        <v>16</v>
      </c>
      <c r="BA142" s="155">
        <f t="shared" si="15"/>
        <v>134</v>
      </c>
      <c r="BB142" s="309">
        <v>46188</v>
      </c>
      <c r="BC142" s="23" t="s">
        <v>458</v>
      </c>
      <c r="BD142" s="23"/>
    </row>
    <row r="143" spans="2:56" ht="15.5">
      <c r="B143" s="5">
        <v>7</v>
      </c>
      <c r="C143" s="39">
        <v>46190</v>
      </c>
      <c r="D143" s="302">
        <v>46192</v>
      </c>
      <c r="E143" s="133">
        <v>17</v>
      </c>
      <c r="F143" s="155">
        <v>135</v>
      </c>
      <c r="G143" s="138">
        <v>0.108</v>
      </c>
      <c r="H143" s="8">
        <v>0.29250000000000004</v>
      </c>
      <c r="I143" s="8">
        <v>0.38</v>
      </c>
      <c r="J143" s="139">
        <v>48.25</v>
      </c>
      <c r="K143" s="139">
        <v>27.743749999999999</v>
      </c>
      <c r="L143" s="139">
        <v>57.5</v>
      </c>
      <c r="M143" s="8">
        <v>0.22</v>
      </c>
      <c r="N143" s="140">
        <v>84.5</v>
      </c>
      <c r="O143" s="306">
        <v>46226</v>
      </c>
      <c r="P143" s="140"/>
      <c r="Q143" s="140"/>
      <c r="R143" s="140"/>
      <c r="S143" s="140">
        <v>44</v>
      </c>
      <c r="T143" s="140">
        <v>26.4</v>
      </c>
      <c r="U143" s="140">
        <v>60</v>
      </c>
      <c r="V143" s="140"/>
      <c r="W143" s="140" t="s">
        <v>525</v>
      </c>
      <c r="X143" s="309">
        <v>46188</v>
      </c>
      <c r="Y143" s="309">
        <v>46189</v>
      </c>
      <c r="Z143" s="312">
        <v>16</v>
      </c>
      <c r="AA143" s="155">
        <v>135</v>
      </c>
      <c r="AB143" s="28">
        <v>0.108</v>
      </c>
      <c r="AC143" s="30">
        <v>0.29250000000000004</v>
      </c>
      <c r="AD143" s="30">
        <v>0.38</v>
      </c>
      <c r="AE143" s="385">
        <v>39</v>
      </c>
      <c r="AF143" s="385">
        <f t="shared" si="14"/>
        <v>27.982500000000002</v>
      </c>
      <c r="AG143" s="385">
        <v>71.75</v>
      </c>
      <c r="AH143" s="23">
        <v>0.21</v>
      </c>
      <c r="AI143" s="140">
        <v>83</v>
      </c>
      <c r="AJ143" s="141" t="s">
        <v>458</v>
      </c>
      <c r="AK143" s="141"/>
      <c r="AL143" s="138">
        <f t="shared" si="13"/>
        <v>0</v>
      </c>
      <c r="AM143" s="8">
        <f t="shared" si="13"/>
        <v>0</v>
      </c>
      <c r="AN143" s="8">
        <f t="shared" si="13"/>
        <v>0</v>
      </c>
      <c r="AO143" s="139">
        <f t="shared" si="12"/>
        <v>-9.25</v>
      </c>
      <c r="AP143" s="139">
        <f t="shared" si="12"/>
        <v>0.23875000000000313</v>
      </c>
      <c r="AQ143" s="139">
        <f t="shared" si="12"/>
        <v>14.25</v>
      </c>
      <c r="AR143" s="8">
        <f t="shared" si="12"/>
        <v>-1.0000000000000009E-2</v>
      </c>
      <c r="AS143" s="139">
        <f t="shared" si="9"/>
        <v>-1.5</v>
      </c>
      <c r="AT143" s="200" t="s">
        <v>222</v>
      </c>
      <c r="AU143" s="200" t="s">
        <v>222</v>
      </c>
      <c r="AV143" s="200" t="s">
        <v>222</v>
      </c>
      <c r="AW143" s="200" t="s">
        <v>222</v>
      </c>
      <c r="AX143" s="200" t="s">
        <v>222</v>
      </c>
      <c r="AY143" s="386">
        <v>13</v>
      </c>
      <c r="AZ143" s="312">
        <f t="shared" si="15"/>
        <v>16</v>
      </c>
      <c r="BA143" s="155">
        <f t="shared" si="15"/>
        <v>135</v>
      </c>
      <c r="BB143" s="309">
        <v>46188</v>
      </c>
      <c r="BC143" s="23" t="s">
        <v>458</v>
      </c>
      <c r="BD143" s="23"/>
    </row>
    <row r="144" spans="2:56" ht="15.5">
      <c r="B144" s="5">
        <v>7</v>
      </c>
      <c r="C144" s="39">
        <v>46190</v>
      </c>
      <c r="D144" s="302">
        <v>46192</v>
      </c>
      <c r="E144" s="133">
        <v>17</v>
      </c>
      <c r="F144" s="155">
        <v>136</v>
      </c>
      <c r="G144" s="138">
        <v>0.11075</v>
      </c>
      <c r="H144" s="8">
        <v>0.28500000000000003</v>
      </c>
      <c r="I144" s="8">
        <v>0.36</v>
      </c>
      <c r="J144" s="139">
        <v>46.75</v>
      </c>
      <c r="K144" s="139">
        <v>27.489000000000001</v>
      </c>
      <c r="L144" s="139">
        <v>58.8</v>
      </c>
      <c r="M144" s="8">
        <v>0.22</v>
      </c>
      <c r="N144" s="140">
        <v>84.5</v>
      </c>
      <c r="O144" s="306"/>
      <c r="P144" s="140"/>
      <c r="Q144" s="140"/>
      <c r="R144" s="140"/>
      <c r="S144" s="140"/>
      <c r="T144" s="140"/>
      <c r="U144" s="140"/>
      <c r="V144" s="140"/>
      <c r="W144" s="140"/>
      <c r="X144" s="309">
        <v>46188</v>
      </c>
      <c r="Y144" s="309">
        <v>46189</v>
      </c>
      <c r="Z144" s="312">
        <v>16</v>
      </c>
      <c r="AA144" s="155">
        <v>136</v>
      </c>
      <c r="AB144" s="28">
        <v>0.11075</v>
      </c>
      <c r="AC144" s="30">
        <v>0.28500000000000003</v>
      </c>
      <c r="AD144" s="30">
        <v>0.36</v>
      </c>
      <c r="AE144" s="385">
        <v>42</v>
      </c>
      <c r="AF144" s="385">
        <f t="shared" si="14"/>
        <v>29.82</v>
      </c>
      <c r="AG144" s="385">
        <v>71</v>
      </c>
      <c r="AH144" s="23">
        <v>0.21</v>
      </c>
      <c r="AI144" s="140">
        <v>79</v>
      </c>
      <c r="AJ144" s="141" t="s">
        <v>458</v>
      </c>
      <c r="AK144" s="141"/>
      <c r="AL144" s="138">
        <f t="shared" si="13"/>
        <v>0</v>
      </c>
      <c r="AM144" s="8">
        <f t="shared" si="13"/>
        <v>0</v>
      </c>
      <c r="AN144" s="8">
        <f t="shared" si="13"/>
        <v>0</v>
      </c>
      <c r="AO144" s="139">
        <f t="shared" si="12"/>
        <v>-4.75</v>
      </c>
      <c r="AP144" s="139">
        <f t="shared" si="12"/>
        <v>2.3309999999999995</v>
      </c>
      <c r="AQ144" s="139">
        <f t="shared" si="12"/>
        <v>12.200000000000003</v>
      </c>
      <c r="AR144" s="8">
        <f t="shared" si="12"/>
        <v>-1.0000000000000009E-2</v>
      </c>
      <c r="AS144" s="139">
        <f t="shared" si="9"/>
        <v>-5.5</v>
      </c>
      <c r="AT144" s="200" t="s">
        <v>222</v>
      </c>
      <c r="AU144" s="200" t="s">
        <v>222</v>
      </c>
      <c r="AV144" s="200" t="s">
        <v>222</v>
      </c>
      <c r="AW144" s="200" t="s">
        <v>222</v>
      </c>
      <c r="AX144" s="200" t="s">
        <v>222</v>
      </c>
      <c r="AY144" s="386">
        <v>13</v>
      </c>
      <c r="AZ144" s="312">
        <f t="shared" si="15"/>
        <v>16</v>
      </c>
      <c r="BA144" s="155">
        <f t="shared" si="15"/>
        <v>136</v>
      </c>
      <c r="BB144" s="309">
        <v>46188</v>
      </c>
      <c r="BC144" s="23" t="s">
        <v>458</v>
      </c>
      <c r="BD144" s="23"/>
    </row>
    <row r="145" spans="2:56" ht="15.5">
      <c r="B145" s="5">
        <v>7</v>
      </c>
      <c r="C145" s="39">
        <v>46190</v>
      </c>
      <c r="D145" s="302">
        <v>46192</v>
      </c>
      <c r="E145" s="133">
        <v>18</v>
      </c>
      <c r="F145" s="155">
        <v>137</v>
      </c>
      <c r="G145" s="138">
        <v>0.10625</v>
      </c>
      <c r="H145" s="8">
        <v>0.27250000000000002</v>
      </c>
      <c r="I145" s="8">
        <v>0.4</v>
      </c>
      <c r="J145" s="139">
        <v>47</v>
      </c>
      <c r="K145" s="139">
        <v>28.482000000000003</v>
      </c>
      <c r="L145" s="139">
        <v>60.6</v>
      </c>
      <c r="M145" s="8">
        <v>0.23</v>
      </c>
      <c r="N145" s="140">
        <v>81</v>
      </c>
      <c r="O145" s="306">
        <v>46226</v>
      </c>
      <c r="P145" s="140"/>
      <c r="Q145" s="140"/>
      <c r="R145" s="140"/>
      <c r="S145" s="140"/>
      <c r="T145" s="140"/>
      <c r="U145" s="140"/>
      <c r="V145" s="140"/>
      <c r="W145" s="140">
        <v>89</v>
      </c>
      <c r="X145" s="309">
        <v>46188</v>
      </c>
      <c r="Y145" s="309">
        <v>46189</v>
      </c>
      <c r="Z145" s="312">
        <v>16</v>
      </c>
      <c r="AA145" s="155">
        <v>137</v>
      </c>
      <c r="AB145" s="28">
        <v>0.10625</v>
      </c>
      <c r="AC145" s="30">
        <v>0.27250000000000002</v>
      </c>
      <c r="AD145" s="30">
        <v>0.4</v>
      </c>
      <c r="AE145" s="385">
        <v>40.25</v>
      </c>
      <c r="AF145" s="385">
        <f t="shared" si="14"/>
        <v>28.275625000000002</v>
      </c>
      <c r="AG145" s="385">
        <v>70.25</v>
      </c>
      <c r="AH145" s="23">
        <v>0.21</v>
      </c>
      <c r="AI145" s="140">
        <v>79</v>
      </c>
      <c r="AJ145" s="141" t="s">
        <v>458</v>
      </c>
      <c r="AK145" s="141"/>
      <c r="AL145" s="138">
        <f t="shared" si="13"/>
        <v>0</v>
      </c>
      <c r="AM145" s="8">
        <f t="shared" si="13"/>
        <v>0</v>
      </c>
      <c r="AN145" s="8">
        <f t="shared" si="13"/>
        <v>0</v>
      </c>
      <c r="AO145" s="139">
        <f t="shared" si="12"/>
        <v>-6.75</v>
      </c>
      <c r="AP145" s="139">
        <f t="shared" si="12"/>
        <v>-0.20637500000000131</v>
      </c>
      <c r="AQ145" s="139">
        <f t="shared" si="12"/>
        <v>9.6499999999999986</v>
      </c>
      <c r="AR145" s="8">
        <f t="shared" si="12"/>
        <v>-2.0000000000000018E-2</v>
      </c>
      <c r="AS145" s="139">
        <f t="shared" si="9"/>
        <v>-2</v>
      </c>
      <c r="AT145" s="200" t="s">
        <v>222</v>
      </c>
      <c r="AU145" s="200" t="s">
        <v>222</v>
      </c>
      <c r="AV145" s="200" t="s">
        <v>222</v>
      </c>
      <c r="AW145" s="200" t="s">
        <v>222</v>
      </c>
      <c r="AX145" s="200" t="s">
        <v>222</v>
      </c>
      <c r="AY145" s="386">
        <v>13</v>
      </c>
      <c r="AZ145" s="312">
        <f t="shared" si="15"/>
        <v>16</v>
      </c>
      <c r="BA145" s="155">
        <f t="shared" si="15"/>
        <v>137</v>
      </c>
      <c r="BB145" s="309">
        <v>46188</v>
      </c>
      <c r="BC145" s="23" t="s">
        <v>458</v>
      </c>
      <c r="BD145" s="23"/>
    </row>
    <row r="146" spans="2:56" ht="15.5">
      <c r="B146" s="5">
        <v>7</v>
      </c>
      <c r="C146" s="39">
        <v>46190</v>
      </c>
      <c r="D146" s="302">
        <v>46192</v>
      </c>
      <c r="E146" s="133">
        <v>18</v>
      </c>
      <c r="F146" s="155">
        <v>138</v>
      </c>
      <c r="G146" s="138">
        <v>0.104</v>
      </c>
      <c r="H146" s="8">
        <v>0.29500000000000004</v>
      </c>
      <c r="I146" s="8">
        <v>0.31</v>
      </c>
      <c r="J146" s="139">
        <v>46.5</v>
      </c>
      <c r="K146" s="139">
        <v>28.736999999999998</v>
      </c>
      <c r="L146" s="139">
        <v>61.8</v>
      </c>
      <c r="M146" s="8">
        <v>0.23</v>
      </c>
      <c r="N146" s="140">
        <v>81</v>
      </c>
      <c r="O146" s="306"/>
      <c r="P146" s="140"/>
      <c r="Q146" s="140"/>
      <c r="R146" s="140"/>
      <c r="S146" s="140"/>
      <c r="T146" s="140"/>
      <c r="U146" s="140"/>
      <c r="V146" s="140"/>
      <c r="W146" s="140"/>
      <c r="X146" s="309">
        <v>46188</v>
      </c>
      <c r="Y146" s="309">
        <v>46189</v>
      </c>
      <c r="Z146" s="312">
        <v>16</v>
      </c>
      <c r="AA146" s="155">
        <v>138</v>
      </c>
      <c r="AB146" s="28">
        <v>0.104</v>
      </c>
      <c r="AC146" s="30">
        <v>0.29500000000000004</v>
      </c>
      <c r="AD146" s="30">
        <v>0.31</v>
      </c>
      <c r="AE146" s="385">
        <v>38.25</v>
      </c>
      <c r="AF146" s="385">
        <f t="shared" si="14"/>
        <v>27.731249999999999</v>
      </c>
      <c r="AG146" s="385">
        <v>72.5</v>
      </c>
      <c r="AH146" s="23">
        <v>0.21</v>
      </c>
      <c r="AI146" s="140">
        <v>79</v>
      </c>
      <c r="AJ146" s="141" t="s">
        <v>458</v>
      </c>
      <c r="AK146" s="141"/>
      <c r="AL146" s="138">
        <f t="shared" si="13"/>
        <v>0</v>
      </c>
      <c r="AM146" s="8">
        <f t="shared" si="13"/>
        <v>0</v>
      </c>
      <c r="AN146" s="8">
        <f t="shared" si="13"/>
        <v>0</v>
      </c>
      <c r="AO146" s="139">
        <f t="shared" si="12"/>
        <v>-8.25</v>
      </c>
      <c r="AP146" s="139">
        <f t="shared" si="12"/>
        <v>-1.005749999999999</v>
      </c>
      <c r="AQ146" s="139">
        <f t="shared" si="12"/>
        <v>10.700000000000003</v>
      </c>
      <c r="AR146" s="8">
        <f t="shared" si="12"/>
        <v>-2.0000000000000018E-2</v>
      </c>
      <c r="AS146" s="139">
        <f t="shared" si="9"/>
        <v>-2</v>
      </c>
      <c r="AT146" s="200" t="s">
        <v>222</v>
      </c>
      <c r="AU146" s="200" t="s">
        <v>222</v>
      </c>
      <c r="AV146" s="200" t="s">
        <v>222</v>
      </c>
      <c r="AW146" s="200" t="s">
        <v>222</v>
      </c>
      <c r="AX146" s="200" t="s">
        <v>222</v>
      </c>
      <c r="AY146" s="386">
        <v>13</v>
      </c>
      <c r="AZ146" s="312">
        <f t="shared" si="15"/>
        <v>16</v>
      </c>
      <c r="BA146" s="155">
        <f t="shared" si="15"/>
        <v>138</v>
      </c>
      <c r="BB146" s="309">
        <v>46188</v>
      </c>
      <c r="BC146" s="23" t="s">
        <v>458</v>
      </c>
      <c r="BD146" s="23"/>
    </row>
    <row r="147" spans="2:56" ht="15.5">
      <c r="B147" s="5">
        <v>7</v>
      </c>
      <c r="C147" s="39">
        <v>46190</v>
      </c>
      <c r="D147" s="302">
        <v>46192</v>
      </c>
      <c r="E147" s="133">
        <v>18</v>
      </c>
      <c r="F147" s="155">
        <v>139</v>
      </c>
      <c r="G147" s="138">
        <v>0.11125</v>
      </c>
      <c r="H147" s="8">
        <v>0.29749999999999999</v>
      </c>
      <c r="I147" s="8">
        <v>0.37</v>
      </c>
      <c r="J147" s="139">
        <v>46.25</v>
      </c>
      <c r="K147" s="139">
        <v>30.247500000000006</v>
      </c>
      <c r="L147" s="139">
        <v>65.400000000000006</v>
      </c>
      <c r="M147" s="8">
        <v>0.23</v>
      </c>
      <c r="N147" s="140">
        <v>81</v>
      </c>
      <c r="O147" s="306">
        <v>46226</v>
      </c>
      <c r="P147" s="140"/>
      <c r="Q147" s="140"/>
      <c r="R147" s="140"/>
      <c r="S147" s="140"/>
      <c r="T147" s="140"/>
      <c r="U147" s="140"/>
      <c r="V147" s="140"/>
      <c r="W147" s="140">
        <v>85</v>
      </c>
      <c r="X147" s="309">
        <v>46188</v>
      </c>
      <c r="Y147" s="309">
        <v>46189</v>
      </c>
      <c r="Z147" s="312">
        <v>16</v>
      </c>
      <c r="AA147" s="155">
        <v>139</v>
      </c>
      <c r="AB147" s="28">
        <v>0.11125</v>
      </c>
      <c r="AC147" s="30">
        <v>0.29749999999999999</v>
      </c>
      <c r="AD147" s="30">
        <v>0.37</v>
      </c>
      <c r="AE147" s="385">
        <v>41</v>
      </c>
      <c r="AF147" s="385">
        <f t="shared" si="14"/>
        <v>29.212499999999999</v>
      </c>
      <c r="AG147" s="385">
        <v>71.25</v>
      </c>
      <c r="AH147" s="23">
        <v>0.21</v>
      </c>
      <c r="AI147" s="140">
        <v>79</v>
      </c>
      <c r="AJ147" s="141" t="s">
        <v>458</v>
      </c>
      <c r="AK147" s="141"/>
      <c r="AL147" s="138">
        <f t="shared" si="13"/>
        <v>0</v>
      </c>
      <c r="AM147" s="8">
        <f t="shared" si="13"/>
        <v>0</v>
      </c>
      <c r="AN147" s="8">
        <f t="shared" si="13"/>
        <v>0</v>
      </c>
      <c r="AO147" s="139">
        <f t="shared" si="12"/>
        <v>-5.25</v>
      </c>
      <c r="AP147" s="139">
        <f t="shared" si="12"/>
        <v>-1.0350000000000072</v>
      </c>
      <c r="AQ147" s="139">
        <f t="shared" si="12"/>
        <v>5.8499999999999943</v>
      </c>
      <c r="AR147" s="8">
        <f t="shared" si="12"/>
        <v>-2.0000000000000018E-2</v>
      </c>
      <c r="AS147" s="139">
        <f t="shared" si="9"/>
        <v>-2</v>
      </c>
      <c r="AT147" s="200" t="s">
        <v>222</v>
      </c>
      <c r="AU147" s="200" t="s">
        <v>222</v>
      </c>
      <c r="AV147" s="200" t="s">
        <v>222</v>
      </c>
      <c r="AW147" s="200" t="s">
        <v>222</v>
      </c>
      <c r="AX147" s="200" t="s">
        <v>222</v>
      </c>
      <c r="AY147" s="386">
        <v>13</v>
      </c>
      <c r="AZ147" s="312">
        <f t="shared" si="15"/>
        <v>16</v>
      </c>
      <c r="BA147" s="155">
        <f t="shared" si="15"/>
        <v>139</v>
      </c>
      <c r="BB147" s="309">
        <v>46188</v>
      </c>
      <c r="BC147" s="23" t="s">
        <v>458</v>
      </c>
      <c r="BD147" s="23"/>
    </row>
    <row r="148" spans="2:56" ht="15.5">
      <c r="B148" s="5">
        <v>7</v>
      </c>
      <c r="C148" s="39">
        <v>46190</v>
      </c>
      <c r="D148" s="302">
        <v>46192</v>
      </c>
      <c r="E148" s="133">
        <v>18</v>
      </c>
      <c r="F148" s="155">
        <v>140</v>
      </c>
      <c r="G148" s="138">
        <v>0.1095</v>
      </c>
      <c r="H148" s="8">
        <v>0.29250000000000004</v>
      </c>
      <c r="I148" s="8">
        <v>0.37</v>
      </c>
      <c r="J148" s="139">
        <v>45.25</v>
      </c>
      <c r="K148" s="139">
        <v>29.819750000000003</v>
      </c>
      <c r="L148" s="139">
        <v>65.900000000000006</v>
      </c>
      <c r="M148" s="8">
        <v>0.23</v>
      </c>
      <c r="N148" s="140">
        <v>81</v>
      </c>
      <c r="O148" s="306"/>
      <c r="P148" s="140"/>
      <c r="Q148" s="140"/>
      <c r="R148" s="140"/>
      <c r="S148" s="140"/>
      <c r="T148" s="140"/>
      <c r="U148" s="140"/>
      <c r="V148" s="140"/>
      <c r="W148" s="140"/>
      <c r="X148" s="309">
        <v>46188</v>
      </c>
      <c r="Y148" s="309">
        <v>46189</v>
      </c>
      <c r="Z148" s="312">
        <v>16</v>
      </c>
      <c r="AA148" s="155">
        <v>140</v>
      </c>
      <c r="AB148" s="28">
        <v>0.1095</v>
      </c>
      <c r="AC148" s="30">
        <v>0.29250000000000004</v>
      </c>
      <c r="AD148" s="30">
        <v>0.37</v>
      </c>
      <c r="AE148" s="385">
        <v>40</v>
      </c>
      <c r="AF148" s="385">
        <f t="shared" si="14"/>
        <v>28.1</v>
      </c>
      <c r="AG148" s="385">
        <v>70.25</v>
      </c>
      <c r="AH148" s="23">
        <v>0.21</v>
      </c>
      <c r="AI148" s="140">
        <v>79</v>
      </c>
      <c r="AJ148" s="141" t="s">
        <v>458</v>
      </c>
      <c r="AK148" s="141"/>
      <c r="AL148" s="138">
        <f t="shared" si="13"/>
        <v>0</v>
      </c>
      <c r="AM148" s="8">
        <f t="shared" si="13"/>
        <v>0</v>
      </c>
      <c r="AN148" s="8">
        <f t="shared" si="13"/>
        <v>0</v>
      </c>
      <c r="AO148" s="139">
        <f t="shared" si="12"/>
        <v>-5.25</v>
      </c>
      <c r="AP148" s="139">
        <f t="shared" si="12"/>
        <v>-1.7197500000000012</v>
      </c>
      <c r="AQ148" s="139">
        <f t="shared" si="12"/>
        <v>4.3499999999999943</v>
      </c>
      <c r="AR148" s="8">
        <f t="shared" si="12"/>
        <v>-2.0000000000000018E-2</v>
      </c>
      <c r="AS148" s="139">
        <f t="shared" si="9"/>
        <v>-2</v>
      </c>
      <c r="AT148" s="200" t="s">
        <v>222</v>
      </c>
      <c r="AU148" s="200" t="s">
        <v>222</v>
      </c>
      <c r="AV148" s="200" t="s">
        <v>222</v>
      </c>
      <c r="AW148" s="200" t="s">
        <v>222</v>
      </c>
      <c r="AX148" s="200" t="s">
        <v>222</v>
      </c>
      <c r="AY148" s="386">
        <v>13</v>
      </c>
      <c r="AZ148" s="312">
        <f t="shared" si="15"/>
        <v>16</v>
      </c>
      <c r="BA148" s="155">
        <f t="shared" si="15"/>
        <v>140</v>
      </c>
      <c r="BB148" s="309">
        <v>46188</v>
      </c>
      <c r="BC148" s="23" t="s">
        <v>458</v>
      </c>
      <c r="BD148" s="23"/>
    </row>
    <row r="149" spans="2:56" ht="15.5">
      <c r="B149" s="5">
        <v>6</v>
      </c>
      <c r="C149" s="39">
        <v>46184</v>
      </c>
      <c r="D149" s="302">
        <v>46186</v>
      </c>
      <c r="E149" s="133">
        <v>15</v>
      </c>
      <c r="F149" s="155">
        <v>120</v>
      </c>
      <c r="G149" s="138">
        <v>0.114</v>
      </c>
      <c r="H149" s="8">
        <v>0.3125</v>
      </c>
      <c r="I149" s="8">
        <v>0.31</v>
      </c>
      <c r="J149" s="139">
        <v>42.75</v>
      </c>
      <c r="K149" s="139">
        <v>24.5278125</v>
      </c>
      <c r="L149" s="139">
        <v>57.375</v>
      </c>
      <c r="M149" s="8">
        <v>0.2</v>
      </c>
      <c r="N149" s="140">
        <v>83</v>
      </c>
      <c r="O149" s="306"/>
      <c r="P149" s="140"/>
      <c r="Q149" s="140"/>
      <c r="R149" s="140"/>
      <c r="S149" s="140"/>
      <c r="T149" s="140"/>
      <c r="U149" s="140"/>
      <c r="V149" s="140"/>
      <c r="W149" s="140"/>
      <c r="X149" s="309">
        <v>46191</v>
      </c>
      <c r="Y149" s="309">
        <v>46191</v>
      </c>
      <c r="Z149" s="312">
        <v>17</v>
      </c>
      <c r="AA149" s="155">
        <v>141</v>
      </c>
      <c r="AB149" s="28">
        <v>0.114</v>
      </c>
      <c r="AC149" s="30">
        <v>0.3125</v>
      </c>
      <c r="AD149" s="30">
        <v>0.31</v>
      </c>
      <c r="AE149" s="385">
        <v>39.75</v>
      </c>
      <c r="AF149" s="385">
        <f t="shared" si="14"/>
        <v>28.02375</v>
      </c>
      <c r="AG149" s="385">
        <v>70.5</v>
      </c>
      <c r="AH149" s="30">
        <v>0.2</v>
      </c>
      <c r="AI149" s="140">
        <v>79</v>
      </c>
      <c r="AJ149" s="141" t="s">
        <v>458</v>
      </c>
      <c r="AK149" s="141"/>
      <c r="AL149" s="138">
        <f t="shared" si="13"/>
        <v>0</v>
      </c>
      <c r="AM149" s="8">
        <f t="shared" si="13"/>
        <v>0</v>
      </c>
      <c r="AN149" s="8">
        <f t="shared" si="13"/>
        <v>0</v>
      </c>
      <c r="AO149" s="139">
        <f t="shared" si="12"/>
        <v>-3</v>
      </c>
      <c r="AP149" s="139">
        <f t="shared" si="12"/>
        <v>3.4959375000000001</v>
      </c>
      <c r="AQ149" s="139">
        <f t="shared" si="12"/>
        <v>13.125</v>
      </c>
      <c r="AR149" s="8">
        <f t="shared" si="12"/>
        <v>0</v>
      </c>
      <c r="AS149" s="139">
        <f t="shared" si="9"/>
        <v>-4</v>
      </c>
      <c r="AT149" s="200" t="s">
        <v>222</v>
      </c>
      <c r="AU149" s="200" t="s">
        <v>222</v>
      </c>
      <c r="AV149" s="200" t="s">
        <v>222</v>
      </c>
      <c r="AW149" s="200" t="s">
        <v>222</v>
      </c>
      <c r="AX149" s="200" t="s">
        <v>222</v>
      </c>
      <c r="AY149" s="386">
        <v>14</v>
      </c>
      <c r="AZ149" s="312">
        <f t="shared" si="15"/>
        <v>17</v>
      </c>
      <c r="BA149" s="155">
        <f t="shared" si="15"/>
        <v>141</v>
      </c>
      <c r="BB149" s="309">
        <v>46191</v>
      </c>
      <c r="BC149" s="23" t="s">
        <v>458</v>
      </c>
      <c r="BD149" s="23"/>
    </row>
    <row r="150" spans="2:56" ht="15.5">
      <c r="B150" s="5">
        <v>7</v>
      </c>
      <c r="C150" s="39">
        <v>46191</v>
      </c>
      <c r="D150" s="302">
        <v>46193</v>
      </c>
      <c r="E150" s="133">
        <v>18</v>
      </c>
      <c r="F150" s="155">
        <v>143</v>
      </c>
      <c r="G150" s="138">
        <v>0.1075</v>
      </c>
      <c r="H150" s="8">
        <v>0.3175</v>
      </c>
      <c r="I150" s="8">
        <v>0.38</v>
      </c>
      <c r="J150" s="139">
        <v>45.25</v>
      </c>
      <c r="K150" s="139">
        <v>28.484875000000002</v>
      </c>
      <c r="L150" s="139">
        <v>62.95</v>
      </c>
      <c r="M150" s="8">
        <v>0.23</v>
      </c>
      <c r="N150" s="140">
        <v>83.5</v>
      </c>
      <c r="O150" s="306">
        <v>46226</v>
      </c>
      <c r="P150" s="140"/>
      <c r="Q150" s="140"/>
      <c r="R150" s="140"/>
      <c r="S150" s="140"/>
      <c r="T150" s="140"/>
      <c r="U150" s="140"/>
      <c r="V150" s="140"/>
      <c r="W150" s="140" t="s">
        <v>578</v>
      </c>
      <c r="X150" s="309">
        <v>46191</v>
      </c>
      <c r="Y150" s="309">
        <v>46191</v>
      </c>
      <c r="Z150" s="312">
        <v>17</v>
      </c>
      <c r="AA150" s="155">
        <v>142</v>
      </c>
      <c r="AB150" s="28">
        <v>0.1075</v>
      </c>
      <c r="AC150" s="30">
        <v>0.3175</v>
      </c>
      <c r="AD150" s="30">
        <v>0.38</v>
      </c>
      <c r="AE150" s="385">
        <v>41.25</v>
      </c>
      <c r="AF150" s="385">
        <f t="shared" si="14"/>
        <v>28.771875000000001</v>
      </c>
      <c r="AG150" s="385">
        <v>69.75</v>
      </c>
      <c r="AH150" s="30">
        <v>0.2</v>
      </c>
      <c r="AI150" s="140">
        <v>79</v>
      </c>
      <c r="AJ150" s="141" t="s">
        <v>458</v>
      </c>
      <c r="AK150" s="141"/>
      <c r="AL150" s="138">
        <f t="shared" si="13"/>
        <v>0</v>
      </c>
      <c r="AM150" s="8">
        <f t="shared" si="13"/>
        <v>0</v>
      </c>
      <c r="AN150" s="8">
        <f t="shared" si="13"/>
        <v>0</v>
      </c>
      <c r="AO150" s="139">
        <f t="shared" si="12"/>
        <v>-4</v>
      </c>
      <c r="AP150" s="139">
        <f t="shared" si="12"/>
        <v>0.28699999999999903</v>
      </c>
      <c r="AQ150" s="139">
        <f t="shared" si="12"/>
        <v>6.7999999999999972</v>
      </c>
      <c r="AR150" s="8">
        <f t="shared" si="12"/>
        <v>-0.03</v>
      </c>
      <c r="AS150" s="139">
        <f t="shared" si="12"/>
        <v>-4.5</v>
      </c>
      <c r="AT150" s="200" t="s">
        <v>222</v>
      </c>
      <c r="AU150" s="200" t="s">
        <v>222</v>
      </c>
      <c r="AV150" s="200" t="s">
        <v>222</v>
      </c>
      <c r="AW150" s="200" t="s">
        <v>222</v>
      </c>
      <c r="AX150" s="200" t="s">
        <v>222</v>
      </c>
      <c r="AY150" s="386">
        <v>14</v>
      </c>
      <c r="AZ150" s="312">
        <f t="shared" si="15"/>
        <v>17</v>
      </c>
      <c r="BA150" s="155">
        <f t="shared" si="15"/>
        <v>142</v>
      </c>
      <c r="BB150" s="309">
        <v>46191</v>
      </c>
      <c r="BC150" s="23" t="s">
        <v>458</v>
      </c>
      <c r="BD150" s="23"/>
    </row>
    <row r="151" spans="2:56" ht="15.5">
      <c r="B151" s="5">
        <v>7</v>
      </c>
      <c r="C151" s="39">
        <v>46191</v>
      </c>
      <c r="D151" s="302">
        <v>46193</v>
      </c>
      <c r="E151" s="133">
        <v>18</v>
      </c>
      <c r="F151" s="155">
        <v>144</v>
      </c>
      <c r="G151" s="138">
        <v>0.105</v>
      </c>
      <c r="H151" s="8">
        <v>0.33500000000000002</v>
      </c>
      <c r="I151" s="8">
        <v>0.32</v>
      </c>
      <c r="J151" s="139">
        <v>45.25</v>
      </c>
      <c r="K151" s="139">
        <v>29.978124999999999</v>
      </c>
      <c r="L151" s="139">
        <v>66.25</v>
      </c>
      <c r="M151" s="8">
        <v>0.23</v>
      </c>
      <c r="N151" s="140">
        <v>83.5</v>
      </c>
      <c r="O151" s="306">
        <v>46226</v>
      </c>
      <c r="P151" s="140"/>
      <c r="Q151" s="140"/>
      <c r="R151" s="140"/>
      <c r="S151" s="140"/>
      <c r="T151" s="140"/>
      <c r="U151" s="140"/>
      <c r="V151" s="140"/>
      <c r="W151" s="140" t="s">
        <v>579</v>
      </c>
      <c r="X151" s="309">
        <v>46191</v>
      </c>
      <c r="Y151" s="309">
        <v>46191</v>
      </c>
      <c r="Z151" s="312">
        <v>17</v>
      </c>
      <c r="AA151" s="155">
        <v>143</v>
      </c>
      <c r="AB151" s="28">
        <v>0.105</v>
      </c>
      <c r="AC151" s="30">
        <v>0.33500000000000002</v>
      </c>
      <c r="AD151" s="30">
        <v>0.32</v>
      </c>
      <c r="AE151" s="385">
        <v>42</v>
      </c>
      <c r="AF151" s="385">
        <f t="shared" si="14"/>
        <v>28.98</v>
      </c>
      <c r="AG151" s="385">
        <v>69</v>
      </c>
      <c r="AH151" s="30">
        <v>0.2</v>
      </c>
      <c r="AI151" s="140">
        <v>79</v>
      </c>
      <c r="AJ151" s="141" t="s">
        <v>458</v>
      </c>
      <c r="AK151" s="141"/>
      <c r="AL151" s="138">
        <f t="shared" si="13"/>
        <v>0</v>
      </c>
      <c r="AM151" s="8">
        <f t="shared" si="13"/>
        <v>0</v>
      </c>
      <c r="AN151" s="8">
        <f t="shared" si="13"/>
        <v>0</v>
      </c>
      <c r="AO151" s="139">
        <f t="shared" si="12"/>
        <v>-3.25</v>
      </c>
      <c r="AP151" s="139">
        <f t="shared" si="12"/>
        <v>-0.99812499999999815</v>
      </c>
      <c r="AQ151" s="139">
        <f t="shared" si="12"/>
        <v>2.75</v>
      </c>
      <c r="AR151" s="8">
        <f t="shared" si="12"/>
        <v>-0.03</v>
      </c>
      <c r="AS151" s="139">
        <f t="shared" si="12"/>
        <v>-4.5</v>
      </c>
      <c r="AT151" s="200" t="s">
        <v>222</v>
      </c>
      <c r="AU151" s="200" t="s">
        <v>222</v>
      </c>
      <c r="AV151" s="200" t="s">
        <v>222</v>
      </c>
      <c r="AW151" s="200" t="s">
        <v>222</v>
      </c>
      <c r="AX151" s="200" t="s">
        <v>222</v>
      </c>
      <c r="AY151" s="386">
        <v>14</v>
      </c>
      <c r="AZ151" s="312">
        <f t="shared" si="15"/>
        <v>17</v>
      </c>
      <c r="BA151" s="155">
        <f t="shared" si="15"/>
        <v>143</v>
      </c>
      <c r="BB151" s="309">
        <v>46191</v>
      </c>
      <c r="BC151" s="23" t="s">
        <v>458</v>
      </c>
      <c r="BD151" s="23"/>
    </row>
    <row r="152" spans="2:56" ht="15.5">
      <c r="B152" s="5">
        <v>7</v>
      </c>
      <c r="C152" s="39">
        <v>46191</v>
      </c>
      <c r="D152" s="302">
        <v>46193</v>
      </c>
      <c r="E152" s="133">
        <v>19</v>
      </c>
      <c r="F152" s="155">
        <v>145</v>
      </c>
      <c r="G152" s="138">
        <v>0.10625</v>
      </c>
      <c r="H152" s="8">
        <v>0.29499999999999998</v>
      </c>
      <c r="I152" s="8">
        <v>0.3</v>
      </c>
      <c r="J152" s="139">
        <v>42.75</v>
      </c>
      <c r="K152" s="139">
        <v>27.263812500000004</v>
      </c>
      <c r="L152" s="139">
        <v>63.775000000000006</v>
      </c>
      <c r="M152" s="8">
        <v>0.24</v>
      </c>
      <c r="N152" s="140">
        <v>78</v>
      </c>
      <c r="O152" s="306"/>
      <c r="P152" s="140"/>
      <c r="Q152" s="140"/>
      <c r="R152" s="140"/>
      <c r="S152" s="140"/>
      <c r="T152" s="140"/>
      <c r="U152" s="140"/>
      <c r="V152" s="140"/>
      <c r="W152" s="140"/>
      <c r="X152" s="309">
        <v>46191</v>
      </c>
      <c r="Y152" s="309">
        <v>46191</v>
      </c>
      <c r="Z152" s="312">
        <v>17</v>
      </c>
      <c r="AA152" s="155">
        <v>144</v>
      </c>
      <c r="AB152" s="28">
        <v>0.10625</v>
      </c>
      <c r="AC152" s="30">
        <v>0.29499999999999998</v>
      </c>
      <c r="AD152" s="30">
        <v>0.3</v>
      </c>
      <c r="AE152" s="385">
        <v>40.25</v>
      </c>
      <c r="AF152" s="385">
        <f t="shared" si="14"/>
        <v>28.879375</v>
      </c>
      <c r="AG152" s="385">
        <v>71.75</v>
      </c>
      <c r="AH152" s="30">
        <v>0.2</v>
      </c>
      <c r="AI152" s="140">
        <v>79</v>
      </c>
      <c r="AJ152" s="141" t="s">
        <v>458</v>
      </c>
      <c r="AK152" s="141"/>
      <c r="AL152" s="138">
        <f t="shared" si="13"/>
        <v>0</v>
      </c>
      <c r="AM152" s="8">
        <f t="shared" si="13"/>
        <v>0</v>
      </c>
      <c r="AN152" s="8">
        <f t="shared" si="13"/>
        <v>0</v>
      </c>
      <c r="AO152" s="139">
        <f t="shared" si="12"/>
        <v>-2.5</v>
      </c>
      <c r="AP152" s="139">
        <f t="shared" si="12"/>
        <v>1.6155624999999958</v>
      </c>
      <c r="AQ152" s="139">
        <f t="shared" si="12"/>
        <v>7.9749999999999943</v>
      </c>
      <c r="AR152" s="8">
        <f t="shared" si="12"/>
        <v>-3.999999999999998E-2</v>
      </c>
      <c r="AS152" s="139">
        <f t="shared" si="12"/>
        <v>1</v>
      </c>
      <c r="AT152" s="200" t="s">
        <v>222</v>
      </c>
      <c r="AU152" s="200" t="s">
        <v>222</v>
      </c>
      <c r="AV152" s="200" t="s">
        <v>222</v>
      </c>
      <c r="AW152" s="200" t="s">
        <v>222</v>
      </c>
      <c r="AX152" s="200" t="s">
        <v>222</v>
      </c>
      <c r="AY152" s="386">
        <v>14</v>
      </c>
      <c r="AZ152" s="312">
        <f t="shared" si="15"/>
        <v>17</v>
      </c>
      <c r="BA152" s="155">
        <f t="shared" si="15"/>
        <v>144</v>
      </c>
      <c r="BB152" s="309">
        <v>46191</v>
      </c>
      <c r="BC152" s="23" t="s">
        <v>458</v>
      </c>
      <c r="BD152" s="23"/>
    </row>
    <row r="153" spans="2:56" ht="15.5">
      <c r="B153" s="5">
        <v>7</v>
      </c>
      <c r="C153" s="39">
        <v>46191</v>
      </c>
      <c r="D153" s="302">
        <v>46193</v>
      </c>
      <c r="E153" s="133">
        <v>19</v>
      </c>
      <c r="F153" s="155">
        <v>146</v>
      </c>
      <c r="G153" s="138">
        <v>0.108</v>
      </c>
      <c r="H153" s="8">
        <v>0.29250000000000004</v>
      </c>
      <c r="I153" s="8">
        <v>0.32</v>
      </c>
      <c r="J153" s="139">
        <v>45.75</v>
      </c>
      <c r="K153" s="139">
        <v>29.485874999999997</v>
      </c>
      <c r="L153" s="139">
        <v>64.449999999999989</v>
      </c>
      <c r="M153" s="8">
        <v>0.24</v>
      </c>
      <c r="N153" s="140">
        <v>78</v>
      </c>
      <c r="O153" s="306">
        <v>46226</v>
      </c>
      <c r="P153" s="140"/>
      <c r="Q153" s="140"/>
      <c r="R153" s="140"/>
      <c r="S153" s="140"/>
      <c r="T153" s="140"/>
      <c r="U153" s="140"/>
      <c r="V153" s="140"/>
      <c r="W153" s="140">
        <v>86</v>
      </c>
      <c r="X153" s="309">
        <v>46191</v>
      </c>
      <c r="Y153" s="309">
        <v>46191</v>
      </c>
      <c r="Z153" s="312">
        <v>17</v>
      </c>
      <c r="AA153" s="155">
        <v>145</v>
      </c>
      <c r="AB153" s="28">
        <v>0.108</v>
      </c>
      <c r="AC153" s="30">
        <v>0.29250000000000004</v>
      </c>
      <c r="AD153" s="30">
        <v>0.32</v>
      </c>
      <c r="AE153" s="385">
        <v>38.75</v>
      </c>
      <c r="AF153" s="385">
        <f t="shared" si="14"/>
        <v>27.996874999999999</v>
      </c>
      <c r="AG153" s="385">
        <v>72.25</v>
      </c>
      <c r="AH153" s="30">
        <v>0.2</v>
      </c>
      <c r="AI153" s="140">
        <v>79</v>
      </c>
      <c r="AJ153" s="141" t="s">
        <v>458</v>
      </c>
      <c r="AK153" s="141"/>
      <c r="AL153" s="138">
        <f t="shared" si="13"/>
        <v>0</v>
      </c>
      <c r="AM153" s="8">
        <f t="shared" si="13"/>
        <v>0</v>
      </c>
      <c r="AN153" s="8">
        <f t="shared" si="13"/>
        <v>0</v>
      </c>
      <c r="AO153" s="139">
        <f t="shared" si="12"/>
        <v>-7</v>
      </c>
      <c r="AP153" s="139">
        <f t="shared" si="12"/>
        <v>-1.4889999999999972</v>
      </c>
      <c r="AQ153" s="139">
        <f t="shared" si="12"/>
        <v>7.8000000000000114</v>
      </c>
      <c r="AR153" s="8">
        <f t="shared" si="12"/>
        <v>-3.999999999999998E-2</v>
      </c>
      <c r="AS153" s="139">
        <f t="shared" si="12"/>
        <v>1</v>
      </c>
      <c r="AT153" s="200" t="s">
        <v>222</v>
      </c>
      <c r="AU153" s="200" t="s">
        <v>222</v>
      </c>
      <c r="AV153" s="200" t="s">
        <v>222</v>
      </c>
      <c r="AW153" s="200" t="s">
        <v>222</v>
      </c>
      <c r="AX153" s="200" t="s">
        <v>222</v>
      </c>
      <c r="AY153" s="386">
        <v>14</v>
      </c>
      <c r="AZ153" s="312">
        <f t="shared" si="15"/>
        <v>17</v>
      </c>
      <c r="BA153" s="155">
        <f t="shared" si="15"/>
        <v>145</v>
      </c>
      <c r="BB153" s="309">
        <v>46191</v>
      </c>
      <c r="BC153" s="23" t="s">
        <v>458</v>
      </c>
      <c r="BD153" s="23"/>
    </row>
    <row r="154" spans="2:56" ht="15.5">
      <c r="B154" s="5">
        <v>7</v>
      </c>
      <c r="C154" s="39">
        <v>46191</v>
      </c>
      <c r="D154" s="302">
        <v>46193</v>
      </c>
      <c r="E154" s="133">
        <v>19</v>
      </c>
      <c r="F154" s="155">
        <v>147</v>
      </c>
      <c r="G154" s="138">
        <v>0.1085</v>
      </c>
      <c r="H154" s="8">
        <v>0.31</v>
      </c>
      <c r="I154" s="8">
        <v>0.3</v>
      </c>
      <c r="J154" s="139">
        <v>45.5</v>
      </c>
      <c r="K154" s="139">
        <v>29.233750000000001</v>
      </c>
      <c r="L154" s="139">
        <v>64.25</v>
      </c>
      <c r="M154" s="8">
        <v>0.24</v>
      </c>
      <c r="N154" s="140">
        <v>78</v>
      </c>
      <c r="O154" s="306">
        <v>46226</v>
      </c>
      <c r="P154" s="140"/>
      <c r="Q154" s="140"/>
      <c r="R154" s="140"/>
      <c r="S154" s="140"/>
      <c r="T154" s="140"/>
      <c r="U154" s="140"/>
      <c r="V154" s="140"/>
      <c r="W154" s="140">
        <v>83</v>
      </c>
      <c r="X154" s="309">
        <v>46191</v>
      </c>
      <c r="Y154" s="309">
        <v>46191</v>
      </c>
      <c r="Z154" s="312">
        <v>17</v>
      </c>
      <c r="AA154" s="155">
        <v>146</v>
      </c>
      <c r="AB154" s="28">
        <v>0.1085</v>
      </c>
      <c r="AC154" s="30">
        <v>0.31</v>
      </c>
      <c r="AD154" s="30">
        <v>0.3</v>
      </c>
      <c r="AE154" s="385">
        <v>40.5</v>
      </c>
      <c r="AF154" s="385">
        <f t="shared" si="14"/>
        <v>28.552499999999998</v>
      </c>
      <c r="AG154" s="385">
        <v>70.5</v>
      </c>
      <c r="AH154" s="30">
        <v>0.2</v>
      </c>
      <c r="AI154" s="140">
        <v>80</v>
      </c>
      <c r="AJ154" s="141" t="s">
        <v>458</v>
      </c>
      <c r="AK154" s="141"/>
      <c r="AL154" s="138">
        <f t="shared" si="13"/>
        <v>0</v>
      </c>
      <c r="AM154" s="8">
        <f t="shared" si="13"/>
        <v>0</v>
      </c>
      <c r="AN154" s="8">
        <f t="shared" si="13"/>
        <v>0</v>
      </c>
      <c r="AO154" s="139">
        <f t="shared" si="12"/>
        <v>-5</v>
      </c>
      <c r="AP154" s="139">
        <f t="shared" si="12"/>
        <v>-0.68125000000000213</v>
      </c>
      <c r="AQ154" s="139">
        <f t="shared" si="12"/>
        <v>6.25</v>
      </c>
      <c r="AR154" s="8">
        <f t="shared" si="12"/>
        <v>-3.999999999999998E-2</v>
      </c>
      <c r="AS154" s="139">
        <f t="shared" si="12"/>
        <v>2</v>
      </c>
      <c r="AT154" s="200" t="s">
        <v>222</v>
      </c>
      <c r="AU154" s="200" t="s">
        <v>222</v>
      </c>
      <c r="AV154" s="200" t="s">
        <v>222</v>
      </c>
      <c r="AW154" s="200" t="s">
        <v>222</v>
      </c>
      <c r="AX154" s="200" t="s">
        <v>222</v>
      </c>
      <c r="AY154" s="386">
        <v>14</v>
      </c>
      <c r="AZ154" s="312">
        <f t="shared" si="15"/>
        <v>17</v>
      </c>
      <c r="BA154" s="155">
        <f t="shared" si="15"/>
        <v>146</v>
      </c>
      <c r="BB154" s="309">
        <v>46191</v>
      </c>
      <c r="BC154" s="23" t="s">
        <v>458</v>
      </c>
      <c r="BD154" s="23"/>
    </row>
    <row r="155" spans="2:56" ht="15.5">
      <c r="B155" s="5">
        <v>7</v>
      </c>
      <c r="C155" s="39">
        <v>46191</v>
      </c>
      <c r="D155" s="302">
        <v>46193</v>
      </c>
      <c r="E155" s="133">
        <v>19</v>
      </c>
      <c r="F155" s="155">
        <v>149</v>
      </c>
      <c r="G155" s="138">
        <v>0.105</v>
      </c>
      <c r="H155" s="8">
        <v>0.3</v>
      </c>
      <c r="I155" s="8">
        <v>0.34</v>
      </c>
      <c r="J155" s="139">
        <v>43.75</v>
      </c>
      <c r="K155" s="139">
        <v>27.792187500000001</v>
      </c>
      <c r="L155" s="139">
        <v>63.524999999999999</v>
      </c>
      <c r="M155" s="8">
        <v>0.24</v>
      </c>
      <c r="N155" s="140">
        <v>84.5</v>
      </c>
      <c r="O155" s="306">
        <v>46212</v>
      </c>
      <c r="P155" s="140"/>
      <c r="Q155" s="140"/>
      <c r="R155" s="140"/>
      <c r="S155" s="140"/>
      <c r="T155" s="140"/>
      <c r="U155" s="140"/>
      <c r="V155" s="140"/>
      <c r="W155" s="140">
        <v>81.5</v>
      </c>
      <c r="X155" s="309">
        <v>46191</v>
      </c>
      <c r="Y155" s="309">
        <v>46191</v>
      </c>
      <c r="Z155" s="312">
        <v>17</v>
      </c>
      <c r="AA155" s="155">
        <v>147</v>
      </c>
      <c r="AB155" s="28">
        <v>0.105</v>
      </c>
      <c r="AC155" s="30">
        <v>0.3</v>
      </c>
      <c r="AD155" s="30">
        <v>0.34</v>
      </c>
      <c r="AE155" s="385">
        <v>39.25</v>
      </c>
      <c r="AF155" s="385">
        <f t="shared" si="14"/>
        <v>28.554375</v>
      </c>
      <c r="AG155" s="385">
        <v>72.75</v>
      </c>
      <c r="AH155" s="30">
        <v>0.2</v>
      </c>
      <c r="AI155" s="140">
        <v>80</v>
      </c>
      <c r="AJ155" s="141" t="s">
        <v>458</v>
      </c>
      <c r="AK155" s="141"/>
      <c r="AL155" s="138">
        <f t="shared" si="13"/>
        <v>0</v>
      </c>
      <c r="AM155" s="8">
        <f t="shared" si="13"/>
        <v>0</v>
      </c>
      <c r="AN155" s="8">
        <f t="shared" si="13"/>
        <v>0</v>
      </c>
      <c r="AO155" s="139">
        <f t="shared" si="12"/>
        <v>-4.5</v>
      </c>
      <c r="AP155" s="139">
        <f t="shared" si="12"/>
        <v>0.76218749999999957</v>
      </c>
      <c r="AQ155" s="139">
        <f t="shared" si="12"/>
        <v>9.2250000000000014</v>
      </c>
      <c r="AR155" s="8">
        <f t="shared" si="12"/>
        <v>-3.999999999999998E-2</v>
      </c>
      <c r="AS155" s="139">
        <f t="shared" si="12"/>
        <v>-4.5</v>
      </c>
      <c r="AT155" s="200" t="s">
        <v>222</v>
      </c>
      <c r="AU155" s="200" t="s">
        <v>222</v>
      </c>
      <c r="AV155" s="200" t="s">
        <v>222</v>
      </c>
      <c r="AW155" s="200" t="s">
        <v>222</v>
      </c>
      <c r="AX155" s="200" t="s">
        <v>222</v>
      </c>
      <c r="AY155" s="386">
        <v>14</v>
      </c>
      <c r="AZ155" s="312">
        <f t="shared" si="15"/>
        <v>17</v>
      </c>
      <c r="BA155" s="155">
        <f t="shared" si="15"/>
        <v>147</v>
      </c>
      <c r="BB155" s="309">
        <v>46191</v>
      </c>
      <c r="BC155" s="23" t="s">
        <v>458</v>
      </c>
      <c r="BD155" s="23"/>
    </row>
    <row r="156" spans="2:56" ht="15.5">
      <c r="B156" s="5">
        <v>7</v>
      </c>
      <c r="C156" s="39">
        <v>46191</v>
      </c>
      <c r="D156" s="302">
        <v>46193</v>
      </c>
      <c r="E156" s="133">
        <v>19</v>
      </c>
      <c r="F156" s="155">
        <v>150</v>
      </c>
      <c r="G156" s="138">
        <v>0.10375</v>
      </c>
      <c r="H156" s="8">
        <v>0.27500000000000002</v>
      </c>
      <c r="I156" s="8">
        <v>0.32</v>
      </c>
      <c r="J156" s="139">
        <v>45</v>
      </c>
      <c r="K156" s="139">
        <v>27.4725</v>
      </c>
      <c r="L156" s="139">
        <v>61.05</v>
      </c>
      <c r="M156" s="8">
        <v>0.24</v>
      </c>
      <c r="N156" s="140">
        <v>84.5</v>
      </c>
      <c r="O156" s="306">
        <v>46226</v>
      </c>
      <c r="P156" s="140"/>
      <c r="Q156" s="140"/>
      <c r="R156" s="140"/>
      <c r="S156" s="140"/>
      <c r="T156" s="140"/>
      <c r="U156" s="140"/>
      <c r="V156" s="140"/>
      <c r="W156" s="140">
        <v>92</v>
      </c>
      <c r="X156" s="309">
        <v>46191</v>
      </c>
      <c r="Y156" s="309">
        <v>46191</v>
      </c>
      <c r="Z156" s="312">
        <v>17</v>
      </c>
      <c r="AA156" s="155">
        <v>148</v>
      </c>
      <c r="AB156" s="28">
        <v>0.10375</v>
      </c>
      <c r="AC156" s="30">
        <v>0.27500000000000002</v>
      </c>
      <c r="AD156" s="30">
        <v>0.32</v>
      </c>
      <c r="AE156" s="385">
        <v>40.25</v>
      </c>
      <c r="AF156" s="385">
        <f t="shared" si="14"/>
        <v>28.074375</v>
      </c>
      <c r="AG156" s="385">
        <v>69.75</v>
      </c>
      <c r="AH156" s="30">
        <v>0.2</v>
      </c>
      <c r="AI156" s="140">
        <v>80</v>
      </c>
      <c r="AJ156" s="141" t="s">
        <v>458</v>
      </c>
      <c r="AK156" s="141"/>
      <c r="AL156" s="138">
        <f t="shared" si="13"/>
        <v>0</v>
      </c>
      <c r="AM156" s="8">
        <f t="shared" si="13"/>
        <v>0</v>
      </c>
      <c r="AN156" s="8">
        <f t="shared" si="13"/>
        <v>0</v>
      </c>
      <c r="AO156" s="139">
        <f t="shared" si="12"/>
        <v>-4.75</v>
      </c>
      <c r="AP156" s="139">
        <f t="shared" si="12"/>
        <v>0.60187499999999972</v>
      </c>
      <c r="AQ156" s="139">
        <f t="shared" si="12"/>
        <v>8.7000000000000028</v>
      </c>
      <c r="AR156" s="8">
        <f t="shared" si="12"/>
        <v>-3.999999999999998E-2</v>
      </c>
      <c r="AS156" s="139">
        <f t="shared" si="12"/>
        <v>-4.5</v>
      </c>
      <c r="AT156" s="200" t="s">
        <v>222</v>
      </c>
      <c r="AU156" s="200" t="s">
        <v>222</v>
      </c>
      <c r="AV156" s="200" t="s">
        <v>222</v>
      </c>
      <c r="AW156" s="200" t="s">
        <v>222</v>
      </c>
      <c r="AX156" s="200" t="s">
        <v>222</v>
      </c>
      <c r="AY156" s="386">
        <v>14</v>
      </c>
      <c r="AZ156" s="312">
        <f t="shared" si="15"/>
        <v>17</v>
      </c>
      <c r="BA156" s="155">
        <f t="shared" si="15"/>
        <v>148</v>
      </c>
      <c r="BB156" s="309">
        <v>46191</v>
      </c>
      <c r="BC156" s="23" t="s">
        <v>458</v>
      </c>
      <c r="BD156" s="23"/>
    </row>
    <row r="157" spans="2:56" ht="15.5">
      <c r="B157" s="5">
        <v>7</v>
      </c>
      <c r="C157" s="39">
        <v>46192</v>
      </c>
      <c r="D157" s="302">
        <v>46194</v>
      </c>
      <c r="E157" s="133">
        <v>19</v>
      </c>
      <c r="F157" s="155">
        <v>151</v>
      </c>
      <c r="G157" s="138">
        <v>0.1075</v>
      </c>
      <c r="H157" s="8">
        <v>0.36500000000000005</v>
      </c>
      <c r="I157" s="8">
        <v>0.31</v>
      </c>
      <c r="J157" s="139">
        <v>46.5</v>
      </c>
      <c r="K157" s="139">
        <v>30.225000000000001</v>
      </c>
      <c r="L157" s="139">
        <v>65</v>
      </c>
      <c r="M157" s="8">
        <v>0.24</v>
      </c>
      <c r="N157" s="140">
        <v>84.5</v>
      </c>
      <c r="O157" s="306">
        <v>46226</v>
      </c>
      <c r="P157" s="140"/>
      <c r="Q157" s="140"/>
      <c r="R157" s="140"/>
      <c r="S157" s="140"/>
      <c r="T157" s="140"/>
      <c r="U157" s="140"/>
      <c r="V157" s="140"/>
      <c r="W157" s="140" t="s">
        <v>580</v>
      </c>
      <c r="X157" s="309">
        <v>46191</v>
      </c>
      <c r="Y157" s="309">
        <v>46191</v>
      </c>
      <c r="Z157" s="312">
        <v>17</v>
      </c>
      <c r="AA157" s="155">
        <v>149</v>
      </c>
      <c r="AB157" s="28">
        <v>0.1075</v>
      </c>
      <c r="AC157" s="30">
        <v>0.36500000000000005</v>
      </c>
      <c r="AD157" s="30">
        <v>0.31</v>
      </c>
      <c r="AE157" s="385">
        <v>38.5</v>
      </c>
      <c r="AF157" s="385">
        <f t="shared" si="14"/>
        <v>28.008749999999999</v>
      </c>
      <c r="AG157" s="385">
        <v>72.75</v>
      </c>
      <c r="AH157" s="30">
        <v>0.2</v>
      </c>
      <c r="AI157" s="140">
        <v>80</v>
      </c>
      <c r="AJ157" s="141" t="s">
        <v>458</v>
      </c>
      <c r="AK157" s="141"/>
      <c r="AL157" s="138">
        <f t="shared" si="13"/>
        <v>0</v>
      </c>
      <c r="AM157" s="8">
        <f t="shared" si="13"/>
        <v>0</v>
      </c>
      <c r="AN157" s="8">
        <f t="shared" si="13"/>
        <v>0</v>
      </c>
      <c r="AO157" s="139">
        <f t="shared" si="12"/>
        <v>-8</v>
      </c>
      <c r="AP157" s="139">
        <f t="shared" si="12"/>
        <v>-2.2162500000000023</v>
      </c>
      <c r="AQ157" s="139">
        <f t="shared" si="12"/>
        <v>7.75</v>
      </c>
      <c r="AR157" s="8">
        <f t="shared" si="12"/>
        <v>-3.999999999999998E-2</v>
      </c>
      <c r="AS157" s="139">
        <f t="shared" si="12"/>
        <v>-4.5</v>
      </c>
      <c r="AT157" s="200" t="s">
        <v>222</v>
      </c>
      <c r="AU157" s="200" t="s">
        <v>222</v>
      </c>
      <c r="AV157" s="200" t="s">
        <v>222</v>
      </c>
      <c r="AW157" s="200" t="s">
        <v>222</v>
      </c>
      <c r="AX157" s="200" t="s">
        <v>222</v>
      </c>
      <c r="AY157" s="386">
        <v>14</v>
      </c>
      <c r="AZ157" s="312">
        <f t="shared" si="15"/>
        <v>17</v>
      </c>
      <c r="BA157" s="155">
        <f t="shared" si="15"/>
        <v>149</v>
      </c>
      <c r="BB157" s="309">
        <v>46191</v>
      </c>
      <c r="BC157" s="23" t="s">
        <v>458</v>
      </c>
      <c r="BD157" s="23"/>
    </row>
    <row r="158" spans="2:56" ht="15.5">
      <c r="B158" s="5">
        <v>7</v>
      </c>
      <c r="C158" s="39">
        <v>46192</v>
      </c>
      <c r="D158" s="302">
        <v>46194</v>
      </c>
      <c r="E158" s="133">
        <v>19</v>
      </c>
      <c r="F158" s="155">
        <v>152</v>
      </c>
      <c r="G158" s="138">
        <v>0.10825</v>
      </c>
      <c r="H158" s="8">
        <v>0.36</v>
      </c>
      <c r="I158" s="8">
        <v>0.4</v>
      </c>
      <c r="J158" s="139">
        <v>45.75</v>
      </c>
      <c r="K158" s="139">
        <v>29.154187500000003</v>
      </c>
      <c r="L158" s="139">
        <v>63.725000000000009</v>
      </c>
      <c r="M158" s="8">
        <v>0.24</v>
      </c>
      <c r="N158" s="140">
        <v>84.5</v>
      </c>
      <c r="O158" s="306">
        <v>46226</v>
      </c>
      <c r="P158" s="140"/>
      <c r="Q158" s="140"/>
      <c r="R158" s="140"/>
      <c r="S158" s="140"/>
      <c r="T158" s="140"/>
      <c r="U158" s="140"/>
      <c r="V158" s="140"/>
      <c r="W158" s="140">
        <v>82</v>
      </c>
      <c r="X158" s="309">
        <v>46191</v>
      </c>
      <c r="Y158" s="309">
        <v>46191</v>
      </c>
      <c r="Z158" s="312">
        <v>17</v>
      </c>
      <c r="AA158" s="155">
        <v>150</v>
      </c>
      <c r="AB158" s="28">
        <v>0.10825</v>
      </c>
      <c r="AC158" s="30">
        <v>0.36</v>
      </c>
      <c r="AD158" s="30">
        <v>0.4</v>
      </c>
      <c r="AE158" s="385">
        <v>40</v>
      </c>
      <c r="AF158" s="385">
        <f t="shared" si="14"/>
        <v>28</v>
      </c>
      <c r="AG158" s="385">
        <v>70</v>
      </c>
      <c r="AH158" s="30">
        <v>0.2</v>
      </c>
      <c r="AI158" s="140">
        <v>80</v>
      </c>
      <c r="AJ158" s="141" t="s">
        <v>458</v>
      </c>
      <c r="AK158" s="141"/>
      <c r="AL158" s="138">
        <f t="shared" si="13"/>
        <v>0</v>
      </c>
      <c r="AM158" s="8">
        <f t="shared" si="13"/>
        <v>0</v>
      </c>
      <c r="AN158" s="8">
        <f t="shared" si="13"/>
        <v>0</v>
      </c>
      <c r="AO158" s="139">
        <f t="shared" si="12"/>
        <v>-5.75</v>
      </c>
      <c r="AP158" s="139">
        <f t="shared" si="12"/>
        <v>-1.1541875000000026</v>
      </c>
      <c r="AQ158" s="139">
        <f t="shared" si="12"/>
        <v>6.2749999999999915</v>
      </c>
      <c r="AR158" s="8">
        <f t="shared" si="12"/>
        <v>-3.999999999999998E-2</v>
      </c>
      <c r="AS158" s="139">
        <f t="shared" si="12"/>
        <v>-4.5</v>
      </c>
      <c r="AT158" s="200" t="s">
        <v>222</v>
      </c>
      <c r="AU158" s="200" t="s">
        <v>222</v>
      </c>
      <c r="AV158" s="200" t="s">
        <v>222</v>
      </c>
      <c r="AW158" s="200" t="s">
        <v>222</v>
      </c>
      <c r="AX158" s="200" t="s">
        <v>222</v>
      </c>
      <c r="AY158" s="386">
        <v>14</v>
      </c>
      <c r="AZ158" s="312">
        <f t="shared" si="15"/>
        <v>17</v>
      </c>
      <c r="BA158" s="155">
        <f t="shared" si="15"/>
        <v>150</v>
      </c>
      <c r="BB158" s="309">
        <v>46191</v>
      </c>
      <c r="BC158" s="23" t="s">
        <v>458</v>
      </c>
      <c r="BD158" s="23"/>
    </row>
    <row r="159" spans="2:56" ht="15.5">
      <c r="B159" s="5">
        <v>2</v>
      </c>
      <c r="C159" s="39">
        <v>46220</v>
      </c>
      <c r="D159" s="302">
        <v>46221</v>
      </c>
      <c r="E159" s="133">
        <v>23</v>
      </c>
      <c r="F159" s="155">
        <v>184</v>
      </c>
      <c r="G159" s="138">
        <v>3.7000000000000005E-2</v>
      </c>
      <c r="H159" s="8">
        <v>0.37750000000000006</v>
      </c>
      <c r="I159" s="8">
        <v>0.19</v>
      </c>
      <c r="J159" s="139">
        <v>35.5</v>
      </c>
      <c r="K159" s="139">
        <v>26.713750000000001</v>
      </c>
      <c r="L159" s="139">
        <v>75.25</v>
      </c>
      <c r="M159" s="8">
        <v>0.23</v>
      </c>
      <c r="N159" s="140">
        <v>74</v>
      </c>
      <c r="O159" s="306"/>
      <c r="P159" s="140"/>
      <c r="Q159" s="140"/>
      <c r="R159" s="140"/>
      <c r="S159" s="140"/>
      <c r="T159" s="140"/>
      <c r="U159" s="140"/>
      <c r="V159" s="140"/>
      <c r="W159" s="140"/>
      <c r="X159" s="309">
        <v>46191</v>
      </c>
      <c r="Y159" s="309">
        <v>46192</v>
      </c>
      <c r="Z159" s="312">
        <v>18</v>
      </c>
      <c r="AA159" s="155">
        <v>151</v>
      </c>
      <c r="AB159" s="28">
        <v>3.7000000000000005E-2</v>
      </c>
      <c r="AC159" s="30">
        <v>0.37750000000000006</v>
      </c>
      <c r="AD159" s="30">
        <v>0.19</v>
      </c>
      <c r="AE159" s="385">
        <v>33.75</v>
      </c>
      <c r="AF159" s="385">
        <f t="shared" si="14"/>
        <v>24.131250000000001</v>
      </c>
      <c r="AG159" s="385">
        <v>71.5</v>
      </c>
      <c r="AH159" s="23">
        <v>0.23</v>
      </c>
      <c r="AI159" s="140">
        <v>74</v>
      </c>
      <c r="AJ159" s="141" t="s">
        <v>458</v>
      </c>
      <c r="AK159" s="141"/>
      <c r="AL159" s="138">
        <f t="shared" si="13"/>
        <v>0</v>
      </c>
      <c r="AM159" s="8">
        <f t="shared" si="13"/>
        <v>0</v>
      </c>
      <c r="AN159" s="8">
        <f t="shared" si="13"/>
        <v>0</v>
      </c>
      <c r="AO159" s="139">
        <f t="shared" si="12"/>
        <v>-1.75</v>
      </c>
      <c r="AP159" s="139">
        <f t="shared" si="12"/>
        <v>-2.5824999999999996</v>
      </c>
      <c r="AQ159" s="139">
        <f t="shared" si="12"/>
        <v>-3.75</v>
      </c>
      <c r="AR159" s="8">
        <f t="shared" si="12"/>
        <v>0</v>
      </c>
      <c r="AS159" s="139">
        <f t="shared" si="12"/>
        <v>0</v>
      </c>
      <c r="AT159" s="200" t="s">
        <v>222</v>
      </c>
      <c r="AU159" s="200" t="s">
        <v>222</v>
      </c>
      <c r="AV159" s="200" t="s">
        <v>222</v>
      </c>
      <c r="AW159" s="200" t="s">
        <v>222</v>
      </c>
      <c r="AX159" s="200" t="s">
        <v>222</v>
      </c>
      <c r="AY159" s="386">
        <v>14</v>
      </c>
      <c r="AZ159" s="312">
        <f t="shared" si="15"/>
        <v>18</v>
      </c>
      <c r="BA159" s="155">
        <f t="shared" si="15"/>
        <v>151</v>
      </c>
      <c r="BB159" s="309">
        <v>46191</v>
      </c>
      <c r="BC159" s="23" t="s">
        <v>458</v>
      </c>
      <c r="BD159" s="23"/>
    </row>
    <row r="160" spans="2:56" ht="15.5">
      <c r="B160" s="5">
        <v>7</v>
      </c>
      <c r="C160" s="39">
        <v>46192</v>
      </c>
      <c r="D160" s="302">
        <v>46194</v>
      </c>
      <c r="E160" s="133">
        <v>20</v>
      </c>
      <c r="F160" s="155">
        <v>154</v>
      </c>
      <c r="G160" s="138">
        <v>0.10875</v>
      </c>
      <c r="H160" s="8">
        <v>0.35250000000000004</v>
      </c>
      <c r="I160" s="8">
        <v>0.35</v>
      </c>
      <c r="J160" s="139">
        <v>44.5</v>
      </c>
      <c r="K160" s="139">
        <v>26.766750000000002</v>
      </c>
      <c r="L160" s="139">
        <v>60.150000000000006</v>
      </c>
      <c r="M160" s="8">
        <v>0.22</v>
      </c>
      <c r="N160" s="140">
        <v>81</v>
      </c>
      <c r="O160" s="306">
        <v>46226</v>
      </c>
      <c r="P160" s="140"/>
      <c r="Q160" s="140"/>
      <c r="R160" s="140"/>
      <c r="S160" s="140"/>
      <c r="T160" s="140"/>
      <c r="U160" s="140"/>
      <c r="V160" s="140"/>
      <c r="W160" s="140">
        <v>89</v>
      </c>
      <c r="X160" s="309">
        <v>46191</v>
      </c>
      <c r="Y160" s="309">
        <v>46192</v>
      </c>
      <c r="Z160" s="312">
        <v>18</v>
      </c>
      <c r="AA160" s="155">
        <v>152</v>
      </c>
      <c r="AB160" s="28">
        <v>0.10825</v>
      </c>
      <c r="AC160" s="30">
        <v>0.36</v>
      </c>
      <c r="AD160" s="30">
        <v>0.4</v>
      </c>
      <c r="AE160" s="385">
        <v>40</v>
      </c>
      <c r="AF160" s="385">
        <f t="shared" si="14"/>
        <v>28</v>
      </c>
      <c r="AG160" s="385">
        <v>70</v>
      </c>
      <c r="AH160" s="23">
        <v>0.23</v>
      </c>
      <c r="AI160" s="140">
        <v>74</v>
      </c>
      <c r="AJ160" s="141" t="s">
        <v>458</v>
      </c>
      <c r="AK160" s="141"/>
      <c r="AL160" s="138">
        <f t="shared" si="13"/>
        <v>-5.0000000000000044E-4</v>
      </c>
      <c r="AM160" s="8">
        <f t="shared" si="13"/>
        <v>7.4999999999999512E-3</v>
      </c>
      <c r="AN160" s="8">
        <f t="shared" si="13"/>
        <v>5.0000000000000044E-2</v>
      </c>
      <c r="AO160" s="139">
        <f t="shared" si="12"/>
        <v>-4.5</v>
      </c>
      <c r="AP160" s="139">
        <f t="shared" si="12"/>
        <v>1.2332499999999982</v>
      </c>
      <c r="AQ160" s="139">
        <f t="shared" si="12"/>
        <v>9.8499999999999943</v>
      </c>
      <c r="AR160" s="8">
        <f t="shared" si="12"/>
        <v>1.0000000000000009E-2</v>
      </c>
      <c r="AS160" s="139">
        <f t="shared" si="12"/>
        <v>-7</v>
      </c>
      <c r="AT160" s="200" t="s">
        <v>222</v>
      </c>
      <c r="AU160" s="200" t="s">
        <v>222</v>
      </c>
      <c r="AV160" s="200" t="s">
        <v>222</v>
      </c>
      <c r="AW160" s="200" t="s">
        <v>222</v>
      </c>
      <c r="AX160" s="200" t="s">
        <v>222</v>
      </c>
      <c r="AY160" s="386">
        <v>14</v>
      </c>
      <c r="AZ160" s="312">
        <f t="shared" si="15"/>
        <v>18</v>
      </c>
      <c r="BA160" s="155">
        <f t="shared" si="15"/>
        <v>152</v>
      </c>
      <c r="BB160" s="309">
        <v>46191</v>
      </c>
      <c r="BC160" s="23" t="s">
        <v>458</v>
      </c>
      <c r="BD160" s="23"/>
    </row>
    <row r="161" spans="2:56" ht="15.5">
      <c r="B161" s="5">
        <v>7</v>
      </c>
      <c r="C161" s="39">
        <v>46192</v>
      </c>
      <c r="D161" s="302">
        <v>46194</v>
      </c>
      <c r="E161" s="133">
        <v>20</v>
      </c>
      <c r="F161" s="155">
        <v>155</v>
      </c>
      <c r="G161" s="138">
        <v>0.11</v>
      </c>
      <c r="H161" s="8">
        <v>0.37</v>
      </c>
      <c r="I161" s="8">
        <v>0.37</v>
      </c>
      <c r="J161" s="139">
        <v>41.25</v>
      </c>
      <c r="K161" s="139">
        <v>27.771562500000002</v>
      </c>
      <c r="L161" s="139">
        <v>67.325000000000003</v>
      </c>
      <c r="M161" s="8">
        <v>0.22</v>
      </c>
      <c r="N161" s="140">
        <v>81</v>
      </c>
      <c r="O161" s="306">
        <v>46226</v>
      </c>
      <c r="P161" s="140"/>
      <c r="Q161" s="140"/>
      <c r="R161" s="140"/>
      <c r="S161" s="140"/>
      <c r="T161" s="140"/>
      <c r="U161" s="140"/>
      <c r="V161" s="140"/>
      <c r="W161" s="140">
        <v>85</v>
      </c>
      <c r="X161" s="309">
        <v>46191</v>
      </c>
      <c r="Y161" s="309">
        <v>46192</v>
      </c>
      <c r="Z161" s="312">
        <v>18</v>
      </c>
      <c r="AA161" s="155">
        <v>153</v>
      </c>
      <c r="AB161" s="28">
        <v>0.11</v>
      </c>
      <c r="AC161" s="30">
        <v>0.37</v>
      </c>
      <c r="AD161" s="30">
        <v>0.37</v>
      </c>
      <c r="AE161" s="385">
        <v>40.75</v>
      </c>
      <c r="AF161" s="385">
        <f t="shared" si="14"/>
        <v>30.053125000000001</v>
      </c>
      <c r="AG161" s="385">
        <v>73.75</v>
      </c>
      <c r="AH161" s="23">
        <v>0.23</v>
      </c>
      <c r="AI161" s="140">
        <v>74</v>
      </c>
      <c r="AJ161" s="141" t="s">
        <v>458</v>
      </c>
      <c r="AK161" s="141"/>
      <c r="AL161" s="138">
        <f t="shared" si="13"/>
        <v>0</v>
      </c>
      <c r="AM161" s="8">
        <f t="shared" si="13"/>
        <v>0</v>
      </c>
      <c r="AN161" s="8">
        <f t="shared" si="13"/>
        <v>0</v>
      </c>
      <c r="AO161" s="139">
        <f t="shared" si="12"/>
        <v>-0.5</v>
      </c>
      <c r="AP161" s="139">
        <f t="shared" si="12"/>
        <v>2.2815624999999997</v>
      </c>
      <c r="AQ161" s="139">
        <f t="shared" si="12"/>
        <v>6.4249999999999972</v>
      </c>
      <c r="AR161" s="8">
        <f t="shared" si="12"/>
        <v>1.0000000000000009E-2</v>
      </c>
      <c r="AS161" s="139">
        <f t="shared" si="12"/>
        <v>-7</v>
      </c>
      <c r="AT161" s="200" t="s">
        <v>222</v>
      </c>
      <c r="AU161" s="200" t="s">
        <v>222</v>
      </c>
      <c r="AV161" s="200" t="s">
        <v>222</v>
      </c>
      <c r="AW161" s="200" t="s">
        <v>222</v>
      </c>
      <c r="AX161" s="200" t="s">
        <v>222</v>
      </c>
      <c r="AY161" s="386">
        <v>14</v>
      </c>
      <c r="AZ161" s="312">
        <f t="shared" si="15"/>
        <v>18</v>
      </c>
      <c r="BA161" s="155">
        <f t="shared" si="15"/>
        <v>153</v>
      </c>
      <c r="BB161" s="309">
        <v>46191</v>
      </c>
      <c r="BC161" s="23" t="s">
        <v>458</v>
      </c>
      <c r="BD161" s="23"/>
    </row>
    <row r="162" spans="2:56" ht="15.5">
      <c r="B162" s="5">
        <v>1</v>
      </c>
      <c r="C162" s="39">
        <v>46218</v>
      </c>
      <c r="D162" s="302">
        <v>46219</v>
      </c>
      <c r="E162" s="133">
        <v>21</v>
      </c>
      <c r="F162" s="155">
        <v>166</v>
      </c>
      <c r="G162" s="138">
        <v>7.0500000000000007E-2</v>
      </c>
      <c r="H162" s="8">
        <v>0.24</v>
      </c>
      <c r="I162" s="8">
        <v>0.46</v>
      </c>
      <c r="J162" s="139">
        <v>36.5</v>
      </c>
      <c r="K162" s="139">
        <v>26.462499999999999</v>
      </c>
      <c r="L162" s="139">
        <v>72.5</v>
      </c>
      <c r="M162" s="8">
        <v>0.22</v>
      </c>
      <c r="N162" s="140">
        <v>66</v>
      </c>
      <c r="O162" s="306"/>
      <c r="P162" s="140"/>
      <c r="Q162" s="140"/>
      <c r="R162" s="140"/>
      <c r="S162" s="140"/>
      <c r="T162" s="140"/>
      <c r="U162" s="140"/>
      <c r="V162" s="140"/>
      <c r="W162" s="140"/>
      <c r="X162" s="309">
        <v>46191</v>
      </c>
      <c r="Y162" s="309">
        <v>46192</v>
      </c>
      <c r="Z162" s="312">
        <v>18</v>
      </c>
      <c r="AA162" s="155">
        <v>154</v>
      </c>
      <c r="AB162" s="28">
        <v>7.0500000000000007E-2</v>
      </c>
      <c r="AC162" s="30">
        <v>0.24</v>
      </c>
      <c r="AD162" s="30">
        <v>0.46</v>
      </c>
      <c r="AE162" s="385">
        <v>33.75</v>
      </c>
      <c r="AF162" s="385">
        <f t="shared" si="14"/>
        <v>24.806249999999999</v>
      </c>
      <c r="AG162" s="385">
        <v>73.5</v>
      </c>
      <c r="AH162" s="23">
        <v>0.23</v>
      </c>
      <c r="AI162" s="140">
        <v>74</v>
      </c>
      <c r="AJ162" s="141" t="s">
        <v>458</v>
      </c>
      <c r="AK162" s="141"/>
      <c r="AL162" s="138">
        <f t="shared" si="13"/>
        <v>0</v>
      </c>
      <c r="AM162" s="8">
        <f t="shared" si="13"/>
        <v>0</v>
      </c>
      <c r="AN162" s="8">
        <f t="shared" si="13"/>
        <v>0</v>
      </c>
      <c r="AO162" s="139">
        <f t="shared" si="12"/>
        <v>-2.75</v>
      </c>
      <c r="AP162" s="139">
        <f t="shared" si="12"/>
        <v>-1.65625</v>
      </c>
      <c r="AQ162" s="139">
        <f t="shared" si="12"/>
        <v>1</v>
      </c>
      <c r="AR162" s="8">
        <f t="shared" si="12"/>
        <v>1.0000000000000009E-2</v>
      </c>
      <c r="AS162" s="139">
        <f t="shared" si="12"/>
        <v>8</v>
      </c>
      <c r="AT162" s="200" t="s">
        <v>222</v>
      </c>
      <c r="AU162" s="200" t="s">
        <v>222</v>
      </c>
      <c r="AV162" s="200" t="s">
        <v>222</v>
      </c>
      <c r="AW162" s="200" t="s">
        <v>222</v>
      </c>
      <c r="AX162" s="200" t="s">
        <v>222</v>
      </c>
      <c r="AY162" s="386">
        <v>14</v>
      </c>
      <c r="AZ162" s="312">
        <f t="shared" si="15"/>
        <v>18</v>
      </c>
      <c r="BA162" s="155">
        <f t="shared" si="15"/>
        <v>154</v>
      </c>
      <c r="BB162" s="309">
        <v>46191</v>
      </c>
      <c r="BC162" s="23" t="s">
        <v>458</v>
      </c>
      <c r="BD162" s="23"/>
    </row>
    <row r="163" spans="2:56" ht="15.5">
      <c r="B163" s="5">
        <v>1</v>
      </c>
      <c r="C163" s="39">
        <v>46214</v>
      </c>
      <c r="D163" s="302">
        <v>46216</v>
      </c>
      <c r="E163" s="133">
        <v>20</v>
      </c>
      <c r="F163" s="155">
        <v>160</v>
      </c>
      <c r="G163" s="138">
        <v>6.1249999999999999E-2</v>
      </c>
      <c r="H163" s="8">
        <v>0.315</v>
      </c>
      <c r="I163" s="8">
        <v>0.37</v>
      </c>
      <c r="J163" s="139">
        <v>38.25</v>
      </c>
      <c r="K163" s="139">
        <v>27.500253036437247</v>
      </c>
      <c r="L163" s="139">
        <v>71.896086369770586</v>
      </c>
      <c r="M163" s="8">
        <v>0.22</v>
      </c>
      <c r="N163" s="140">
        <v>84.5</v>
      </c>
      <c r="O163" s="306"/>
      <c r="P163" s="140"/>
      <c r="Q163" s="140"/>
      <c r="R163" s="140"/>
      <c r="S163" s="140"/>
      <c r="T163" s="140"/>
      <c r="U163" s="140"/>
      <c r="V163" s="140"/>
      <c r="W163" s="140"/>
      <c r="X163" s="309">
        <v>46191</v>
      </c>
      <c r="Y163" s="309">
        <v>46192</v>
      </c>
      <c r="Z163" s="312">
        <v>18</v>
      </c>
      <c r="AA163" s="155">
        <v>155</v>
      </c>
      <c r="AB163" s="28">
        <v>6.1249999999999999E-2</v>
      </c>
      <c r="AC163" s="30">
        <v>0.315</v>
      </c>
      <c r="AD163" s="30">
        <v>0.37</v>
      </c>
      <c r="AE163" s="385">
        <v>37.25</v>
      </c>
      <c r="AF163" s="385">
        <f t="shared" si="14"/>
        <v>26.447500000000002</v>
      </c>
      <c r="AG163" s="385">
        <v>71</v>
      </c>
      <c r="AH163" s="23">
        <v>0.23</v>
      </c>
      <c r="AI163" s="140">
        <v>74</v>
      </c>
      <c r="AJ163" s="141" t="s">
        <v>458</v>
      </c>
      <c r="AK163" s="141"/>
      <c r="AL163" s="138">
        <f t="shared" si="13"/>
        <v>0</v>
      </c>
      <c r="AM163" s="8">
        <f t="shared" si="13"/>
        <v>0</v>
      </c>
      <c r="AN163" s="8">
        <f t="shared" si="13"/>
        <v>0</v>
      </c>
      <c r="AO163" s="139">
        <f t="shared" si="12"/>
        <v>-1</v>
      </c>
      <c r="AP163" s="139">
        <f t="shared" si="12"/>
        <v>-1.0527530364372453</v>
      </c>
      <c r="AQ163" s="139">
        <f t="shared" si="12"/>
        <v>-0.89608636977058609</v>
      </c>
      <c r="AR163" s="8">
        <f t="shared" si="12"/>
        <v>1.0000000000000009E-2</v>
      </c>
      <c r="AS163" s="139">
        <f t="shared" si="12"/>
        <v>-10.5</v>
      </c>
      <c r="AT163" s="200" t="s">
        <v>222</v>
      </c>
      <c r="AU163" s="200" t="s">
        <v>222</v>
      </c>
      <c r="AV163" s="200" t="s">
        <v>222</v>
      </c>
      <c r="AW163" s="200" t="s">
        <v>222</v>
      </c>
      <c r="AX163" s="200" t="s">
        <v>222</v>
      </c>
      <c r="AY163" s="386">
        <v>14</v>
      </c>
      <c r="AZ163" s="312">
        <f t="shared" si="15"/>
        <v>18</v>
      </c>
      <c r="BA163" s="155">
        <f t="shared" si="15"/>
        <v>155</v>
      </c>
      <c r="BB163" s="309">
        <v>46191</v>
      </c>
      <c r="BC163" s="23" t="s">
        <v>458</v>
      </c>
      <c r="BD163" s="23"/>
    </row>
    <row r="164" spans="2:56" ht="15.5">
      <c r="B164" s="5">
        <v>1</v>
      </c>
      <c r="C164" s="39">
        <v>46214</v>
      </c>
      <c r="D164" s="302">
        <v>46216</v>
      </c>
      <c r="E164" s="133">
        <v>21</v>
      </c>
      <c r="F164" s="155">
        <v>161</v>
      </c>
      <c r="G164" s="138">
        <v>9.0749999999999997E-2</v>
      </c>
      <c r="H164" s="8">
        <v>0.315</v>
      </c>
      <c r="I164" s="8">
        <v>0.14000000000000001</v>
      </c>
      <c r="J164" s="139">
        <v>37.25</v>
      </c>
      <c r="K164" s="139">
        <v>26.726875</v>
      </c>
      <c r="L164" s="139">
        <v>71.75</v>
      </c>
      <c r="M164" s="8">
        <v>0.22</v>
      </c>
      <c r="N164" s="140">
        <v>68.5</v>
      </c>
      <c r="O164" s="306"/>
      <c r="P164" s="140"/>
      <c r="Q164" s="140"/>
      <c r="R164" s="140"/>
      <c r="S164" s="140"/>
      <c r="T164" s="140"/>
      <c r="U164" s="140"/>
      <c r="V164" s="140"/>
      <c r="W164" s="140"/>
      <c r="X164" s="309">
        <v>46191</v>
      </c>
      <c r="Y164" s="309">
        <v>46192</v>
      </c>
      <c r="Z164" s="312">
        <v>18</v>
      </c>
      <c r="AA164" s="155">
        <v>156</v>
      </c>
      <c r="AB164" s="28">
        <v>9.0749999999999997E-2</v>
      </c>
      <c r="AC164" s="30">
        <v>0.315</v>
      </c>
      <c r="AD164" s="30">
        <v>0.14000000000000001</v>
      </c>
      <c r="AE164" s="385">
        <v>36.5</v>
      </c>
      <c r="AF164" s="385">
        <f t="shared" si="14"/>
        <v>27.01</v>
      </c>
      <c r="AG164" s="385">
        <v>74</v>
      </c>
      <c r="AH164" s="23">
        <v>0.23</v>
      </c>
      <c r="AI164" s="140">
        <v>73</v>
      </c>
      <c r="AJ164" s="141" t="s">
        <v>458</v>
      </c>
      <c r="AK164" s="141"/>
      <c r="AL164" s="138">
        <f t="shared" si="13"/>
        <v>0</v>
      </c>
      <c r="AM164" s="8">
        <f t="shared" si="13"/>
        <v>0</v>
      </c>
      <c r="AN164" s="8">
        <f t="shared" si="13"/>
        <v>0</v>
      </c>
      <c r="AO164" s="139">
        <f t="shared" si="12"/>
        <v>-0.75</v>
      </c>
      <c r="AP164" s="139">
        <f t="shared" si="12"/>
        <v>0.28312500000000185</v>
      </c>
      <c r="AQ164" s="139">
        <f t="shared" si="12"/>
        <v>2.25</v>
      </c>
      <c r="AR164" s="8">
        <f t="shared" si="12"/>
        <v>1.0000000000000009E-2</v>
      </c>
      <c r="AS164" s="139">
        <f t="shared" si="12"/>
        <v>4.5</v>
      </c>
      <c r="AT164" s="200" t="s">
        <v>222</v>
      </c>
      <c r="AU164" s="200" t="s">
        <v>222</v>
      </c>
      <c r="AV164" s="200" t="s">
        <v>222</v>
      </c>
      <c r="AW164" s="200" t="s">
        <v>222</v>
      </c>
      <c r="AX164" s="200" t="s">
        <v>222</v>
      </c>
      <c r="AY164" s="386">
        <v>14</v>
      </c>
      <c r="AZ164" s="312">
        <f t="shared" si="15"/>
        <v>18</v>
      </c>
      <c r="BA164" s="155">
        <f t="shared" si="15"/>
        <v>156</v>
      </c>
      <c r="BB164" s="309">
        <v>46191</v>
      </c>
      <c r="BC164" s="23" t="s">
        <v>458</v>
      </c>
      <c r="BD164" s="23"/>
    </row>
    <row r="165" spans="2:56" ht="15.5">
      <c r="B165" s="5">
        <v>1</v>
      </c>
      <c r="C165" s="39">
        <v>46218</v>
      </c>
      <c r="D165" s="302">
        <v>46219</v>
      </c>
      <c r="E165" s="133">
        <v>21</v>
      </c>
      <c r="F165" s="155">
        <v>167</v>
      </c>
      <c r="G165" s="138">
        <v>7.85E-2</v>
      </c>
      <c r="H165" s="8">
        <v>0.23749999999999999</v>
      </c>
      <c r="I165" s="8">
        <v>0.37</v>
      </c>
      <c r="J165" s="139">
        <v>36.5</v>
      </c>
      <c r="K165" s="139">
        <v>25.914999999999999</v>
      </c>
      <c r="L165" s="139">
        <v>71</v>
      </c>
      <c r="M165" s="8">
        <v>0.22</v>
      </c>
      <c r="N165" s="140">
        <v>66</v>
      </c>
      <c r="O165" s="306"/>
      <c r="P165" s="140"/>
      <c r="Q165" s="140"/>
      <c r="R165" s="140"/>
      <c r="S165" s="140"/>
      <c r="T165" s="140"/>
      <c r="U165" s="140"/>
      <c r="V165" s="140"/>
      <c r="W165" s="140"/>
      <c r="X165" s="309">
        <v>46191</v>
      </c>
      <c r="Y165" s="309">
        <v>46192</v>
      </c>
      <c r="Z165" s="312">
        <v>18</v>
      </c>
      <c r="AA165" s="155">
        <v>157</v>
      </c>
      <c r="AB165" s="28">
        <v>7.85E-2</v>
      </c>
      <c r="AC165" s="30">
        <v>0.23749999999999999</v>
      </c>
      <c r="AD165" s="30">
        <v>0.37</v>
      </c>
      <c r="AE165" s="385">
        <v>33.75</v>
      </c>
      <c r="AF165" s="385">
        <f t="shared" si="14"/>
        <v>23.625</v>
      </c>
      <c r="AG165" s="385">
        <v>70</v>
      </c>
      <c r="AH165" s="23">
        <v>0.23</v>
      </c>
      <c r="AI165" s="140">
        <v>73</v>
      </c>
      <c r="AJ165" s="141" t="s">
        <v>458</v>
      </c>
      <c r="AK165" s="141"/>
      <c r="AL165" s="138">
        <f t="shared" si="13"/>
        <v>0</v>
      </c>
      <c r="AM165" s="8">
        <f t="shared" si="13"/>
        <v>0</v>
      </c>
      <c r="AN165" s="8">
        <f t="shared" si="13"/>
        <v>0</v>
      </c>
      <c r="AO165" s="139">
        <f t="shared" si="12"/>
        <v>-2.75</v>
      </c>
      <c r="AP165" s="139">
        <f t="shared" si="12"/>
        <v>-2.2899999999999991</v>
      </c>
      <c r="AQ165" s="139">
        <f t="shared" si="12"/>
        <v>-1</v>
      </c>
      <c r="AR165" s="8">
        <f t="shared" si="12"/>
        <v>1.0000000000000009E-2</v>
      </c>
      <c r="AS165" s="139">
        <f t="shared" si="12"/>
        <v>7</v>
      </c>
      <c r="AT165" s="200" t="s">
        <v>222</v>
      </c>
      <c r="AU165" s="200" t="s">
        <v>222</v>
      </c>
      <c r="AV165" s="200" t="s">
        <v>222</v>
      </c>
      <c r="AW165" s="200" t="s">
        <v>222</v>
      </c>
      <c r="AX165" s="200" t="s">
        <v>222</v>
      </c>
      <c r="AY165" s="386">
        <v>14</v>
      </c>
      <c r="AZ165" s="312">
        <f t="shared" si="15"/>
        <v>18</v>
      </c>
      <c r="BA165" s="155">
        <f t="shared" si="15"/>
        <v>157</v>
      </c>
      <c r="BB165" s="309">
        <v>46191</v>
      </c>
      <c r="BC165" s="23" t="s">
        <v>458</v>
      </c>
      <c r="BD165" s="23"/>
    </row>
    <row r="166" spans="2:56" ht="15.5">
      <c r="B166" s="5">
        <v>1</v>
      </c>
      <c r="C166" s="39">
        <v>46219</v>
      </c>
      <c r="D166" s="302">
        <v>46220</v>
      </c>
      <c r="E166" s="133">
        <v>22</v>
      </c>
      <c r="F166" s="155">
        <v>172</v>
      </c>
      <c r="G166" s="138">
        <v>6.5250000000000002E-2</v>
      </c>
      <c r="H166" s="8">
        <v>0.3</v>
      </c>
      <c r="I166" s="8">
        <v>0.28999999999999998</v>
      </c>
      <c r="J166" s="139">
        <v>38</v>
      </c>
      <c r="K166" s="139">
        <v>26.695</v>
      </c>
      <c r="L166" s="139">
        <v>70.25</v>
      </c>
      <c r="M166" s="8">
        <v>0.21</v>
      </c>
      <c r="N166" s="140">
        <v>72</v>
      </c>
      <c r="O166" s="306"/>
      <c r="P166" s="140"/>
      <c r="Q166" s="140"/>
      <c r="R166" s="140"/>
      <c r="S166" s="140"/>
      <c r="T166" s="140"/>
      <c r="U166" s="140"/>
      <c r="V166" s="140"/>
      <c r="W166" s="140"/>
      <c r="X166" s="309">
        <v>46191</v>
      </c>
      <c r="Y166" s="309">
        <v>46192</v>
      </c>
      <c r="Z166" s="312">
        <v>18</v>
      </c>
      <c r="AA166" s="155">
        <v>158</v>
      </c>
      <c r="AB166" s="28">
        <v>6.5250000000000002E-2</v>
      </c>
      <c r="AC166" s="30">
        <v>0.3</v>
      </c>
      <c r="AD166" s="30">
        <v>0.28999999999999998</v>
      </c>
      <c r="AE166" s="385">
        <v>35.75</v>
      </c>
      <c r="AF166" s="385">
        <f t="shared" si="14"/>
        <v>25.650625000000002</v>
      </c>
      <c r="AG166" s="385">
        <v>71.75</v>
      </c>
      <c r="AH166" s="23">
        <v>0.23</v>
      </c>
      <c r="AI166" s="140">
        <v>73</v>
      </c>
      <c r="AJ166" s="141" t="s">
        <v>458</v>
      </c>
      <c r="AK166" s="141"/>
      <c r="AL166" s="138">
        <f t="shared" si="13"/>
        <v>0</v>
      </c>
      <c r="AM166" s="8">
        <f t="shared" si="13"/>
        <v>0</v>
      </c>
      <c r="AN166" s="8">
        <f t="shared" si="13"/>
        <v>0</v>
      </c>
      <c r="AO166" s="139">
        <f t="shared" si="12"/>
        <v>-2.25</v>
      </c>
      <c r="AP166" s="139">
        <f t="shared" si="12"/>
        <v>-1.0443749999999987</v>
      </c>
      <c r="AQ166" s="139">
        <f t="shared" si="12"/>
        <v>1.5</v>
      </c>
      <c r="AR166" s="8">
        <f t="shared" si="12"/>
        <v>2.0000000000000018E-2</v>
      </c>
      <c r="AS166" s="139">
        <f t="shared" si="12"/>
        <v>1</v>
      </c>
      <c r="AT166" s="200" t="s">
        <v>222</v>
      </c>
      <c r="AU166" s="200" t="s">
        <v>222</v>
      </c>
      <c r="AV166" s="200" t="s">
        <v>222</v>
      </c>
      <c r="AW166" s="200" t="s">
        <v>222</v>
      </c>
      <c r="AX166" s="200" t="s">
        <v>222</v>
      </c>
      <c r="AY166" s="386">
        <v>14</v>
      </c>
      <c r="AZ166" s="312">
        <f t="shared" si="15"/>
        <v>18</v>
      </c>
      <c r="BA166" s="155">
        <f t="shared" si="15"/>
        <v>158</v>
      </c>
      <c r="BB166" s="309">
        <v>46191</v>
      </c>
      <c r="BC166" s="23" t="s">
        <v>458</v>
      </c>
      <c r="BD166" s="23"/>
    </row>
    <row r="167" spans="2:56" ht="15.5">
      <c r="B167" s="5">
        <v>7</v>
      </c>
      <c r="C167" s="39">
        <v>46192</v>
      </c>
      <c r="D167" s="302">
        <v>46194</v>
      </c>
      <c r="E167" s="133">
        <v>20</v>
      </c>
      <c r="F167" s="155">
        <v>156</v>
      </c>
      <c r="G167" s="138">
        <v>0.11125</v>
      </c>
      <c r="H167" s="8">
        <v>0.35000000000000003</v>
      </c>
      <c r="I167" s="8">
        <v>0.39</v>
      </c>
      <c r="J167" s="139">
        <v>43.75</v>
      </c>
      <c r="K167" s="139">
        <v>28.240625000000005</v>
      </c>
      <c r="L167" s="139">
        <v>64.550000000000011</v>
      </c>
      <c r="M167" s="8">
        <v>0.22</v>
      </c>
      <c r="N167" s="140">
        <v>81</v>
      </c>
      <c r="O167" s="306">
        <v>46226</v>
      </c>
      <c r="P167" s="140"/>
      <c r="Q167" s="140"/>
      <c r="R167" s="140"/>
      <c r="S167" s="140"/>
      <c r="T167" s="140"/>
      <c r="U167" s="140"/>
      <c r="V167" s="140"/>
      <c r="W167" s="140">
        <v>84</v>
      </c>
      <c r="X167" s="309">
        <v>46191</v>
      </c>
      <c r="Y167" s="309">
        <v>46192</v>
      </c>
      <c r="Z167" s="312">
        <v>18</v>
      </c>
      <c r="AA167" s="155">
        <v>159</v>
      </c>
      <c r="AB167" s="28">
        <v>0.11125</v>
      </c>
      <c r="AC167" s="30">
        <v>0.35000000000000003</v>
      </c>
      <c r="AD167" s="30">
        <v>0.39</v>
      </c>
      <c r="AE167" s="385">
        <v>41</v>
      </c>
      <c r="AF167" s="385">
        <f t="shared" si="14"/>
        <v>29.315000000000001</v>
      </c>
      <c r="AG167" s="385">
        <v>71.5</v>
      </c>
      <c r="AH167" s="23">
        <v>0.23</v>
      </c>
      <c r="AI167" s="140">
        <v>73</v>
      </c>
      <c r="AJ167" s="141" t="s">
        <v>458</v>
      </c>
      <c r="AK167" s="141"/>
      <c r="AL167" s="138">
        <f t="shared" si="13"/>
        <v>0</v>
      </c>
      <c r="AM167" s="8">
        <f t="shared" si="13"/>
        <v>0</v>
      </c>
      <c r="AN167" s="8">
        <f t="shared" si="13"/>
        <v>0</v>
      </c>
      <c r="AO167" s="139">
        <f t="shared" si="12"/>
        <v>-2.75</v>
      </c>
      <c r="AP167" s="139">
        <f t="shared" si="12"/>
        <v>1.0743749999999963</v>
      </c>
      <c r="AQ167" s="139">
        <f t="shared" si="12"/>
        <v>6.9499999999999886</v>
      </c>
      <c r="AR167" s="8">
        <f t="shared" si="12"/>
        <v>1.0000000000000009E-2</v>
      </c>
      <c r="AS167" s="139">
        <f t="shared" si="12"/>
        <v>-8</v>
      </c>
      <c r="AT167" s="200" t="s">
        <v>222</v>
      </c>
      <c r="AU167" s="200" t="s">
        <v>222</v>
      </c>
      <c r="AV167" s="200" t="s">
        <v>222</v>
      </c>
      <c r="AW167" s="200" t="s">
        <v>222</v>
      </c>
      <c r="AX167" s="200" t="s">
        <v>222</v>
      </c>
      <c r="AY167" s="386">
        <v>14</v>
      </c>
      <c r="AZ167" s="312">
        <f t="shared" si="15"/>
        <v>18</v>
      </c>
      <c r="BA167" s="155">
        <f t="shared" si="15"/>
        <v>159</v>
      </c>
      <c r="BB167" s="309">
        <v>46191</v>
      </c>
      <c r="BC167" s="23" t="s">
        <v>458</v>
      </c>
      <c r="BD167" s="23"/>
    </row>
    <row r="168" spans="2:56" ht="15.5">
      <c r="B168" s="5">
        <v>28</v>
      </c>
      <c r="C168" s="39">
        <v>46153</v>
      </c>
      <c r="D168" s="302">
        <v>46155</v>
      </c>
      <c r="E168" s="133">
        <v>2</v>
      </c>
      <c r="F168" s="155">
        <v>10</v>
      </c>
      <c r="G168" s="138">
        <v>0.11699999999999999</v>
      </c>
      <c r="H168" s="8">
        <v>0.33750000000000002</v>
      </c>
      <c r="I168" s="8">
        <v>0.38</v>
      </c>
      <c r="J168" s="139">
        <v>37.75</v>
      </c>
      <c r="K168" s="139">
        <v>26.981812499999997</v>
      </c>
      <c r="L168" s="139">
        <v>71.474999999999994</v>
      </c>
      <c r="M168" s="8">
        <v>0.21</v>
      </c>
      <c r="N168" s="140">
        <v>71</v>
      </c>
      <c r="O168" s="140" t="s">
        <v>505</v>
      </c>
      <c r="P168" s="140"/>
      <c r="Q168" s="140"/>
      <c r="R168" s="140"/>
      <c r="S168" s="140">
        <v>42</v>
      </c>
      <c r="T168" s="140">
        <v>28.98</v>
      </c>
      <c r="U168" s="140">
        <v>69</v>
      </c>
      <c r="V168" s="140"/>
      <c r="W168" s="140" t="s">
        <v>507</v>
      </c>
      <c r="X168" s="309">
        <v>46214</v>
      </c>
      <c r="Y168" s="309">
        <v>46214</v>
      </c>
      <c r="Z168" s="312">
        <v>19</v>
      </c>
      <c r="AA168" s="155">
        <v>160</v>
      </c>
      <c r="AB168" s="28">
        <v>0.11699999999999999</v>
      </c>
      <c r="AC168" s="30">
        <v>0.33750000000000002</v>
      </c>
      <c r="AD168" s="30">
        <v>0.38</v>
      </c>
      <c r="AE168" s="385">
        <v>39.75</v>
      </c>
      <c r="AF168" s="385">
        <f t="shared" si="14"/>
        <v>28.02375</v>
      </c>
      <c r="AG168" s="385">
        <v>70.5</v>
      </c>
      <c r="AH168" s="23">
        <v>0.21</v>
      </c>
      <c r="AI168" s="140">
        <v>79</v>
      </c>
      <c r="AJ168" s="141" t="s">
        <v>458</v>
      </c>
      <c r="AK168" s="141"/>
      <c r="AL168" s="138">
        <f t="shared" si="13"/>
        <v>0</v>
      </c>
      <c r="AM168" s="8">
        <f t="shared" si="13"/>
        <v>0</v>
      </c>
      <c r="AN168" s="8">
        <f t="shared" si="13"/>
        <v>0</v>
      </c>
      <c r="AO168" s="139">
        <f t="shared" si="12"/>
        <v>2</v>
      </c>
      <c r="AP168" s="139">
        <f t="shared" si="12"/>
        <v>1.0419375000000031</v>
      </c>
      <c r="AQ168" s="139">
        <f t="shared" si="12"/>
        <v>-0.97499999999999432</v>
      </c>
      <c r="AR168" s="8">
        <f t="shared" si="12"/>
        <v>0</v>
      </c>
      <c r="AS168" s="139">
        <f t="shared" si="12"/>
        <v>8</v>
      </c>
      <c r="AT168" s="200" t="s">
        <v>222</v>
      </c>
      <c r="AU168" s="200" t="s">
        <v>222</v>
      </c>
      <c r="AV168" s="200" t="s">
        <v>222</v>
      </c>
      <c r="AW168" s="200" t="s">
        <v>222</v>
      </c>
      <c r="AX168" s="200" t="s">
        <v>222</v>
      </c>
      <c r="AY168" s="386">
        <v>15</v>
      </c>
      <c r="AZ168" s="312">
        <f t="shared" si="15"/>
        <v>19</v>
      </c>
      <c r="BA168" s="155">
        <f t="shared" si="15"/>
        <v>160</v>
      </c>
      <c r="BB168" s="309">
        <v>46214</v>
      </c>
      <c r="BC168" s="23" t="s">
        <v>458</v>
      </c>
      <c r="BD168" s="23"/>
    </row>
    <row r="169" spans="2:56" ht="15.5">
      <c r="B169" s="5">
        <v>4</v>
      </c>
      <c r="C169" s="39">
        <v>46167</v>
      </c>
      <c r="D169" s="302">
        <v>46169</v>
      </c>
      <c r="E169" s="133">
        <v>8</v>
      </c>
      <c r="F169" s="155">
        <v>63</v>
      </c>
      <c r="G169" s="138">
        <v>0.1115</v>
      </c>
      <c r="H169" s="8">
        <v>0.34500000000000003</v>
      </c>
      <c r="I169" s="8">
        <v>0.34</v>
      </c>
      <c r="J169" s="139">
        <v>48</v>
      </c>
      <c r="K169" s="139">
        <v>29.76</v>
      </c>
      <c r="L169" s="139">
        <v>62</v>
      </c>
      <c r="M169" s="8">
        <v>0.22</v>
      </c>
      <c r="N169" s="140">
        <v>86</v>
      </c>
      <c r="O169" s="306"/>
      <c r="P169" s="140"/>
      <c r="Q169" s="140"/>
      <c r="R169" s="140"/>
      <c r="S169" s="140"/>
      <c r="T169" s="140"/>
      <c r="U169" s="140"/>
      <c r="V169" s="140"/>
      <c r="W169" s="140"/>
      <c r="X169" s="309">
        <v>46214</v>
      </c>
      <c r="Y169" s="309">
        <v>46214</v>
      </c>
      <c r="Z169" s="312">
        <v>19</v>
      </c>
      <c r="AA169" s="155">
        <v>161</v>
      </c>
      <c r="AB169" s="28">
        <v>0.1115</v>
      </c>
      <c r="AC169" s="30">
        <v>0.34500000000000003</v>
      </c>
      <c r="AD169" s="30">
        <v>0.34</v>
      </c>
      <c r="AE169" s="385">
        <v>38.25</v>
      </c>
      <c r="AF169" s="385">
        <f t="shared" si="14"/>
        <v>27.253125000000001</v>
      </c>
      <c r="AG169" s="385">
        <v>71.25</v>
      </c>
      <c r="AH169" s="23">
        <v>0.21</v>
      </c>
      <c r="AI169" s="140">
        <v>79</v>
      </c>
      <c r="AJ169" s="141" t="s">
        <v>458</v>
      </c>
      <c r="AK169" s="141"/>
      <c r="AL169" s="138">
        <f t="shared" si="13"/>
        <v>0</v>
      </c>
      <c r="AM169" s="8">
        <f t="shared" si="13"/>
        <v>0</v>
      </c>
      <c r="AN169" s="8">
        <f t="shared" si="13"/>
        <v>0</v>
      </c>
      <c r="AO169" s="139">
        <f t="shared" si="12"/>
        <v>-9.75</v>
      </c>
      <c r="AP169" s="139">
        <f t="shared" si="12"/>
        <v>-2.5068750000000009</v>
      </c>
      <c r="AQ169" s="139">
        <f t="shared" si="12"/>
        <v>9.25</v>
      </c>
      <c r="AR169" s="8">
        <f t="shared" si="12"/>
        <v>-1.0000000000000009E-2</v>
      </c>
      <c r="AS169" s="139">
        <f t="shared" si="12"/>
        <v>-7</v>
      </c>
      <c r="AT169" s="200" t="s">
        <v>222</v>
      </c>
      <c r="AU169" s="200" t="s">
        <v>222</v>
      </c>
      <c r="AV169" s="200" t="s">
        <v>222</v>
      </c>
      <c r="AW169" s="200" t="s">
        <v>222</v>
      </c>
      <c r="AX169" s="200" t="s">
        <v>222</v>
      </c>
      <c r="AY169" s="386">
        <v>15</v>
      </c>
      <c r="AZ169" s="312">
        <f t="shared" si="15"/>
        <v>19</v>
      </c>
      <c r="BA169" s="155">
        <f t="shared" si="15"/>
        <v>161</v>
      </c>
      <c r="BB169" s="309">
        <v>46214</v>
      </c>
      <c r="BC169" s="23" t="s">
        <v>458</v>
      </c>
      <c r="BD169" s="23"/>
    </row>
    <row r="170" spans="2:56" ht="15.5">
      <c r="B170" s="5">
        <v>5</v>
      </c>
      <c r="C170" s="39">
        <v>46177</v>
      </c>
      <c r="D170" s="302">
        <v>46179</v>
      </c>
      <c r="E170" s="133">
        <v>12</v>
      </c>
      <c r="F170" s="155">
        <v>91</v>
      </c>
      <c r="G170" s="138">
        <v>0.11225</v>
      </c>
      <c r="H170" s="8">
        <v>0.35250000000000004</v>
      </c>
      <c r="I170" s="8">
        <v>0.32</v>
      </c>
      <c r="J170" s="139">
        <v>46</v>
      </c>
      <c r="K170" s="139">
        <v>26.967500000000001</v>
      </c>
      <c r="L170" s="139">
        <v>58.625</v>
      </c>
      <c r="M170" s="8">
        <v>0.24</v>
      </c>
      <c r="N170" s="140">
        <v>75.5</v>
      </c>
      <c r="O170" s="306">
        <v>46226</v>
      </c>
      <c r="P170" s="140"/>
      <c r="Q170" s="140"/>
      <c r="R170" s="140"/>
      <c r="S170" s="140"/>
      <c r="T170" s="140"/>
      <c r="U170" s="140"/>
      <c r="V170" s="140"/>
      <c r="W170" s="140">
        <v>94</v>
      </c>
      <c r="X170" s="309">
        <v>46214</v>
      </c>
      <c r="Y170" s="309">
        <v>46214</v>
      </c>
      <c r="Z170" s="312">
        <v>19</v>
      </c>
      <c r="AA170" s="155">
        <v>162</v>
      </c>
      <c r="AB170" s="28">
        <v>0.11225</v>
      </c>
      <c r="AC170" s="30">
        <v>0.35250000000000004</v>
      </c>
      <c r="AD170" s="30">
        <v>0.32</v>
      </c>
      <c r="AE170" s="385">
        <v>40.5</v>
      </c>
      <c r="AF170" s="385">
        <f t="shared" si="14"/>
        <v>29.05875</v>
      </c>
      <c r="AG170" s="385">
        <v>71.75</v>
      </c>
      <c r="AH170" s="23">
        <v>0.21</v>
      </c>
      <c r="AI170" s="140">
        <v>79</v>
      </c>
      <c r="AJ170" s="141" t="s">
        <v>458</v>
      </c>
      <c r="AK170" s="141"/>
      <c r="AL170" s="138">
        <f t="shared" si="13"/>
        <v>0</v>
      </c>
      <c r="AM170" s="8">
        <f t="shared" si="13"/>
        <v>0</v>
      </c>
      <c r="AN170" s="8">
        <f t="shared" si="13"/>
        <v>0</v>
      </c>
      <c r="AO170" s="139">
        <f t="shared" si="12"/>
        <v>-5.5</v>
      </c>
      <c r="AP170" s="139">
        <f t="shared" si="12"/>
        <v>2.0912499999999987</v>
      </c>
      <c r="AQ170" s="139">
        <f t="shared" si="12"/>
        <v>13.125</v>
      </c>
      <c r="AR170" s="8">
        <f t="shared" si="12"/>
        <v>-0.03</v>
      </c>
      <c r="AS170" s="139">
        <f t="shared" si="12"/>
        <v>3.5</v>
      </c>
      <c r="AT170" s="200" t="s">
        <v>222</v>
      </c>
      <c r="AU170" s="200" t="s">
        <v>222</v>
      </c>
      <c r="AV170" s="200" t="s">
        <v>222</v>
      </c>
      <c r="AW170" s="200" t="s">
        <v>222</v>
      </c>
      <c r="AX170" s="200" t="s">
        <v>222</v>
      </c>
      <c r="AY170" s="386">
        <v>15</v>
      </c>
      <c r="AZ170" s="312">
        <f t="shared" si="15"/>
        <v>19</v>
      </c>
      <c r="BA170" s="155">
        <f t="shared" si="15"/>
        <v>162</v>
      </c>
      <c r="BB170" s="309">
        <v>46214</v>
      </c>
      <c r="BC170" s="23" t="s">
        <v>458</v>
      </c>
      <c r="BD170" s="23"/>
    </row>
    <row r="171" spans="2:56" ht="15.5">
      <c r="B171" s="5">
        <v>6</v>
      </c>
      <c r="C171" s="39">
        <v>46182</v>
      </c>
      <c r="D171" s="302">
        <v>46184</v>
      </c>
      <c r="E171" s="133">
        <v>14</v>
      </c>
      <c r="F171" s="155">
        <v>105</v>
      </c>
      <c r="G171" s="138">
        <v>0.104</v>
      </c>
      <c r="H171" s="8">
        <v>0.34250000000000003</v>
      </c>
      <c r="I171" s="8">
        <v>0.32</v>
      </c>
      <c r="J171" s="139">
        <v>47.75</v>
      </c>
      <c r="K171" s="139">
        <v>26.513187499999994</v>
      </c>
      <c r="L171" s="139">
        <v>55.524999999999991</v>
      </c>
      <c r="M171" s="8">
        <v>0.22</v>
      </c>
      <c r="N171" s="140">
        <v>82</v>
      </c>
      <c r="O171" s="306">
        <v>46226</v>
      </c>
      <c r="P171" s="140"/>
      <c r="Q171" s="140"/>
      <c r="R171" s="140"/>
      <c r="S171" s="140"/>
      <c r="T171" s="140"/>
      <c r="U171" s="140"/>
      <c r="V171" s="140"/>
      <c r="W171" s="140">
        <v>87</v>
      </c>
      <c r="X171" s="309">
        <v>46214</v>
      </c>
      <c r="Y171" s="309">
        <v>46214</v>
      </c>
      <c r="Z171" s="312">
        <v>19</v>
      </c>
      <c r="AA171" s="155">
        <v>163</v>
      </c>
      <c r="AB171" s="28">
        <v>0.104</v>
      </c>
      <c r="AC171" s="30">
        <v>0.34250000000000003</v>
      </c>
      <c r="AD171" s="30">
        <v>0.32</v>
      </c>
      <c r="AE171" s="385">
        <v>38.5</v>
      </c>
      <c r="AF171" s="385">
        <f t="shared" si="14"/>
        <v>27.5275</v>
      </c>
      <c r="AG171" s="385">
        <v>71.5</v>
      </c>
      <c r="AH171" s="23">
        <v>0.21</v>
      </c>
      <c r="AI171" s="140">
        <v>79</v>
      </c>
      <c r="AJ171" s="141" t="s">
        <v>458</v>
      </c>
      <c r="AK171" s="141"/>
      <c r="AL171" s="138">
        <f t="shared" si="13"/>
        <v>0</v>
      </c>
      <c r="AM171" s="8">
        <f t="shared" si="13"/>
        <v>0</v>
      </c>
      <c r="AN171" s="8">
        <f t="shared" si="13"/>
        <v>0</v>
      </c>
      <c r="AO171" s="139">
        <f t="shared" si="12"/>
        <v>-9.25</v>
      </c>
      <c r="AP171" s="139">
        <f t="shared" si="12"/>
        <v>1.0143125000000062</v>
      </c>
      <c r="AQ171" s="139">
        <f t="shared" si="12"/>
        <v>15.975000000000009</v>
      </c>
      <c r="AR171" s="8">
        <f t="shared" si="12"/>
        <v>-1.0000000000000009E-2</v>
      </c>
      <c r="AS171" s="139">
        <f t="shared" si="12"/>
        <v>-3</v>
      </c>
      <c r="AT171" s="200" t="s">
        <v>222</v>
      </c>
      <c r="AU171" s="200" t="s">
        <v>222</v>
      </c>
      <c r="AV171" s="200" t="s">
        <v>222</v>
      </c>
      <c r="AW171" s="200" t="s">
        <v>222</v>
      </c>
      <c r="AX171" s="200" t="s">
        <v>222</v>
      </c>
      <c r="AY171" s="386">
        <v>15</v>
      </c>
      <c r="AZ171" s="312">
        <f t="shared" si="15"/>
        <v>19</v>
      </c>
      <c r="BA171" s="155">
        <f t="shared" si="15"/>
        <v>163</v>
      </c>
      <c r="BB171" s="309">
        <v>46214</v>
      </c>
      <c r="BC171" s="23" t="s">
        <v>458</v>
      </c>
      <c r="BD171" s="23"/>
    </row>
    <row r="172" spans="2:56" ht="15.5">
      <c r="B172" s="5">
        <v>7</v>
      </c>
      <c r="C172" s="39">
        <v>46188</v>
      </c>
      <c r="D172" s="302">
        <v>46190</v>
      </c>
      <c r="E172" s="133">
        <v>17</v>
      </c>
      <c r="F172" s="155">
        <v>130</v>
      </c>
      <c r="G172" s="138">
        <v>0.10925</v>
      </c>
      <c r="H172" s="8">
        <v>0.32500000000000001</v>
      </c>
      <c r="I172" s="8">
        <v>0.38</v>
      </c>
      <c r="J172" s="139">
        <v>47</v>
      </c>
      <c r="K172" s="139">
        <v>27.753500000000003</v>
      </c>
      <c r="L172" s="139">
        <v>59.050000000000004</v>
      </c>
      <c r="M172" s="8">
        <v>0.22</v>
      </c>
      <c r="N172" s="140">
        <v>83.5</v>
      </c>
      <c r="O172" s="306"/>
      <c r="P172" s="140"/>
      <c r="Q172" s="140"/>
      <c r="R172" s="140"/>
      <c r="S172" s="140"/>
      <c r="T172" s="140"/>
      <c r="U172" s="140"/>
      <c r="V172" s="140"/>
      <c r="W172" s="140"/>
      <c r="X172" s="309">
        <v>46214</v>
      </c>
      <c r="Y172" s="309">
        <v>46214</v>
      </c>
      <c r="Z172" s="312">
        <v>19</v>
      </c>
      <c r="AA172" s="155">
        <v>164</v>
      </c>
      <c r="AB172" s="28">
        <v>0.10925</v>
      </c>
      <c r="AC172" s="30">
        <v>0.32500000000000001</v>
      </c>
      <c r="AD172" s="30">
        <v>0.38</v>
      </c>
      <c r="AE172" s="385">
        <v>39.75</v>
      </c>
      <c r="AF172" s="385">
        <f t="shared" si="14"/>
        <v>28.02375</v>
      </c>
      <c r="AG172" s="385">
        <v>70.5</v>
      </c>
      <c r="AH172" s="23">
        <v>0.21</v>
      </c>
      <c r="AI172" s="140">
        <v>82</v>
      </c>
      <c r="AJ172" s="141" t="s">
        <v>458</v>
      </c>
      <c r="AK172" s="141"/>
      <c r="AL172" s="138">
        <f t="shared" si="13"/>
        <v>0</v>
      </c>
      <c r="AM172" s="8">
        <f t="shared" si="13"/>
        <v>0</v>
      </c>
      <c r="AN172" s="8">
        <f t="shared" si="13"/>
        <v>0</v>
      </c>
      <c r="AO172" s="139">
        <f t="shared" si="12"/>
        <v>-7.25</v>
      </c>
      <c r="AP172" s="139">
        <f t="shared" si="12"/>
        <v>0.27024999999999721</v>
      </c>
      <c r="AQ172" s="139">
        <f t="shared" si="12"/>
        <v>11.449999999999996</v>
      </c>
      <c r="AR172" s="8">
        <f t="shared" si="12"/>
        <v>-1.0000000000000009E-2</v>
      </c>
      <c r="AS172" s="139">
        <f t="shared" si="12"/>
        <v>-1.5</v>
      </c>
      <c r="AT172" s="200" t="s">
        <v>222</v>
      </c>
      <c r="AU172" s="200" t="s">
        <v>222</v>
      </c>
      <c r="AV172" s="200" t="s">
        <v>222</v>
      </c>
      <c r="AW172" s="200" t="s">
        <v>222</v>
      </c>
      <c r="AX172" s="200" t="s">
        <v>222</v>
      </c>
      <c r="AY172" s="386">
        <v>15</v>
      </c>
      <c r="AZ172" s="312">
        <f t="shared" si="15"/>
        <v>19</v>
      </c>
      <c r="BA172" s="155">
        <f t="shared" si="15"/>
        <v>164</v>
      </c>
      <c r="BB172" s="309">
        <v>46214</v>
      </c>
      <c r="BC172" s="23" t="s">
        <v>458</v>
      </c>
      <c r="BD172" s="23"/>
    </row>
    <row r="173" spans="2:56" ht="15.5">
      <c r="B173" s="5">
        <v>7</v>
      </c>
      <c r="C173" s="39">
        <v>46191</v>
      </c>
      <c r="D173" s="302">
        <v>46193</v>
      </c>
      <c r="E173" s="133">
        <v>18</v>
      </c>
      <c r="F173" s="155">
        <v>142</v>
      </c>
      <c r="G173" s="138">
        <v>0.10975</v>
      </c>
      <c r="H173" s="8">
        <v>0.3175</v>
      </c>
      <c r="I173" s="8">
        <v>0.39</v>
      </c>
      <c r="J173" s="139">
        <v>46.25</v>
      </c>
      <c r="K173" s="139">
        <v>28.998750000000001</v>
      </c>
      <c r="L173" s="139">
        <v>62.7</v>
      </c>
      <c r="M173" s="8">
        <v>0.23</v>
      </c>
      <c r="N173" s="140">
        <v>83.5</v>
      </c>
      <c r="O173" s="306">
        <v>46226</v>
      </c>
      <c r="P173" s="140"/>
      <c r="Q173" s="140"/>
      <c r="R173" s="140"/>
      <c r="S173" s="140"/>
      <c r="T173" s="140"/>
      <c r="U173" s="140"/>
      <c r="V173" s="140"/>
      <c r="W173" s="140">
        <v>86</v>
      </c>
      <c r="X173" s="309">
        <v>46214</v>
      </c>
      <c r="Y173" s="309">
        <v>46214</v>
      </c>
      <c r="Z173" s="312">
        <v>19</v>
      </c>
      <c r="AA173" s="155">
        <v>165</v>
      </c>
      <c r="AB173" s="28">
        <v>0.10975</v>
      </c>
      <c r="AC173" s="30">
        <v>0.3175</v>
      </c>
      <c r="AD173" s="30">
        <v>0.39</v>
      </c>
      <c r="AE173" s="385">
        <v>42</v>
      </c>
      <c r="AF173" s="385">
        <f t="shared" si="14"/>
        <v>30.03</v>
      </c>
      <c r="AG173" s="385">
        <v>71.5</v>
      </c>
      <c r="AH173" s="23">
        <v>0.21</v>
      </c>
      <c r="AI173" s="140">
        <v>82</v>
      </c>
      <c r="AJ173" s="141" t="s">
        <v>458</v>
      </c>
      <c r="AK173" s="141"/>
      <c r="AL173" s="138">
        <f t="shared" si="13"/>
        <v>0</v>
      </c>
      <c r="AM173" s="8">
        <f t="shared" si="13"/>
        <v>0</v>
      </c>
      <c r="AN173" s="8">
        <f t="shared" si="13"/>
        <v>0</v>
      </c>
      <c r="AO173" s="139">
        <f t="shared" si="12"/>
        <v>-4.25</v>
      </c>
      <c r="AP173" s="139">
        <f t="shared" si="12"/>
        <v>1.03125</v>
      </c>
      <c r="AQ173" s="139">
        <f t="shared" si="12"/>
        <v>8.7999999999999972</v>
      </c>
      <c r="AR173" s="8">
        <f t="shared" si="12"/>
        <v>-2.0000000000000018E-2</v>
      </c>
      <c r="AS173" s="139">
        <f t="shared" si="12"/>
        <v>-1.5</v>
      </c>
      <c r="AT173" s="200" t="s">
        <v>222</v>
      </c>
      <c r="AU173" s="200" t="s">
        <v>222</v>
      </c>
      <c r="AV173" s="200" t="s">
        <v>222</v>
      </c>
      <c r="AW173" s="200" t="s">
        <v>222</v>
      </c>
      <c r="AX173" s="200" t="s">
        <v>222</v>
      </c>
      <c r="AY173" s="386">
        <v>15</v>
      </c>
      <c r="AZ173" s="312">
        <f t="shared" si="15"/>
        <v>19</v>
      </c>
      <c r="BA173" s="155">
        <f t="shared" si="15"/>
        <v>165</v>
      </c>
      <c r="BB173" s="309">
        <v>46214</v>
      </c>
      <c r="BC173" s="23" t="s">
        <v>458</v>
      </c>
      <c r="BD173" s="23"/>
    </row>
    <row r="174" spans="2:56" ht="15.5">
      <c r="B174" s="5">
        <v>7</v>
      </c>
      <c r="C174" s="39">
        <v>46192</v>
      </c>
      <c r="D174" s="302">
        <v>46194</v>
      </c>
      <c r="E174" s="133">
        <v>20</v>
      </c>
      <c r="F174" s="155">
        <v>153</v>
      </c>
      <c r="G174" s="138">
        <v>0.10775</v>
      </c>
      <c r="H174" s="8">
        <v>0.38</v>
      </c>
      <c r="I174" s="8">
        <v>0.33</v>
      </c>
      <c r="J174" s="139">
        <v>46.5</v>
      </c>
      <c r="K174" s="139">
        <v>28.016249999999999</v>
      </c>
      <c r="L174" s="139">
        <v>60.25</v>
      </c>
      <c r="M174" s="8">
        <v>0.22</v>
      </c>
      <c r="N174" s="140">
        <v>81</v>
      </c>
      <c r="O174" s="306">
        <v>46226</v>
      </c>
      <c r="P174" s="140"/>
      <c r="Q174" s="140"/>
      <c r="R174" s="140"/>
      <c r="S174" s="140"/>
      <c r="T174" s="140"/>
      <c r="U174" s="140"/>
      <c r="V174" s="140"/>
      <c r="W174" s="140">
        <v>84</v>
      </c>
      <c r="X174" s="309">
        <v>46214</v>
      </c>
      <c r="Y174" s="309">
        <v>46214</v>
      </c>
      <c r="Z174" s="312">
        <v>19</v>
      </c>
      <c r="AA174" s="155">
        <v>166</v>
      </c>
      <c r="AB174" s="28">
        <v>0.10775</v>
      </c>
      <c r="AC174" s="30">
        <v>0.38</v>
      </c>
      <c r="AD174" s="30">
        <v>0.33</v>
      </c>
      <c r="AE174" s="385">
        <v>40</v>
      </c>
      <c r="AF174" s="385">
        <f t="shared" si="14"/>
        <v>28.3</v>
      </c>
      <c r="AG174" s="385">
        <v>70.75</v>
      </c>
      <c r="AH174" s="23">
        <v>0.21</v>
      </c>
      <c r="AI174" s="140">
        <v>82</v>
      </c>
      <c r="AJ174" s="141" t="s">
        <v>458</v>
      </c>
      <c r="AK174" s="141"/>
      <c r="AL174" s="138">
        <f t="shared" si="13"/>
        <v>0</v>
      </c>
      <c r="AM174" s="8">
        <f t="shared" si="13"/>
        <v>0</v>
      </c>
      <c r="AN174" s="8">
        <f t="shared" si="13"/>
        <v>0</v>
      </c>
      <c r="AO174" s="139">
        <f t="shared" si="12"/>
        <v>-6.5</v>
      </c>
      <c r="AP174" s="139">
        <f t="shared" si="12"/>
        <v>0.28375000000000128</v>
      </c>
      <c r="AQ174" s="139">
        <f t="shared" si="12"/>
        <v>10.5</v>
      </c>
      <c r="AR174" s="8">
        <f t="shared" si="12"/>
        <v>-1.0000000000000009E-2</v>
      </c>
      <c r="AS174" s="139">
        <f t="shared" si="12"/>
        <v>1</v>
      </c>
      <c r="AT174" s="200" t="s">
        <v>222</v>
      </c>
      <c r="AU174" s="200" t="s">
        <v>222</v>
      </c>
      <c r="AV174" s="200" t="s">
        <v>222</v>
      </c>
      <c r="AW174" s="200" t="s">
        <v>222</v>
      </c>
      <c r="AX174" s="200" t="s">
        <v>222</v>
      </c>
      <c r="AY174" s="386">
        <v>15</v>
      </c>
      <c r="AZ174" s="312">
        <f t="shared" si="15"/>
        <v>19</v>
      </c>
      <c r="BA174" s="155">
        <f t="shared" si="15"/>
        <v>166</v>
      </c>
      <c r="BB174" s="309">
        <v>46214</v>
      </c>
      <c r="BC174" s="23" t="s">
        <v>458</v>
      </c>
      <c r="BD174" s="23"/>
    </row>
    <row r="175" spans="2:56" ht="15.5">
      <c r="B175" s="5">
        <v>7</v>
      </c>
      <c r="C175" s="39">
        <v>46192</v>
      </c>
      <c r="D175" s="302">
        <v>46194</v>
      </c>
      <c r="E175" s="133">
        <v>20</v>
      </c>
      <c r="F175" s="155">
        <v>157</v>
      </c>
      <c r="G175" s="138">
        <v>0.111</v>
      </c>
      <c r="H175" s="8">
        <v>0.33</v>
      </c>
      <c r="I175" s="8">
        <v>0.4</v>
      </c>
      <c r="J175" s="139">
        <v>43.75</v>
      </c>
      <c r="K175" s="139">
        <v>28.524999999999999</v>
      </c>
      <c r="L175" s="139">
        <v>65.2</v>
      </c>
      <c r="M175" s="8">
        <v>0.22</v>
      </c>
      <c r="N175" s="140">
        <v>84.5</v>
      </c>
      <c r="O175" s="306">
        <v>46226</v>
      </c>
      <c r="P175" s="140"/>
      <c r="Q175" s="140"/>
      <c r="R175" s="140"/>
      <c r="S175" s="140"/>
      <c r="T175" s="140"/>
      <c r="U175" s="140"/>
      <c r="V175" s="140"/>
      <c r="W175" s="140" t="s">
        <v>581</v>
      </c>
      <c r="X175" s="309">
        <v>46214</v>
      </c>
      <c r="Y175" s="309">
        <v>46214</v>
      </c>
      <c r="Z175" s="312">
        <v>19</v>
      </c>
      <c r="AA175" s="155">
        <v>167</v>
      </c>
      <c r="AB175" s="28">
        <v>0.111</v>
      </c>
      <c r="AC175" s="30">
        <v>0.33</v>
      </c>
      <c r="AD175" s="30">
        <v>0.4</v>
      </c>
      <c r="AE175" s="385">
        <v>39</v>
      </c>
      <c r="AF175" s="385">
        <f t="shared" si="14"/>
        <v>27.592500000000001</v>
      </c>
      <c r="AG175" s="385">
        <v>70.75</v>
      </c>
      <c r="AH175" s="23">
        <v>0.21</v>
      </c>
      <c r="AI175" s="140">
        <v>82</v>
      </c>
      <c r="AJ175" s="141" t="s">
        <v>458</v>
      </c>
      <c r="AK175" s="141"/>
      <c r="AL175" s="138">
        <f t="shared" si="13"/>
        <v>0</v>
      </c>
      <c r="AM175" s="8">
        <f t="shared" si="13"/>
        <v>0</v>
      </c>
      <c r="AN175" s="8">
        <f t="shared" si="13"/>
        <v>0</v>
      </c>
      <c r="AO175" s="139">
        <f t="shared" si="13"/>
        <v>-4.75</v>
      </c>
      <c r="AP175" s="139">
        <f t="shared" si="13"/>
        <v>-0.93249999999999744</v>
      </c>
      <c r="AQ175" s="139">
        <f t="shared" si="13"/>
        <v>5.5499999999999972</v>
      </c>
      <c r="AR175" s="8">
        <f t="shared" si="13"/>
        <v>-1.0000000000000009E-2</v>
      </c>
      <c r="AS175" s="139">
        <f t="shared" si="13"/>
        <v>-2.5</v>
      </c>
      <c r="AT175" s="200" t="s">
        <v>222</v>
      </c>
      <c r="AU175" s="200" t="s">
        <v>222</v>
      </c>
      <c r="AV175" s="200" t="s">
        <v>222</v>
      </c>
      <c r="AW175" s="200" t="s">
        <v>222</v>
      </c>
      <c r="AX175" s="200" t="s">
        <v>222</v>
      </c>
      <c r="AY175" s="386">
        <v>15</v>
      </c>
      <c r="AZ175" s="312">
        <f t="shared" si="15"/>
        <v>19</v>
      </c>
      <c r="BA175" s="155">
        <f t="shared" si="15"/>
        <v>167</v>
      </c>
      <c r="BB175" s="309">
        <v>46214</v>
      </c>
      <c r="BC175" s="23" t="s">
        <v>458</v>
      </c>
      <c r="BD175" s="23"/>
    </row>
    <row r="176" spans="2:56" ht="15.5">
      <c r="B176" s="5">
        <v>1</v>
      </c>
      <c r="C176" s="39">
        <v>46216</v>
      </c>
      <c r="D176" s="302">
        <v>46217</v>
      </c>
      <c r="E176" s="133">
        <v>21</v>
      </c>
      <c r="F176" s="155">
        <v>162</v>
      </c>
      <c r="G176" s="138">
        <v>8.9749999999999996E-2</v>
      </c>
      <c r="H176" s="8">
        <v>0.32</v>
      </c>
      <c r="I176" s="8">
        <v>0.35</v>
      </c>
      <c r="J176" s="139">
        <v>37</v>
      </c>
      <c r="K176" s="139">
        <v>27.102499999999999</v>
      </c>
      <c r="L176" s="139">
        <v>73.25</v>
      </c>
      <c r="M176" s="8">
        <v>0.22</v>
      </c>
      <c r="N176" s="140">
        <v>68.5</v>
      </c>
      <c r="O176" s="306"/>
      <c r="P176" s="140"/>
      <c r="Q176" s="140"/>
      <c r="R176" s="140"/>
      <c r="S176" s="140"/>
      <c r="T176" s="140"/>
      <c r="U176" s="140"/>
      <c r="V176" s="140"/>
      <c r="W176" s="140"/>
      <c r="X176" s="309">
        <v>46214</v>
      </c>
      <c r="Y176" s="309">
        <v>46216</v>
      </c>
      <c r="Z176" s="312">
        <v>20</v>
      </c>
      <c r="AA176" s="155">
        <v>168</v>
      </c>
      <c r="AB176" s="28">
        <v>8.9749999999999996E-2</v>
      </c>
      <c r="AC176" s="30">
        <v>0.32</v>
      </c>
      <c r="AD176" s="30">
        <v>0.35</v>
      </c>
      <c r="AE176" s="385">
        <v>37</v>
      </c>
      <c r="AF176" s="385">
        <f t="shared" si="14"/>
        <v>26.454999999999998</v>
      </c>
      <c r="AG176" s="385">
        <v>71.5</v>
      </c>
      <c r="AH176" s="23">
        <v>0.22</v>
      </c>
      <c r="AI176" s="140">
        <v>73</v>
      </c>
      <c r="AJ176" s="141" t="s">
        <v>458</v>
      </c>
      <c r="AK176" s="141"/>
      <c r="AL176" s="138">
        <f t="shared" ref="AL176:AS207" si="16">AB176-G176</f>
        <v>0</v>
      </c>
      <c r="AM176" s="8">
        <f t="shared" si="16"/>
        <v>0</v>
      </c>
      <c r="AN176" s="8">
        <f t="shared" si="16"/>
        <v>0</v>
      </c>
      <c r="AO176" s="139">
        <f t="shared" si="16"/>
        <v>0</v>
      </c>
      <c r="AP176" s="139">
        <f t="shared" si="16"/>
        <v>-0.64750000000000085</v>
      </c>
      <c r="AQ176" s="139">
        <f t="shared" si="16"/>
        <v>-1.75</v>
      </c>
      <c r="AR176" s="8">
        <f t="shared" si="16"/>
        <v>0</v>
      </c>
      <c r="AS176" s="139">
        <f t="shared" si="16"/>
        <v>4.5</v>
      </c>
      <c r="AT176" s="200" t="s">
        <v>222</v>
      </c>
      <c r="AU176" s="200" t="s">
        <v>222</v>
      </c>
      <c r="AV176" s="200" t="s">
        <v>222</v>
      </c>
      <c r="AW176" s="200" t="s">
        <v>222</v>
      </c>
      <c r="AX176" s="200" t="s">
        <v>222</v>
      </c>
      <c r="AY176" s="386">
        <v>15</v>
      </c>
      <c r="AZ176" s="312">
        <f t="shared" si="15"/>
        <v>20</v>
      </c>
      <c r="BA176" s="155">
        <f t="shared" si="15"/>
        <v>168</v>
      </c>
      <c r="BB176" s="309">
        <v>46214</v>
      </c>
      <c r="BC176" s="23" t="s">
        <v>458</v>
      </c>
      <c r="BD176" s="23"/>
    </row>
    <row r="177" spans="2:56" ht="15.5">
      <c r="B177" s="5">
        <v>1</v>
      </c>
      <c r="C177" s="39">
        <v>46216</v>
      </c>
      <c r="D177" s="302">
        <v>46217</v>
      </c>
      <c r="E177" s="133">
        <v>21</v>
      </c>
      <c r="F177" s="155">
        <v>163</v>
      </c>
      <c r="G177" s="138">
        <v>8.8749999999999996E-2</v>
      </c>
      <c r="H177" s="8">
        <v>0.3175</v>
      </c>
      <c r="I177" s="8">
        <v>0.47</v>
      </c>
      <c r="J177" s="139">
        <v>36.75</v>
      </c>
      <c r="K177" s="139">
        <v>26.735624999999999</v>
      </c>
      <c r="L177" s="139">
        <v>72.75</v>
      </c>
      <c r="M177" s="8">
        <v>0.22</v>
      </c>
      <c r="N177" s="140">
        <v>68.5</v>
      </c>
      <c r="O177" s="306"/>
      <c r="P177" s="140"/>
      <c r="Q177" s="140"/>
      <c r="R177" s="140"/>
      <c r="S177" s="140"/>
      <c r="T177" s="140"/>
      <c r="U177" s="140"/>
      <c r="V177" s="140"/>
      <c r="W177" s="140"/>
      <c r="X177" s="309">
        <v>46214</v>
      </c>
      <c r="Y177" s="309">
        <v>46216</v>
      </c>
      <c r="Z177" s="312">
        <v>20</v>
      </c>
      <c r="AA177" s="155">
        <v>169</v>
      </c>
      <c r="AB177" s="28">
        <v>8.8749999999999996E-2</v>
      </c>
      <c r="AC177" s="30">
        <v>0.3175</v>
      </c>
      <c r="AD177" s="30">
        <v>0.47</v>
      </c>
      <c r="AE177" s="385">
        <v>36.25</v>
      </c>
      <c r="AF177" s="385">
        <f t="shared" si="14"/>
        <v>26.462499999999999</v>
      </c>
      <c r="AG177" s="385">
        <v>73</v>
      </c>
      <c r="AH177" s="23">
        <v>0.22</v>
      </c>
      <c r="AI177" s="140">
        <v>73</v>
      </c>
      <c r="AJ177" s="141" t="s">
        <v>458</v>
      </c>
      <c r="AK177" s="141"/>
      <c r="AL177" s="138">
        <f t="shared" si="16"/>
        <v>0</v>
      </c>
      <c r="AM177" s="8">
        <f t="shared" si="16"/>
        <v>0</v>
      </c>
      <c r="AN177" s="8">
        <f t="shared" si="16"/>
        <v>0</v>
      </c>
      <c r="AO177" s="139">
        <f t="shared" si="16"/>
        <v>-0.5</v>
      </c>
      <c r="AP177" s="139">
        <f t="shared" si="16"/>
        <v>-0.27312500000000028</v>
      </c>
      <c r="AQ177" s="139">
        <f t="shared" si="16"/>
        <v>0.25</v>
      </c>
      <c r="AR177" s="8">
        <f t="shared" si="16"/>
        <v>0</v>
      </c>
      <c r="AS177" s="139">
        <f t="shared" si="16"/>
        <v>4.5</v>
      </c>
      <c r="AT177" s="200" t="s">
        <v>222</v>
      </c>
      <c r="AU177" s="200" t="s">
        <v>222</v>
      </c>
      <c r="AV177" s="200" t="s">
        <v>222</v>
      </c>
      <c r="AW177" s="200" t="s">
        <v>222</v>
      </c>
      <c r="AX177" s="200" t="s">
        <v>222</v>
      </c>
      <c r="AY177" s="386">
        <v>15</v>
      </c>
      <c r="AZ177" s="312">
        <f t="shared" si="15"/>
        <v>20</v>
      </c>
      <c r="BA177" s="155">
        <f t="shared" si="15"/>
        <v>169</v>
      </c>
      <c r="BB177" s="309">
        <v>46214</v>
      </c>
      <c r="BC177" s="23" t="s">
        <v>458</v>
      </c>
      <c r="BD177" s="23"/>
    </row>
    <row r="178" spans="2:56" ht="15.5">
      <c r="B178" s="5">
        <v>1</v>
      </c>
      <c r="C178" s="39">
        <v>46216</v>
      </c>
      <c r="D178" s="302">
        <v>46217</v>
      </c>
      <c r="E178" s="133">
        <v>21</v>
      </c>
      <c r="F178" s="155">
        <v>164</v>
      </c>
      <c r="G178" s="138">
        <v>7.9250000000000001E-2</v>
      </c>
      <c r="H178" s="8">
        <v>0.32750000000000001</v>
      </c>
      <c r="I178" s="8">
        <v>0.46</v>
      </c>
      <c r="J178" s="139">
        <v>38</v>
      </c>
      <c r="K178" s="139">
        <v>26.98</v>
      </c>
      <c r="L178" s="139">
        <v>71</v>
      </c>
      <c r="M178" s="8">
        <v>0.22</v>
      </c>
      <c r="N178" s="140">
        <v>68.5</v>
      </c>
      <c r="O178" s="306"/>
      <c r="P178" s="140"/>
      <c r="Q178" s="140"/>
      <c r="R178" s="140"/>
      <c r="S178" s="140"/>
      <c r="T178" s="140"/>
      <c r="U178" s="140"/>
      <c r="V178" s="140"/>
      <c r="W178" s="140"/>
      <c r="X178" s="309">
        <v>46214</v>
      </c>
      <c r="Y178" s="309">
        <v>46216</v>
      </c>
      <c r="Z178" s="312">
        <v>20</v>
      </c>
      <c r="AA178" s="155">
        <v>170</v>
      </c>
      <c r="AB178" s="28">
        <v>7.9250000000000001E-2</v>
      </c>
      <c r="AC178" s="30">
        <v>0.32750000000000001</v>
      </c>
      <c r="AD178" s="30">
        <v>0.46</v>
      </c>
      <c r="AE178" s="385">
        <v>35</v>
      </c>
      <c r="AF178" s="385">
        <f t="shared" si="14"/>
        <v>25.462499999999999</v>
      </c>
      <c r="AG178" s="385">
        <v>72.75</v>
      </c>
      <c r="AH178" s="23">
        <v>0.22</v>
      </c>
      <c r="AI178" s="140">
        <v>73</v>
      </c>
      <c r="AJ178" s="141" t="s">
        <v>458</v>
      </c>
      <c r="AK178" s="141"/>
      <c r="AL178" s="138">
        <f t="shared" si="16"/>
        <v>0</v>
      </c>
      <c r="AM178" s="8">
        <f t="shared" si="16"/>
        <v>0</v>
      </c>
      <c r="AN178" s="8">
        <f t="shared" si="16"/>
        <v>0</v>
      </c>
      <c r="AO178" s="139">
        <f t="shared" si="16"/>
        <v>-3</v>
      </c>
      <c r="AP178" s="139">
        <f t="shared" si="16"/>
        <v>-1.5175000000000018</v>
      </c>
      <c r="AQ178" s="139">
        <f t="shared" si="16"/>
        <v>1.75</v>
      </c>
      <c r="AR178" s="8">
        <f t="shared" si="16"/>
        <v>0</v>
      </c>
      <c r="AS178" s="139">
        <f t="shared" si="16"/>
        <v>4.5</v>
      </c>
      <c r="AT178" s="200" t="s">
        <v>222</v>
      </c>
      <c r="AU178" s="200" t="s">
        <v>222</v>
      </c>
      <c r="AV178" s="200" t="s">
        <v>222</v>
      </c>
      <c r="AW178" s="200" t="s">
        <v>222</v>
      </c>
      <c r="AX178" s="200" t="s">
        <v>222</v>
      </c>
      <c r="AY178" s="386">
        <v>15</v>
      </c>
      <c r="AZ178" s="312">
        <f t="shared" si="15"/>
        <v>20</v>
      </c>
      <c r="BA178" s="155">
        <f t="shared" si="15"/>
        <v>170</v>
      </c>
      <c r="BB178" s="309">
        <v>46214</v>
      </c>
      <c r="BC178" s="23" t="s">
        <v>458</v>
      </c>
      <c r="BD178" s="23"/>
    </row>
    <row r="179" spans="2:56" ht="15.5">
      <c r="B179" s="5">
        <v>1</v>
      </c>
      <c r="C179" s="39">
        <v>46219</v>
      </c>
      <c r="D179" s="302">
        <v>46220</v>
      </c>
      <c r="E179" s="133">
        <v>22</v>
      </c>
      <c r="F179" s="155">
        <v>169</v>
      </c>
      <c r="G179" s="138">
        <v>9.9750000000000005E-2</v>
      </c>
      <c r="H179" s="8">
        <v>0.29250000000000004</v>
      </c>
      <c r="I179" s="8">
        <v>0.4</v>
      </c>
      <c r="J179" s="139">
        <v>35.75</v>
      </c>
      <c r="K179" s="139">
        <v>26.008125</v>
      </c>
      <c r="L179" s="139">
        <v>72.75</v>
      </c>
      <c r="M179" s="8">
        <v>0.21</v>
      </c>
      <c r="N179" s="140">
        <v>72</v>
      </c>
      <c r="O179" s="306"/>
      <c r="P179" s="140"/>
      <c r="Q179" s="140"/>
      <c r="R179" s="140"/>
      <c r="S179" s="140"/>
      <c r="T179" s="140"/>
      <c r="U179" s="140"/>
      <c r="V179" s="140"/>
      <c r="W179" s="140"/>
      <c r="X179" s="309">
        <v>46214</v>
      </c>
      <c r="Y179" s="309">
        <v>46216</v>
      </c>
      <c r="Z179" s="312">
        <v>20</v>
      </c>
      <c r="AA179" s="155">
        <v>171</v>
      </c>
      <c r="AB179" s="28">
        <v>9.9750000000000005E-2</v>
      </c>
      <c r="AC179" s="30">
        <v>0.29250000000000004</v>
      </c>
      <c r="AD179" s="30">
        <v>0.4</v>
      </c>
      <c r="AE179" s="385">
        <v>35.75</v>
      </c>
      <c r="AF179" s="385">
        <f t="shared" si="14"/>
        <v>26.008125</v>
      </c>
      <c r="AG179" s="385">
        <v>72.75</v>
      </c>
      <c r="AH179" s="23">
        <v>0.22</v>
      </c>
      <c r="AI179" s="140">
        <v>73</v>
      </c>
      <c r="AJ179" s="141" t="s">
        <v>458</v>
      </c>
      <c r="AK179" s="141"/>
      <c r="AL179" s="138">
        <f t="shared" si="16"/>
        <v>0</v>
      </c>
      <c r="AM179" s="8">
        <f t="shared" si="16"/>
        <v>0</v>
      </c>
      <c r="AN179" s="8">
        <f t="shared" si="16"/>
        <v>0</v>
      </c>
      <c r="AO179" s="139">
        <f t="shared" si="16"/>
        <v>0</v>
      </c>
      <c r="AP179" s="139">
        <f t="shared" si="16"/>
        <v>0</v>
      </c>
      <c r="AQ179" s="139">
        <f t="shared" si="16"/>
        <v>0</v>
      </c>
      <c r="AR179" s="8">
        <f t="shared" si="16"/>
        <v>1.0000000000000009E-2</v>
      </c>
      <c r="AS179" s="139">
        <f t="shared" si="16"/>
        <v>1</v>
      </c>
      <c r="AT179" s="200" t="s">
        <v>222</v>
      </c>
      <c r="AU179" s="200" t="s">
        <v>222</v>
      </c>
      <c r="AV179" s="200" t="s">
        <v>222</v>
      </c>
      <c r="AW179" s="200" t="s">
        <v>222</v>
      </c>
      <c r="AX179" s="200" t="s">
        <v>222</v>
      </c>
      <c r="AY179" s="386">
        <v>15</v>
      </c>
      <c r="AZ179" s="312">
        <f t="shared" si="15"/>
        <v>20</v>
      </c>
      <c r="BA179" s="155">
        <f t="shared" si="15"/>
        <v>171</v>
      </c>
      <c r="BB179" s="309">
        <v>46214</v>
      </c>
      <c r="BC179" s="23" t="s">
        <v>458</v>
      </c>
      <c r="BD179" s="23"/>
    </row>
    <row r="180" spans="2:56" ht="15.5">
      <c r="B180" s="5">
        <v>1</v>
      </c>
      <c r="C180" s="39">
        <v>46219</v>
      </c>
      <c r="D180" s="302">
        <v>46220</v>
      </c>
      <c r="E180" s="133">
        <v>22</v>
      </c>
      <c r="F180" s="155">
        <v>170</v>
      </c>
      <c r="G180" s="138">
        <v>6.6000000000000003E-2</v>
      </c>
      <c r="H180" s="8">
        <v>0.29499999999999998</v>
      </c>
      <c r="I180" s="8">
        <v>0.32</v>
      </c>
      <c r="J180" s="139">
        <v>34.5</v>
      </c>
      <c r="K180" s="139">
        <v>24.75375</v>
      </c>
      <c r="L180" s="139">
        <v>71.75</v>
      </c>
      <c r="M180" s="8">
        <v>0.21</v>
      </c>
      <c r="N180" s="140">
        <v>72</v>
      </c>
      <c r="O180" s="306"/>
      <c r="P180" s="140"/>
      <c r="Q180" s="140"/>
      <c r="R180" s="140"/>
      <c r="S180" s="140"/>
      <c r="T180" s="140"/>
      <c r="U180" s="140"/>
      <c r="V180" s="140"/>
      <c r="W180" s="140"/>
      <c r="X180" s="309">
        <v>46214</v>
      </c>
      <c r="Y180" s="309">
        <v>46216</v>
      </c>
      <c r="Z180" s="312">
        <v>20</v>
      </c>
      <c r="AA180" s="155">
        <v>172</v>
      </c>
      <c r="AB180" s="28">
        <v>6.6000000000000003E-2</v>
      </c>
      <c r="AC180" s="30">
        <v>0.29499999999999998</v>
      </c>
      <c r="AD180" s="30">
        <v>0.32</v>
      </c>
      <c r="AE180" s="385">
        <v>34.5</v>
      </c>
      <c r="AF180" s="385">
        <f t="shared" si="14"/>
        <v>24.75375</v>
      </c>
      <c r="AG180" s="385">
        <v>71.75</v>
      </c>
      <c r="AH180" s="23">
        <v>0.22</v>
      </c>
      <c r="AI180" s="140">
        <v>72</v>
      </c>
      <c r="AJ180" s="141" t="s">
        <v>458</v>
      </c>
      <c r="AK180" s="141"/>
      <c r="AL180" s="138">
        <f t="shared" si="16"/>
        <v>0</v>
      </c>
      <c r="AM180" s="8">
        <f t="shared" si="16"/>
        <v>0</v>
      </c>
      <c r="AN180" s="8">
        <f t="shared" si="16"/>
        <v>0</v>
      </c>
      <c r="AO180" s="139">
        <f t="shared" si="16"/>
        <v>0</v>
      </c>
      <c r="AP180" s="139">
        <f t="shared" si="16"/>
        <v>0</v>
      </c>
      <c r="AQ180" s="139">
        <f t="shared" si="16"/>
        <v>0</v>
      </c>
      <c r="AR180" s="8">
        <f t="shared" si="16"/>
        <v>1.0000000000000009E-2</v>
      </c>
      <c r="AS180" s="139">
        <f t="shared" si="16"/>
        <v>0</v>
      </c>
      <c r="AT180" s="200" t="s">
        <v>222</v>
      </c>
      <c r="AU180" s="200" t="s">
        <v>222</v>
      </c>
      <c r="AV180" s="200" t="s">
        <v>222</v>
      </c>
      <c r="AW180" s="200" t="s">
        <v>222</v>
      </c>
      <c r="AX180" s="200" t="s">
        <v>222</v>
      </c>
      <c r="AY180" s="386">
        <v>15</v>
      </c>
      <c r="AZ180" s="312">
        <f t="shared" si="15"/>
        <v>20</v>
      </c>
      <c r="BA180" s="155">
        <f t="shared" si="15"/>
        <v>172</v>
      </c>
      <c r="BB180" s="309">
        <v>46214</v>
      </c>
      <c r="BC180" s="23" t="s">
        <v>458</v>
      </c>
      <c r="BD180" s="23"/>
    </row>
    <row r="181" spans="2:56" ht="15.5">
      <c r="B181" s="5">
        <v>1</v>
      </c>
      <c r="C181" s="39">
        <v>46219</v>
      </c>
      <c r="D181" s="302">
        <v>46220</v>
      </c>
      <c r="E181" s="133">
        <v>22</v>
      </c>
      <c r="F181" s="155">
        <v>171</v>
      </c>
      <c r="G181" s="138">
        <v>6.275E-2</v>
      </c>
      <c r="H181" s="8">
        <v>0.30249999999999999</v>
      </c>
      <c r="I181" s="8">
        <v>0.25</v>
      </c>
      <c r="J181" s="139">
        <v>36.75</v>
      </c>
      <c r="K181" s="139">
        <v>25.725000000000001</v>
      </c>
      <c r="L181" s="139">
        <v>70</v>
      </c>
      <c r="M181" s="8">
        <v>0.21</v>
      </c>
      <c r="N181" s="140">
        <v>72</v>
      </c>
      <c r="O181" s="306"/>
      <c r="P181" s="140"/>
      <c r="Q181" s="140"/>
      <c r="R181" s="140"/>
      <c r="S181" s="140"/>
      <c r="T181" s="140"/>
      <c r="U181" s="140"/>
      <c r="V181" s="140"/>
      <c r="W181" s="140"/>
      <c r="X181" s="309">
        <v>46214</v>
      </c>
      <c r="Y181" s="309">
        <v>46216</v>
      </c>
      <c r="Z181" s="312">
        <v>20</v>
      </c>
      <c r="AA181" s="155">
        <v>173</v>
      </c>
      <c r="AB181" s="28">
        <v>6.275E-2</v>
      </c>
      <c r="AC181" s="30">
        <v>0.30249999999999999</v>
      </c>
      <c r="AD181" s="30">
        <v>0.25</v>
      </c>
      <c r="AE181" s="385">
        <v>38</v>
      </c>
      <c r="AF181" s="385">
        <f t="shared" si="14"/>
        <v>26.695</v>
      </c>
      <c r="AG181" s="385">
        <v>70.25</v>
      </c>
      <c r="AH181" s="23">
        <v>0.22</v>
      </c>
      <c r="AI181" s="140">
        <v>72</v>
      </c>
      <c r="AJ181" s="141" t="s">
        <v>458</v>
      </c>
      <c r="AK181" s="141"/>
      <c r="AL181" s="138">
        <f t="shared" si="16"/>
        <v>0</v>
      </c>
      <c r="AM181" s="8">
        <f t="shared" si="16"/>
        <v>0</v>
      </c>
      <c r="AN181" s="8">
        <f t="shared" si="16"/>
        <v>0</v>
      </c>
      <c r="AO181" s="139">
        <f t="shared" si="16"/>
        <v>1.25</v>
      </c>
      <c r="AP181" s="139">
        <f t="shared" si="16"/>
        <v>0.96999999999999886</v>
      </c>
      <c r="AQ181" s="139">
        <f t="shared" si="16"/>
        <v>0.25</v>
      </c>
      <c r="AR181" s="8">
        <f t="shared" si="16"/>
        <v>1.0000000000000009E-2</v>
      </c>
      <c r="AS181" s="139">
        <f t="shared" si="16"/>
        <v>0</v>
      </c>
      <c r="AT181" s="200" t="s">
        <v>222</v>
      </c>
      <c r="AU181" s="200" t="s">
        <v>222</v>
      </c>
      <c r="AV181" s="200" t="s">
        <v>222</v>
      </c>
      <c r="AW181" s="200" t="s">
        <v>222</v>
      </c>
      <c r="AX181" s="200" t="s">
        <v>222</v>
      </c>
      <c r="AY181" s="386">
        <v>15</v>
      </c>
      <c r="AZ181" s="312">
        <f t="shared" si="15"/>
        <v>20</v>
      </c>
      <c r="BA181" s="155">
        <f t="shared" si="15"/>
        <v>173</v>
      </c>
      <c r="BB181" s="309">
        <v>46214</v>
      </c>
      <c r="BC181" s="23" t="s">
        <v>458</v>
      </c>
      <c r="BD181" s="23"/>
    </row>
    <row r="182" spans="2:56" ht="15.5">
      <c r="B182" s="5"/>
      <c r="C182" s="39"/>
      <c r="D182" s="302"/>
      <c r="E182" s="133" t="s">
        <v>618</v>
      </c>
      <c r="F182" s="308" t="s">
        <v>313</v>
      </c>
      <c r="G182" s="138"/>
      <c r="H182" s="8"/>
      <c r="I182" s="8"/>
      <c r="J182" s="139"/>
      <c r="K182" s="139"/>
      <c r="L182" s="139"/>
      <c r="M182" s="8"/>
      <c r="N182" s="140"/>
      <c r="O182" s="306"/>
      <c r="P182" s="140"/>
      <c r="Q182" s="140"/>
      <c r="R182" s="140"/>
      <c r="S182" s="140"/>
      <c r="T182" s="140"/>
      <c r="U182" s="140"/>
      <c r="V182" s="140"/>
      <c r="W182" s="140"/>
      <c r="X182" s="309">
        <v>46214</v>
      </c>
      <c r="Y182" s="309">
        <v>46216</v>
      </c>
      <c r="Z182" s="312">
        <v>20</v>
      </c>
      <c r="AA182" s="155">
        <v>174</v>
      </c>
      <c r="AB182" s="28">
        <v>9.7000000000000003E-2</v>
      </c>
      <c r="AC182" s="30">
        <v>0.31</v>
      </c>
      <c r="AD182" s="30">
        <v>0.39</v>
      </c>
      <c r="AE182" s="385">
        <v>41.5</v>
      </c>
      <c r="AF182" s="385">
        <f t="shared" si="14"/>
        <v>29.465</v>
      </c>
      <c r="AG182" s="385">
        <v>71</v>
      </c>
      <c r="AH182" s="23">
        <v>0.22</v>
      </c>
      <c r="AI182" s="140">
        <v>72</v>
      </c>
      <c r="AJ182" s="141" t="s">
        <v>458</v>
      </c>
      <c r="AK182" s="141"/>
      <c r="AL182" s="138">
        <f t="shared" si="16"/>
        <v>9.7000000000000003E-2</v>
      </c>
      <c r="AM182" s="8">
        <f t="shared" si="16"/>
        <v>0.31</v>
      </c>
      <c r="AN182" s="8">
        <f t="shared" si="16"/>
        <v>0.39</v>
      </c>
      <c r="AO182" s="139">
        <f t="shared" si="16"/>
        <v>41.5</v>
      </c>
      <c r="AP182" s="139">
        <f t="shared" si="16"/>
        <v>29.465</v>
      </c>
      <c r="AQ182" s="139">
        <f t="shared" si="16"/>
        <v>71</v>
      </c>
      <c r="AR182" s="8">
        <f t="shared" si="16"/>
        <v>0.22</v>
      </c>
      <c r="AS182" s="139">
        <f t="shared" si="16"/>
        <v>72</v>
      </c>
      <c r="AT182" s="200" t="s">
        <v>222</v>
      </c>
      <c r="AU182" s="200" t="s">
        <v>222</v>
      </c>
      <c r="AV182" s="200" t="s">
        <v>222</v>
      </c>
      <c r="AW182" s="200" t="s">
        <v>222</v>
      </c>
      <c r="AX182" s="200" t="s">
        <v>222</v>
      </c>
      <c r="AY182" s="386">
        <v>15</v>
      </c>
      <c r="AZ182" s="312">
        <f t="shared" si="15"/>
        <v>20</v>
      </c>
      <c r="BA182" s="155">
        <f t="shared" si="15"/>
        <v>174</v>
      </c>
      <c r="BB182" s="309">
        <v>46214</v>
      </c>
      <c r="BC182" s="23" t="s">
        <v>458</v>
      </c>
      <c r="BD182" s="23"/>
    </row>
    <row r="183" spans="2:56" ht="15.5">
      <c r="B183" s="5"/>
      <c r="C183" s="39"/>
      <c r="D183" s="302"/>
      <c r="E183" s="133" t="s">
        <v>618</v>
      </c>
      <c r="F183" s="308" t="s">
        <v>271</v>
      </c>
      <c r="G183" s="138"/>
      <c r="H183" s="8"/>
      <c r="I183" s="8"/>
      <c r="J183" s="139"/>
      <c r="K183" s="139"/>
      <c r="L183" s="139"/>
      <c r="M183" s="8"/>
      <c r="N183" s="140"/>
      <c r="O183" s="306"/>
      <c r="P183" s="140"/>
      <c r="Q183" s="140"/>
      <c r="R183" s="140"/>
      <c r="S183" s="140"/>
      <c r="T183" s="140"/>
      <c r="U183" s="140"/>
      <c r="V183" s="140"/>
      <c r="W183" s="140"/>
      <c r="X183" s="309">
        <v>46214</v>
      </c>
      <c r="Y183" s="309">
        <v>46216</v>
      </c>
      <c r="Z183" s="312">
        <v>20</v>
      </c>
      <c r="AA183" s="155">
        <v>175</v>
      </c>
      <c r="AB183" s="28">
        <v>0.10875</v>
      </c>
      <c r="AC183" s="30">
        <v>0.27750000000000002</v>
      </c>
      <c r="AD183" s="30">
        <v>0.32</v>
      </c>
      <c r="AE183" s="385">
        <v>39.25</v>
      </c>
      <c r="AF183" s="385">
        <f t="shared" si="14"/>
        <v>27.475000000000001</v>
      </c>
      <c r="AG183" s="385">
        <v>70</v>
      </c>
      <c r="AH183" s="23">
        <v>0.22</v>
      </c>
      <c r="AI183" s="140">
        <v>72</v>
      </c>
      <c r="AJ183" s="141" t="s">
        <v>458</v>
      </c>
      <c r="AK183" s="141"/>
      <c r="AL183" s="138">
        <f t="shared" si="16"/>
        <v>0.10875</v>
      </c>
      <c r="AM183" s="8">
        <f t="shared" si="16"/>
        <v>0.27750000000000002</v>
      </c>
      <c r="AN183" s="8">
        <f t="shared" si="16"/>
        <v>0.32</v>
      </c>
      <c r="AO183" s="139">
        <f t="shared" si="16"/>
        <v>39.25</v>
      </c>
      <c r="AP183" s="139">
        <f t="shared" si="16"/>
        <v>27.475000000000001</v>
      </c>
      <c r="AQ183" s="139">
        <f t="shared" si="16"/>
        <v>70</v>
      </c>
      <c r="AR183" s="8">
        <f t="shared" si="16"/>
        <v>0.22</v>
      </c>
      <c r="AS183" s="139">
        <f t="shared" si="16"/>
        <v>72</v>
      </c>
      <c r="AT183" s="200" t="s">
        <v>222</v>
      </c>
      <c r="AU183" s="200" t="s">
        <v>222</v>
      </c>
      <c r="AV183" s="200" t="s">
        <v>222</v>
      </c>
      <c r="AW183" s="200" t="s">
        <v>222</v>
      </c>
      <c r="AX183" s="200" t="s">
        <v>222</v>
      </c>
      <c r="AY183" s="386">
        <v>15</v>
      </c>
      <c r="AZ183" s="312">
        <f t="shared" si="15"/>
        <v>20</v>
      </c>
      <c r="BA183" s="155">
        <f t="shared" si="15"/>
        <v>175</v>
      </c>
      <c r="BB183" s="309">
        <v>46214</v>
      </c>
      <c r="BC183" s="23" t="s">
        <v>458</v>
      </c>
      <c r="BD183" s="23"/>
    </row>
    <row r="184" spans="2:56" ht="15.5">
      <c r="B184" s="5">
        <v>2</v>
      </c>
      <c r="C184" s="39">
        <v>46220</v>
      </c>
      <c r="D184" s="302">
        <v>46221</v>
      </c>
      <c r="E184" s="133">
        <v>24</v>
      </c>
      <c r="F184" s="155">
        <v>185</v>
      </c>
      <c r="G184" s="138">
        <v>6.1249999999999999E-2</v>
      </c>
      <c r="H184" s="8">
        <v>0.32500000000000001</v>
      </c>
      <c r="I184" s="8">
        <v>0.19</v>
      </c>
      <c r="J184" s="139">
        <v>37.75</v>
      </c>
      <c r="K184" s="139">
        <v>28.501249999999999</v>
      </c>
      <c r="L184" s="139">
        <v>75.5</v>
      </c>
      <c r="M184" s="8">
        <v>0.22</v>
      </c>
      <c r="N184" s="140">
        <v>73.5</v>
      </c>
      <c r="O184" s="306"/>
      <c r="P184" s="140"/>
      <c r="Q184" s="140"/>
      <c r="R184" s="140"/>
      <c r="S184" s="140">
        <v>37</v>
      </c>
      <c r="T184" s="140">
        <v>28.12</v>
      </c>
      <c r="U184" s="140">
        <v>76</v>
      </c>
      <c r="V184" s="140"/>
      <c r="W184" s="140"/>
      <c r="X184" s="375" t="s">
        <v>619</v>
      </c>
      <c r="Y184" s="375" t="s">
        <v>619</v>
      </c>
      <c r="Z184" s="312">
        <v>21</v>
      </c>
      <c r="AA184" s="155">
        <v>176</v>
      </c>
      <c r="AB184" s="28">
        <v>6.1249999999999999E-2</v>
      </c>
      <c r="AC184" s="30">
        <v>0.32500000000000001</v>
      </c>
      <c r="AD184" s="30">
        <v>0.19</v>
      </c>
      <c r="AE184" s="385">
        <v>35.5</v>
      </c>
      <c r="AF184" s="385">
        <f t="shared" si="14"/>
        <v>25.3825</v>
      </c>
      <c r="AG184" s="385">
        <v>71.5</v>
      </c>
      <c r="AH184" s="23">
        <v>0.22</v>
      </c>
      <c r="AI184" s="140">
        <v>72</v>
      </c>
      <c r="AJ184" s="141" t="s">
        <v>458</v>
      </c>
      <c r="AK184" s="141"/>
      <c r="AL184" s="138">
        <f t="shared" si="16"/>
        <v>0</v>
      </c>
      <c r="AM184" s="8">
        <f t="shared" si="16"/>
        <v>0</v>
      </c>
      <c r="AN184" s="8">
        <f t="shared" si="16"/>
        <v>0</v>
      </c>
      <c r="AO184" s="139">
        <f t="shared" si="16"/>
        <v>-2.25</v>
      </c>
      <c r="AP184" s="139">
        <f t="shared" si="16"/>
        <v>-3.1187499999999986</v>
      </c>
      <c r="AQ184" s="139">
        <f t="shared" si="16"/>
        <v>-4</v>
      </c>
      <c r="AR184" s="8">
        <f t="shared" si="16"/>
        <v>0</v>
      </c>
      <c r="AS184" s="139">
        <f t="shared" si="16"/>
        <v>-1.5</v>
      </c>
      <c r="AT184" s="200" t="s">
        <v>222</v>
      </c>
      <c r="AU184" s="200" t="s">
        <v>222</v>
      </c>
      <c r="AV184" s="200" t="s">
        <v>222</v>
      </c>
      <c r="AW184" s="200" t="s">
        <v>222</v>
      </c>
      <c r="AX184" s="200" t="s">
        <v>222</v>
      </c>
      <c r="AY184" s="386">
        <v>16</v>
      </c>
      <c r="AZ184" s="312">
        <f t="shared" si="15"/>
        <v>21</v>
      </c>
      <c r="BA184" s="155">
        <f t="shared" si="15"/>
        <v>176</v>
      </c>
      <c r="BB184" s="439" t="s">
        <v>620</v>
      </c>
      <c r="BC184" s="23" t="s">
        <v>458</v>
      </c>
      <c r="BD184" s="23"/>
    </row>
    <row r="185" spans="2:56" ht="15.5">
      <c r="B185" s="5">
        <v>2</v>
      </c>
      <c r="C185" s="39">
        <v>46220</v>
      </c>
      <c r="D185" s="302">
        <v>46221</v>
      </c>
      <c r="E185" s="133">
        <v>24</v>
      </c>
      <c r="F185" s="155">
        <v>186</v>
      </c>
      <c r="G185" s="138">
        <v>9.325E-2</v>
      </c>
      <c r="H185" s="8">
        <v>0.31</v>
      </c>
      <c r="I185" s="8">
        <v>0.25</v>
      </c>
      <c r="J185" s="139">
        <v>38.25</v>
      </c>
      <c r="K185" s="139">
        <v>28.783124999999998</v>
      </c>
      <c r="L185" s="139">
        <v>75.25</v>
      </c>
      <c r="M185" s="8">
        <v>0.22</v>
      </c>
      <c r="N185" s="140">
        <v>73.5</v>
      </c>
      <c r="O185" s="306"/>
      <c r="P185" s="140"/>
      <c r="Q185" s="140"/>
      <c r="R185" s="140"/>
      <c r="S185" s="140">
        <v>37</v>
      </c>
      <c r="T185" s="140">
        <v>28.12</v>
      </c>
      <c r="U185" s="140">
        <v>76</v>
      </c>
      <c r="V185" s="140"/>
      <c r="W185" s="140"/>
      <c r="X185" s="375" t="s">
        <v>619</v>
      </c>
      <c r="Y185" s="375" t="s">
        <v>619</v>
      </c>
      <c r="Z185" s="312">
        <v>21</v>
      </c>
      <c r="AA185" s="155">
        <v>177</v>
      </c>
      <c r="AB185" s="28">
        <v>9.325E-2</v>
      </c>
      <c r="AC185" s="30">
        <v>0.31</v>
      </c>
      <c r="AD185" s="30">
        <v>0.25</v>
      </c>
      <c r="AE185" s="385">
        <v>33.75</v>
      </c>
      <c r="AF185" s="385">
        <f t="shared" si="14"/>
        <v>25.903124999999999</v>
      </c>
      <c r="AG185" s="385">
        <v>76.75</v>
      </c>
      <c r="AH185" s="23">
        <v>0.22</v>
      </c>
      <c r="AI185" s="140">
        <v>72</v>
      </c>
      <c r="AJ185" s="141" t="s">
        <v>458</v>
      </c>
      <c r="AK185" s="141"/>
      <c r="AL185" s="138">
        <f t="shared" si="16"/>
        <v>0</v>
      </c>
      <c r="AM185" s="8">
        <f t="shared" si="16"/>
        <v>0</v>
      </c>
      <c r="AN185" s="8">
        <f t="shared" si="16"/>
        <v>0</v>
      </c>
      <c r="AO185" s="139">
        <f t="shared" si="16"/>
        <v>-4.5</v>
      </c>
      <c r="AP185" s="139">
        <f t="shared" si="16"/>
        <v>-2.879999999999999</v>
      </c>
      <c r="AQ185" s="139">
        <f t="shared" si="16"/>
        <v>1.5</v>
      </c>
      <c r="AR185" s="8">
        <f t="shared" si="16"/>
        <v>0</v>
      </c>
      <c r="AS185" s="139">
        <f t="shared" si="16"/>
        <v>-1.5</v>
      </c>
      <c r="AT185" s="200" t="s">
        <v>222</v>
      </c>
      <c r="AU185" s="200" t="s">
        <v>222</v>
      </c>
      <c r="AV185" s="200" t="s">
        <v>222</v>
      </c>
      <c r="AW185" s="200" t="s">
        <v>222</v>
      </c>
      <c r="AX185" s="200" t="s">
        <v>222</v>
      </c>
      <c r="AY185" s="386">
        <v>16</v>
      </c>
      <c r="AZ185" s="312">
        <f t="shared" si="15"/>
        <v>21</v>
      </c>
      <c r="BA185" s="155">
        <f t="shared" si="15"/>
        <v>177</v>
      </c>
      <c r="BB185" s="439" t="s">
        <v>620</v>
      </c>
      <c r="BC185" s="23" t="s">
        <v>458</v>
      </c>
      <c r="BD185" s="23"/>
    </row>
    <row r="186" spans="2:56" ht="15.5">
      <c r="B186" s="5">
        <v>2</v>
      </c>
      <c r="C186" s="39">
        <v>46221</v>
      </c>
      <c r="D186" s="302">
        <v>46223</v>
      </c>
      <c r="E186" s="133">
        <v>24</v>
      </c>
      <c r="F186" s="155">
        <v>187</v>
      </c>
      <c r="G186" s="138">
        <v>9.35E-2</v>
      </c>
      <c r="H186" s="8">
        <v>0.35250000000000004</v>
      </c>
      <c r="I186" s="8">
        <v>0.25</v>
      </c>
      <c r="J186" s="139">
        <v>35.5</v>
      </c>
      <c r="K186" s="139">
        <v>25.64875</v>
      </c>
      <c r="L186" s="139">
        <v>72.25</v>
      </c>
      <c r="M186" s="8">
        <v>0.22</v>
      </c>
      <c r="N186" s="140">
        <v>73.5</v>
      </c>
      <c r="O186" s="306"/>
      <c r="P186" s="140"/>
      <c r="Q186" s="140"/>
      <c r="R186" s="140"/>
      <c r="S186" s="140"/>
      <c r="T186" s="140"/>
      <c r="U186" s="140"/>
      <c r="V186" s="140"/>
      <c r="W186" s="140"/>
      <c r="X186" s="375" t="s">
        <v>619</v>
      </c>
      <c r="Y186" s="375" t="s">
        <v>619</v>
      </c>
      <c r="Z186" s="312">
        <v>21</v>
      </c>
      <c r="AA186" s="155">
        <v>178</v>
      </c>
      <c r="AB186" s="28">
        <v>9.35E-2</v>
      </c>
      <c r="AC186" s="30">
        <v>0.35250000000000004</v>
      </c>
      <c r="AD186" s="30">
        <v>0.25</v>
      </c>
      <c r="AE186" s="385">
        <v>37.5</v>
      </c>
      <c r="AF186" s="385">
        <f t="shared" si="14"/>
        <v>25.96875</v>
      </c>
      <c r="AG186" s="385">
        <v>69.25</v>
      </c>
      <c r="AH186" s="23">
        <v>0.22</v>
      </c>
      <c r="AI186" s="140">
        <v>72</v>
      </c>
      <c r="AJ186" s="141" t="s">
        <v>458</v>
      </c>
      <c r="AK186" s="141"/>
      <c r="AL186" s="138">
        <f t="shared" si="16"/>
        <v>0</v>
      </c>
      <c r="AM186" s="8">
        <f t="shared" si="16"/>
        <v>0</v>
      </c>
      <c r="AN186" s="8">
        <f t="shared" si="16"/>
        <v>0</v>
      </c>
      <c r="AO186" s="139">
        <f t="shared" si="16"/>
        <v>2</v>
      </c>
      <c r="AP186" s="139">
        <f t="shared" si="16"/>
        <v>0.32000000000000028</v>
      </c>
      <c r="AQ186" s="139">
        <f t="shared" si="16"/>
        <v>-3</v>
      </c>
      <c r="AR186" s="8">
        <f t="shared" si="16"/>
        <v>0</v>
      </c>
      <c r="AS186" s="139">
        <f t="shared" si="16"/>
        <v>-1.5</v>
      </c>
      <c r="AT186" s="200" t="s">
        <v>222</v>
      </c>
      <c r="AU186" s="200" t="s">
        <v>222</v>
      </c>
      <c r="AV186" s="200" t="s">
        <v>222</v>
      </c>
      <c r="AW186" s="200" t="s">
        <v>222</v>
      </c>
      <c r="AX186" s="200" t="s">
        <v>222</v>
      </c>
      <c r="AY186" s="386">
        <v>16</v>
      </c>
      <c r="AZ186" s="312">
        <f t="shared" si="15"/>
        <v>21</v>
      </c>
      <c r="BA186" s="155">
        <f t="shared" si="15"/>
        <v>178</v>
      </c>
      <c r="BB186" s="439" t="s">
        <v>620</v>
      </c>
      <c r="BC186" s="23" t="s">
        <v>458</v>
      </c>
      <c r="BD186" s="23"/>
    </row>
    <row r="187" spans="2:56" ht="15.5">
      <c r="B187" s="5">
        <v>2</v>
      </c>
      <c r="C187" s="39">
        <v>46221</v>
      </c>
      <c r="D187" s="302">
        <v>46223</v>
      </c>
      <c r="E187" s="133">
        <v>24</v>
      </c>
      <c r="F187" s="155">
        <v>188</v>
      </c>
      <c r="G187" s="138">
        <v>2.8999999999999998E-2</v>
      </c>
      <c r="H187" s="8">
        <v>0.33250000000000002</v>
      </c>
      <c r="I187" s="8">
        <v>0.44</v>
      </c>
      <c r="J187" s="139">
        <v>35.75</v>
      </c>
      <c r="K187" s="139">
        <v>25.3825</v>
      </c>
      <c r="L187" s="139">
        <v>71</v>
      </c>
      <c r="M187" s="8">
        <v>0.22</v>
      </c>
      <c r="N187" s="140">
        <v>73.5</v>
      </c>
      <c r="O187" s="306"/>
      <c r="P187" s="140"/>
      <c r="Q187" s="140"/>
      <c r="R187" s="140"/>
      <c r="S187" s="140"/>
      <c r="T187" s="140"/>
      <c r="U187" s="140"/>
      <c r="V187" s="140"/>
      <c r="W187" s="140"/>
      <c r="X187" s="375" t="s">
        <v>619</v>
      </c>
      <c r="Y187" s="375" t="s">
        <v>619</v>
      </c>
      <c r="Z187" s="312">
        <v>21</v>
      </c>
      <c r="AA187" s="155">
        <v>179</v>
      </c>
      <c r="AB187" s="28">
        <v>2.8999999999999998E-2</v>
      </c>
      <c r="AC187" s="30">
        <v>0.33250000000000002</v>
      </c>
      <c r="AD187" s="30">
        <v>0.44</v>
      </c>
      <c r="AE187" s="385">
        <v>34.75</v>
      </c>
      <c r="AF187" s="385">
        <f t="shared" si="14"/>
        <v>25.193750000000001</v>
      </c>
      <c r="AG187" s="385">
        <v>72.5</v>
      </c>
      <c r="AH187" s="23">
        <v>0.22</v>
      </c>
      <c r="AI187" s="140">
        <v>72</v>
      </c>
      <c r="AJ187" s="141" t="s">
        <v>458</v>
      </c>
      <c r="AK187" s="141"/>
      <c r="AL187" s="138">
        <f t="shared" si="16"/>
        <v>0</v>
      </c>
      <c r="AM187" s="8">
        <f t="shared" si="16"/>
        <v>0</v>
      </c>
      <c r="AN187" s="8">
        <f t="shared" si="16"/>
        <v>0</v>
      </c>
      <c r="AO187" s="139">
        <f t="shared" si="16"/>
        <v>-1</v>
      </c>
      <c r="AP187" s="139">
        <f t="shared" si="16"/>
        <v>-0.18874999999999886</v>
      </c>
      <c r="AQ187" s="139">
        <f t="shared" si="16"/>
        <v>1.5</v>
      </c>
      <c r="AR187" s="8">
        <f t="shared" si="16"/>
        <v>0</v>
      </c>
      <c r="AS187" s="139">
        <f t="shared" si="16"/>
        <v>-1.5</v>
      </c>
      <c r="AT187" s="200" t="s">
        <v>222</v>
      </c>
      <c r="AU187" s="200" t="s">
        <v>222</v>
      </c>
      <c r="AV187" s="200" t="s">
        <v>222</v>
      </c>
      <c r="AW187" s="200" t="s">
        <v>222</v>
      </c>
      <c r="AX187" s="200" t="s">
        <v>222</v>
      </c>
      <c r="AY187" s="386">
        <v>16</v>
      </c>
      <c r="AZ187" s="312">
        <f t="shared" si="15"/>
        <v>21</v>
      </c>
      <c r="BA187" s="155">
        <f t="shared" si="15"/>
        <v>179</v>
      </c>
      <c r="BB187" s="439" t="s">
        <v>620</v>
      </c>
      <c r="BC187" s="23" t="s">
        <v>458</v>
      </c>
      <c r="BD187" s="23"/>
    </row>
    <row r="188" spans="2:56" ht="15.5">
      <c r="B188" s="5">
        <v>2</v>
      </c>
      <c r="C188" s="39">
        <v>46224</v>
      </c>
      <c r="D188" s="302">
        <v>46224</v>
      </c>
      <c r="E188" s="133">
        <v>24</v>
      </c>
      <c r="F188" s="155">
        <v>189</v>
      </c>
      <c r="G188" s="138">
        <v>2.4500000000000001E-2</v>
      </c>
      <c r="H188" s="8">
        <v>0.315</v>
      </c>
      <c r="I188" s="8">
        <v>0.39</v>
      </c>
      <c r="J188" s="139">
        <v>35.25</v>
      </c>
      <c r="K188" s="139">
        <v>25.115625000000001</v>
      </c>
      <c r="L188" s="139">
        <v>71.25</v>
      </c>
      <c r="M188" s="8">
        <v>0.22</v>
      </c>
      <c r="N188" s="140">
        <v>70</v>
      </c>
      <c r="O188" s="306"/>
      <c r="P188" s="140"/>
      <c r="Q188" s="140"/>
      <c r="R188" s="140"/>
      <c r="S188" s="140"/>
      <c r="T188" s="140"/>
      <c r="U188" s="140"/>
      <c r="V188" s="140"/>
      <c r="W188" s="140"/>
      <c r="X188" s="375" t="s">
        <v>619</v>
      </c>
      <c r="Y188" s="375" t="s">
        <v>619</v>
      </c>
      <c r="Z188" s="312">
        <v>21</v>
      </c>
      <c r="AA188" s="155">
        <v>180</v>
      </c>
      <c r="AB188" s="28">
        <v>2.4500000000000001E-2</v>
      </c>
      <c r="AC188" s="30">
        <v>0.315</v>
      </c>
      <c r="AD188" s="30">
        <v>0.39</v>
      </c>
      <c r="AE188" s="385">
        <v>34.25</v>
      </c>
      <c r="AF188" s="385">
        <f t="shared" si="14"/>
        <v>24.745625</v>
      </c>
      <c r="AG188" s="385">
        <v>72.25</v>
      </c>
      <c r="AH188" s="23">
        <v>0.22</v>
      </c>
      <c r="AI188" s="140">
        <v>69</v>
      </c>
      <c r="AJ188" s="141" t="s">
        <v>458</v>
      </c>
      <c r="AK188" s="141"/>
      <c r="AL188" s="138">
        <f t="shared" si="16"/>
        <v>0</v>
      </c>
      <c r="AM188" s="8">
        <f t="shared" si="16"/>
        <v>0</v>
      </c>
      <c r="AN188" s="8">
        <f t="shared" si="16"/>
        <v>0</v>
      </c>
      <c r="AO188" s="139">
        <f t="shared" si="16"/>
        <v>-1</v>
      </c>
      <c r="AP188" s="139">
        <f t="shared" si="16"/>
        <v>-0.37000000000000099</v>
      </c>
      <c r="AQ188" s="139">
        <f t="shared" si="16"/>
        <v>1</v>
      </c>
      <c r="AR188" s="8">
        <f t="shared" si="16"/>
        <v>0</v>
      </c>
      <c r="AS188" s="139">
        <f t="shared" si="16"/>
        <v>-1</v>
      </c>
      <c r="AT188" s="200" t="s">
        <v>222</v>
      </c>
      <c r="AU188" s="200" t="s">
        <v>222</v>
      </c>
      <c r="AV188" s="200" t="s">
        <v>222</v>
      </c>
      <c r="AW188" s="200" t="s">
        <v>222</v>
      </c>
      <c r="AX188" s="200" t="s">
        <v>222</v>
      </c>
      <c r="AY188" s="386">
        <v>16</v>
      </c>
      <c r="AZ188" s="312">
        <f t="shared" si="15"/>
        <v>21</v>
      </c>
      <c r="BA188" s="155">
        <f t="shared" si="15"/>
        <v>180</v>
      </c>
      <c r="BB188" s="439" t="s">
        <v>620</v>
      </c>
      <c r="BC188" s="23" t="s">
        <v>458</v>
      </c>
      <c r="BD188" s="23"/>
    </row>
    <row r="189" spans="2:56" ht="15.5">
      <c r="B189" s="5">
        <v>2</v>
      </c>
      <c r="C189" s="39">
        <v>46224</v>
      </c>
      <c r="D189" s="302">
        <v>46224</v>
      </c>
      <c r="E189" s="133">
        <v>24</v>
      </c>
      <c r="F189" s="155">
        <v>190</v>
      </c>
      <c r="G189" s="138">
        <v>7.2249999999999995E-2</v>
      </c>
      <c r="H189" s="8">
        <v>0.33250000000000002</v>
      </c>
      <c r="I189" s="8">
        <v>0.39</v>
      </c>
      <c r="J189" s="139">
        <v>35.25</v>
      </c>
      <c r="K189" s="139">
        <v>25.115625000000001</v>
      </c>
      <c r="L189" s="139">
        <v>71.25</v>
      </c>
      <c r="M189" s="8">
        <v>0.22</v>
      </c>
      <c r="N189" s="140">
        <v>70</v>
      </c>
      <c r="O189" s="306"/>
      <c r="P189" s="140"/>
      <c r="Q189" s="140"/>
      <c r="R189" s="140"/>
      <c r="S189" s="140"/>
      <c r="T189" s="140"/>
      <c r="U189" s="140"/>
      <c r="V189" s="140"/>
      <c r="W189" s="140"/>
      <c r="X189" s="375" t="s">
        <v>619</v>
      </c>
      <c r="Y189" s="375" t="s">
        <v>619</v>
      </c>
      <c r="Z189" s="312">
        <v>21</v>
      </c>
      <c r="AA189" s="155">
        <v>181</v>
      </c>
      <c r="AB189" s="28">
        <v>7.2249999999999995E-2</v>
      </c>
      <c r="AC189" s="30">
        <v>0.33250000000000002</v>
      </c>
      <c r="AD189" s="30">
        <v>0.39</v>
      </c>
      <c r="AE189" s="385">
        <v>33.75</v>
      </c>
      <c r="AF189" s="385">
        <f t="shared" si="14"/>
        <v>24.046875</v>
      </c>
      <c r="AG189" s="385">
        <v>71.25</v>
      </c>
      <c r="AH189" s="23">
        <v>0.22</v>
      </c>
      <c r="AI189" s="140">
        <v>69</v>
      </c>
      <c r="AJ189" s="141" t="s">
        <v>458</v>
      </c>
      <c r="AK189" s="141"/>
      <c r="AL189" s="138">
        <f t="shared" si="16"/>
        <v>0</v>
      </c>
      <c r="AM189" s="8">
        <f t="shared" si="16"/>
        <v>0</v>
      </c>
      <c r="AN189" s="8">
        <f t="shared" si="16"/>
        <v>0</v>
      </c>
      <c r="AO189" s="139">
        <f t="shared" si="16"/>
        <v>-1.5</v>
      </c>
      <c r="AP189" s="139">
        <f t="shared" si="16"/>
        <v>-1.0687500000000014</v>
      </c>
      <c r="AQ189" s="139">
        <f t="shared" si="16"/>
        <v>0</v>
      </c>
      <c r="AR189" s="8">
        <f t="shared" si="16"/>
        <v>0</v>
      </c>
      <c r="AS189" s="139">
        <f t="shared" si="16"/>
        <v>-1</v>
      </c>
      <c r="AT189" s="200" t="s">
        <v>222</v>
      </c>
      <c r="AU189" s="200" t="s">
        <v>222</v>
      </c>
      <c r="AV189" s="200" t="s">
        <v>222</v>
      </c>
      <c r="AW189" s="200" t="s">
        <v>222</v>
      </c>
      <c r="AX189" s="200" t="s">
        <v>222</v>
      </c>
      <c r="AY189" s="386">
        <v>16</v>
      </c>
      <c r="AZ189" s="312">
        <f t="shared" si="15"/>
        <v>21</v>
      </c>
      <c r="BA189" s="155">
        <f t="shared" si="15"/>
        <v>181</v>
      </c>
      <c r="BB189" s="439" t="s">
        <v>620</v>
      </c>
      <c r="BC189" s="23" t="s">
        <v>458</v>
      </c>
      <c r="BD189" s="23"/>
    </row>
    <row r="190" spans="2:56" ht="15.5">
      <c r="B190" s="5">
        <v>2</v>
      </c>
      <c r="C190" s="39">
        <v>46224</v>
      </c>
      <c r="D190" s="302">
        <v>46224</v>
      </c>
      <c r="E190" s="133">
        <v>24</v>
      </c>
      <c r="F190" s="155">
        <v>191</v>
      </c>
      <c r="G190" s="138">
        <v>7.6749999999999999E-2</v>
      </c>
      <c r="H190" s="8">
        <v>0.3175</v>
      </c>
      <c r="I190" s="8">
        <v>0.32</v>
      </c>
      <c r="J190" s="139">
        <v>35.5</v>
      </c>
      <c r="K190" s="139">
        <v>25.914999999999999</v>
      </c>
      <c r="L190" s="139">
        <v>73</v>
      </c>
      <c r="M190" s="8">
        <v>0.22</v>
      </c>
      <c r="N190" s="140">
        <v>70</v>
      </c>
      <c r="O190" s="306"/>
      <c r="P190" s="140"/>
      <c r="Q190" s="140"/>
      <c r="R190" s="140"/>
      <c r="S190" s="140"/>
      <c r="T190" s="140"/>
      <c r="U190" s="140"/>
      <c r="V190" s="140"/>
      <c r="W190" s="140"/>
      <c r="X190" s="375" t="s">
        <v>619</v>
      </c>
      <c r="Y190" s="375" t="s">
        <v>619</v>
      </c>
      <c r="Z190" s="312">
        <v>21</v>
      </c>
      <c r="AA190" s="155">
        <v>182</v>
      </c>
      <c r="AB190" s="28">
        <v>7.6749999999999999E-2</v>
      </c>
      <c r="AC190" s="30">
        <v>0.3175</v>
      </c>
      <c r="AD190" s="30">
        <v>0.32</v>
      </c>
      <c r="AE190" s="385">
        <v>37.25</v>
      </c>
      <c r="AF190" s="385">
        <f t="shared" si="14"/>
        <v>26.447500000000002</v>
      </c>
      <c r="AG190" s="385">
        <v>71</v>
      </c>
      <c r="AH190" s="23">
        <v>0.22</v>
      </c>
      <c r="AI190" s="140">
        <v>69</v>
      </c>
      <c r="AJ190" s="141" t="s">
        <v>458</v>
      </c>
      <c r="AK190" s="141"/>
      <c r="AL190" s="138">
        <f t="shared" si="16"/>
        <v>0</v>
      </c>
      <c r="AM190" s="8">
        <f t="shared" si="16"/>
        <v>0</v>
      </c>
      <c r="AN190" s="8">
        <f t="shared" si="16"/>
        <v>0</v>
      </c>
      <c r="AO190" s="139">
        <f t="shared" si="16"/>
        <v>1.75</v>
      </c>
      <c r="AP190" s="139">
        <f t="shared" si="16"/>
        <v>0.53250000000000242</v>
      </c>
      <c r="AQ190" s="139">
        <f t="shared" si="16"/>
        <v>-2</v>
      </c>
      <c r="AR190" s="8">
        <f t="shared" si="16"/>
        <v>0</v>
      </c>
      <c r="AS190" s="139">
        <f t="shared" si="16"/>
        <v>-1</v>
      </c>
      <c r="AT190" s="200" t="s">
        <v>222</v>
      </c>
      <c r="AU190" s="200" t="s">
        <v>222</v>
      </c>
      <c r="AV190" s="200" t="s">
        <v>222</v>
      </c>
      <c r="AW190" s="200" t="s">
        <v>222</v>
      </c>
      <c r="AX190" s="200" t="s">
        <v>222</v>
      </c>
      <c r="AY190" s="386">
        <v>16</v>
      </c>
      <c r="AZ190" s="312">
        <f t="shared" si="15"/>
        <v>21</v>
      </c>
      <c r="BA190" s="155">
        <f t="shared" si="15"/>
        <v>182</v>
      </c>
      <c r="BB190" s="439" t="s">
        <v>620</v>
      </c>
      <c r="BC190" s="23" t="s">
        <v>458</v>
      </c>
      <c r="BD190" s="23"/>
    </row>
    <row r="191" spans="2:56" ht="15.5">
      <c r="B191" s="141">
        <v>2</v>
      </c>
      <c r="C191" s="39">
        <v>46224</v>
      </c>
      <c r="D191" s="302">
        <v>46224</v>
      </c>
      <c r="E191" s="133">
        <v>24</v>
      </c>
      <c r="F191" s="155">
        <v>192</v>
      </c>
      <c r="G191" s="138">
        <v>7.8E-2</v>
      </c>
      <c r="H191" s="8">
        <v>0.32500000000000001</v>
      </c>
      <c r="I191" s="8">
        <v>0.35</v>
      </c>
      <c r="J191" s="139">
        <v>36</v>
      </c>
      <c r="K191" s="139">
        <v>27.99</v>
      </c>
      <c r="L191" s="139">
        <v>77.75</v>
      </c>
      <c r="M191" s="8">
        <v>0.22</v>
      </c>
      <c r="N191" s="140">
        <v>70</v>
      </c>
      <c r="O191" s="306"/>
      <c r="P191" s="140"/>
      <c r="Q191" s="140"/>
      <c r="R191" s="140"/>
      <c r="S191" s="140"/>
      <c r="T191" s="140"/>
      <c r="U191" s="140"/>
      <c r="V191" s="140"/>
      <c r="W191" s="140"/>
      <c r="X191" s="375" t="s">
        <v>619</v>
      </c>
      <c r="Y191" s="375" t="s">
        <v>619</v>
      </c>
      <c r="Z191" s="312">
        <v>21</v>
      </c>
      <c r="AA191" s="155">
        <v>183</v>
      </c>
      <c r="AB191" s="28">
        <v>7.8E-2</v>
      </c>
      <c r="AC191" s="30">
        <v>0.32500000000000001</v>
      </c>
      <c r="AD191" s="30">
        <v>0.35</v>
      </c>
      <c r="AE191" s="385">
        <v>36.5</v>
      </c>
      <c r="AF191" s="385">
        <f t="shared" si="14"/>
        <v>25.641249999999999</v>
      </c>
      <c r="AG191" s="385">
        <v>70.25</v>
      </c>
      <c r="AH191" s="23">
        <v>0.22</v>
      </c>
      <c r="AI191" s="140">
        <v>69</v>
      </c>
      <c r="AJ191" s="141" t="s">
        <v>458</v>
      </c>
      <c r="AK191" s="141"/>
      <c r="AL191" s="138">
        <f t="shared" si="16"/>
        <v>0</v>
      </c>
      <c r="AM191" s="8">
        <f t="shared" si="16"/>
        <v>0</v>
      </c>
      <c r="AN191" s="8">
        <f t="shared" si="16"/>
        <v>0</v>
      </c>
      <c r="AO191" s="139">
        <f t="shared" si="16"/>
        <v>0.5</v>
      </c>
      <c r="AP191" s="139">
        <f t="shared" si="16"/>
        <v>-2.348749999999999</v>
      </c>
      <c r="AQ191" s="139">
        <f t="shared" si="16"/>
        <v>-7.5</v>
      </c>
      <c r="AR191" s="8">
        <f t="shared" si="16"/>
        <v>0</v>
      </c>
      <c r="AS191" s="139">
        <f t="shared" si="16"/>
        <v>-1</v>
      </c>
      <c r="AT191" s="200" t="s">
        <v>222</v>
      </c>
      <c r="AU191" s="200" t="s">
        <v>222</v>
      </c>
      <c r="AV191" s="200" t="s">
        <v>222</v>
      </c>
      <c r="AW191" s="200" t="s">
        <v>222</v>
      </c>
      <c r="AX191" s="200" t="s">
        <v>222</v>
      </c>
      <c r="AY191" s="386">
        <v>16</v>
      </c>
      <c r="AZ191" s="312">
        <f t="shared" si="15"/>
        <v>21</v>
      </c>
      <c r="BA191" s="155">
        <f t="shared" si="15"/>
        <v>183</v>
      </c>
      <c r="BB191" s="439" t="s">
        <v>620</v>
      </c>
      <c r="BC191" s="23" t="s">
        <v>458</v>
      </c>
      <c r="BD191" s="23"/>
    </row>
    <row r="192" spans="2:56" ht="15.5">
      <c r="B192" s="141">
        <v>2</v>
      </c>
      <c r="C192" s="39">
        <v>46225</v>
      </c>
      <c r="D192" s="302">
        <v>46226</v>
      </c>
      <c r="E192" s="133">
        <v>25</v>
      </c>
      <c r="F192" s="155">
        <v>194</v>
      </c>
      <c r="G192" s="138">
        <v>6.7000000000000004E-2</v>
      </c>
      <c r="H192" s="8">
        <v>0.3</v>
      </c>
      <c r="I192" s="8">
        <v>0.2</v>
      </c>
      <c r="J192" s="139">
        <v>36.25</v>
      </c>
      <c r="K192" s="139">
        <v>27.731249999999999</v>
      </c>
      <c r="L192" s="139">
        <v>76.5</v>
      </c>
      <c r="M192" s="8">
        <v>0.21</v>
      </c>
      <c r="N192" s="140">
        <v>75</v>
      </c>
      <c r="O192" s="306"/>
      <c r="P192" s="140"/>
      <c r="Q192" s="140"/>
      <c r="R192" s="140"/>
      <c r="S192" s="140"/>
      <c r="T192" s="140"/>
      <c r="U192" s="140"/>
      <c r="V192" s="140"/>
      <c r="W192" s="140"/>
      <c r="X192" s="375" t="s">
        <v>619</v>
      </c>
      <c r="Y192" s="375" t="s">
        <v>619</v>
      </c>
      <c r="Z192" s="312">
        <v>22</v>
      </c>
      <c r="AA192" s="155">
        <v>184</v>
      </c>
      <c r="AB192" s="28">
        <v>6.7000000000000004E-2</v>
      </c>
      <c r="AC192" s="30">
        <v>0.3</v>
      </c>
      <c r="AD192" s="30">
        <v>0.2</v>
      </c>
      <c r="AE192" s="385">
        <v>35.75</v>
      </c>
      <c r="AF192" s="385">
        <f t="shared" si="14"/>
        <v>25.650625000000002</v>
      </c>
      <c r="AG192" s="385">
        <v>71.75</v>
      </c>
      <c r="AH192" s="23">
        <v>0.21</v>
      </c>
      <c r="AI192" s="140">
        <v>73</v>
      </c>
      <c r="AJ192" s="141" t="s">
        <v>458</v>
      </c>
      <c r="AK192" s="141"/>
      <c r="AL192" s="138">
        <f t="shared" si="16"/>
        <v>0</v>
      </c>
      <c r="AM192" s="8">
        <f t="shared" si="16"/>
        <v>0</v>
      </c>
      <c r="AN192" s="8">
        <f t="shared" si="16"/>
        <v>0</v>
      </c>
      <c r="AO192" s="139">
        <f t="shared" si="16"/>
        <v>-0.5</v>
      </c>
      <c r="AP192" s="139">
        <f t="shared" si="16"/>
        <v>-2.0806249999999977</v>
      </c>
      <c r="AQ192" s="139">
        <f t="shared" si="16"/>
        <v>-4.75</v>
      </c>
      <c r="AR192" s="8">
        <f t="shared" si="16"/>
        <v>0</v>
      </c>
      <c r="AS192" s="139">
        <f t="shared" si="16"/>
        <v>-2</v>
      </c>
      <c r="AT192" s="200" t="s">
        <v>222</v>
      </c>
      <c r="AU192" s="200" t="s">
        <v>222</v>
      </c>
      <c r="AV192" s="200" t="s">
        <v>222</v>
      </c>
      <c r="AW192" s="200" t="s">
        <v>222</v>
      </c>
      <c r="AX192" s="200" t="s">
        <v>222</v>
      </c>
      <c r="AY192" s="386">
        <v>16</v>
      </c>
      <c r="AZ192" s="312">
        <f t="shared" si="15"/>
        <v>22</v>
      </c>
      <c r="BA192" s="155">
        <f t="shared" si="15"/>
        <v>184</v>
      </c>
      <c r="BB192" s="439" t="s">
        <v>620</v>
      </c>
      <c r="BC192" s="23" t="s">
        <v>458</v>
      </c>
      <c r="BD192" s="23"/>
    </row>
    <row r="193" spans="2:56" ht="15.5">
      <c r="B193" s="141">
        <v>2</v>
      </c>
      <c r="C193" s="39">
        <v>46225</v>
      </c>
      <c r="D193" s="302">
        <v>46226</v>
      </c>
      <c r="E193" s="133">
        <v>25</v>
      </c>
      <c r="F193" s="155">
        <v>195</v>
      </c>
      <c r="G193" s="138">
        <v>3.7250000000000005E-2</v>
      </c>
      <c r="H193" s="8">
        <v>0.33</v>
      </c>
      <c r="I193" s="8">
        <v>0.22</v>
      </c>
      <c r="J193" s="139">
        <v>35.75</v>
      </c>
      <c r="K193" s="139">
        <v>29.13625</v>
      </c>
      <c r="L193" s="139">
        <v>81.5</v>
      </c>
      <c r="M193" s="8">
        <v>0.21</v>
      </c>
      <c r="N193" s="140">
        <v>75</v>
      </c>
      <c r="O193" s="306"/>
      <c r="P193" s="140"/>
      <c r="Q193" s="140"/>
      <c r="R193" s="140"/>
      <c r="S193" s="140"/>
      <c r="T193" s="140"/>
      <c r="U193" s="140"/>
      <c r="V193" s="140"/>
      <c r="W193" s="140"/>
      <c r="X193" s="375" t="s">
        <v>619</v>
      </c>
      <c r="Y193" s="375" t="s">
        <v>619</v>
      </c>
      <c r="Z193" s="312">
        <v>22</v>
      </c>
      <c r="AA193" s="155">
        <v>185</v>
      </c>
      <c r="AB193" s="28">
        <v>3.7250000000000005E-2</v>
      </c>
      <c r="AC193" s="30">
        <v>0.33</v>
      </c>
      <c r="AD193" s="30">
        <v>0.22</v>
      </c>
      <c r="AE193" s="385">
        <v>32.75</v>
      </c>
      <c r="AF193" s="385">
        <f t="shared" si="14"/>
        <v>25.545000000000002</v>
      </c>
      <c r="AG193" s="385">
        <v>78</v>
      </c>
      <c r="AH193" s="23">
        <v>0.21</v>
      </c>
      <c r="AI193" s="140">
        <v>73</v>
      </c>
      <c r="AJ193" s="141" t="s">
        <v>458</v>
      </c>
      <c r="AK193" s="141"/>
      <c r="AL193" s="138">
        <f t="shared" si="16"/>
        <v>0</v>
      </c>
      <c r="AM193" s="8">
        <f t="shared" si="16"/>
        <v>0</v>
      </c>
      <c r="AN193" s="8">
        <f t="shared" si="16"/>
        <v>0</v>
      </c>
      <c r="AO193" s="139">
        <f t="shared" si="16"/>
        <v>-3</v>
      </c>
      <c r="AP193" s="139">
        <f t="shared" si="16"/>
        <v>-3.5912499999999987</v>
      </c>
      <c r="AQ193" s="139">
        <f t="shared" si="16"/>
        <v>-3.5</v>
      </c>
      <c r="AR193" s="8">
        <f t="shared" si="16"/>
        <v>0</v>
      </c>
      <c r="AS193" s="139">
        <f t="shared" si="16"/>
        <v>-2</v>
      </c>
      <c r="AT193" s="200" t="s">
        <v>222</v>
      </c>
      <c r="AU193" s="200" t="s">
        <v>222</v>
      </c>
      <c r="AV193" s="200" t="s">
        <v>222</v>
      </c>
      <c r="AW193" s="200" t="s">
        <v>222</v>
      </c>
      <c r="AX193" s="200" t="s">
        <v>222</v>
      </c>
      <c r="AY193" s="386">
        <v>16</v>
      </c>
      <c r="AZ193" s="312">
        <f t="shared" si="15"/>
        <v>22</v>
      </c>
      <c r="BA193" s="155">
        <f t="shared" si="15"/>
        <v>185</v>
      </c>
      <c r="BB193" s="439" t="s">
        <v>620</v>
      </c>
      <c r="BC193" s="23" t="s">
        <v>458</v>
      </c>
      <c r="BD193" s="23"/>
    </row>
    <row r="194" spans="2:56" ht="15.5">
      <c r="B194" s="141">
        <v>2</v>
      </c>
      <c r="C194" s="39">
        <v>46225</v>
      </c>
      <c r="D194" s="302">
        <v>46226</v>
      </c>
      <c r="E194" s="133">
        <v>25</v>
      </c>
      <c r="F194" s="155">
        <v>196</v>
      </c>
      <c r="G194" s="138">
        <v>4.1250000000000002E-2</v>
      </c>
      <c r="H194" s="8">
        <v>0.3125</v>
      </c>
      <c r="I194" s="8">
        <v>0.23</v>
      </c>
      <c r="J194" s="139">
        <v>35.75</v>
      </c>
      <c r="K194" s="139">
        <v>28.153124999999999</v>
      </c>
      <c r="L194" s="139">
        <v>78.75</v>
      </c>
      <c r="M194" s="8">
        <v>0.21</v>
      </c>
      <c r="N194" s="140">
        <v>75</v>
      </c>
      <c r="O194" s="306"/>
      <c r="P194" s="140"/>
      <c r="Q194" s="140"/>
      <c r="R194" s="140"/>
      <c r="S194" s="140"/>
      <c r="T194" s="140"/>
      <c r="U194" s="140"/>
      <c r="V194" s="140"/>
      <c r="W194" s="140"/>
      <c r="X194" s="375" t="s">
        <v>619</v>
      </c>
      <c r="Y194" s="375" t="s">
        <v>619</v>
      </c>
      <c r="Z194" s="312">
        <v>22</v>
      </c>
      <c r="AA194" s="155">
        <v>186</v>
      </c>
      <c r="AB194" s="28">
        <v>4.1250000000000002E-2</v>
      </c>
      <c r="AC194" s="30">
        <v>0.3125</v>
      </c>
      <c r="AD194" s="30">
        <v>0.23</v>
      </c>
      <c r="AE194" s="385">
        <v>37.5</v>
      </c>
      <c r="AF194" s="385">
        <f t="shared" si="14"/>
        <v>25.96875</v>
      </c>
      <c r="AG194" s="385">
        <v>69.25</v>
      </c>
      <c r="AH194" s="23">
        <v>0.21</v>
      </c>
      <c r="AI194" s="140">
        <v>73</v>
      </c>
      <c r="AJ194" s="141" t="s">
        <v>458</v>
      </c>
      <c r="AK194" s="141"/>
      <c r="AL194" s="138">
        <f t="shared" si="16"/>
        <v>0</v>
      </c>
      <c r="AM194" s="8">
        <f t="shared" si="16"/>
        <v>0</v>
      </c>
      <c r="AN194" s="8">
        <f t="shared" si="16"/>
        <v>0</v>
      </c>
      <c r="AO194" s="139">
        <f t="shared" si="16"/>
        <v>1.75</v>
      </c>
      <c r="AP194" s="139">
        <f t="shared" si="16"/>
        <v>-2.1843749999999993</v>
      </c>
      <c r="AQ194" s="139">
        <f t="shared" si="16"/>
        <v>-9.5</v>
      </c>
      <c r="AR194" s="8">
        <f t="shared" si="16"/>
        <v>0</v>
      </c>
      <c r="AS194" s="139">
        <f t="shared" si="16"/>
        <v>-2</v>
      </c>
      <c r="AT194" s="200" t="s">
        <v>222</v>
      </c>
      <c r="AU194" s="200" t="s">
        <v>222</v>
      </c>
      <c r="AV194" s="200" t="s">
        <v>222</v>
      </c>
      <c r="AW194" s="200" t="s">
        <v>222</v>
      </c>
      <c r="AX194" s="200" t="s">
        <v>222</v>
      </c>
      <c r="AY194" s="386">
        <v>16</v>
      </c>
      <c r="AZ194" s="312">
        <f t="shared" si="15"/>
        <v>22</v>
      </c>
      <c r="BA194" s="155">
        <f t="shared" si="15"/>
        <v>186</v>
      </c>
      <c r="BB194" s="439" t="s">
        <v>620</v>
      </c>
      <c r="BC194" s="23" t="s">
        <v>458</v>
      </c>
      <c r="BD194" s="23"/>
    </row>
    <row r="195" spans="2:56" ht="15.5">
      <c r="B195" s="141">
        <v>3</v>
      </c>
      <c r="C195" s="156">
        <v>46235</v>
      </c>
      <c r="D195" s="302">
        <v>46237</v>
      </c>
      <c r="E195" s="133">
        <v>27</v>
      </c>
      <c r="F195" s="155">
        <v>209</v>
      </c>
      <c r="G195" s="138">
        <v>2.9000000000000001E-2</v>
      </c>
      <c r="H195" s="8">
        <v>0.32</v>
      </c>
      <c r="I195" s="8">
        <v>0.42</v>
      </c>
      <c r="J195" s="139">
        <v>38</v>
      </c>
      <c r="K195" s="139">
        <v>26.79</v>
      </c>
      <c r="L195" s="139">
        <v>70.5</v>
      </c>
      <c r="M195" s="8">
        <v>0.23</v>
      </c>
      <c r="N195" s="140">
        <v>80</v>
      </c>
      <c r="O195" s="306"/>
      <c r="P195" s="140"/>
      <c r="Q195" s="140"/>
      <c r="R195" s="140"/>
      <c r="S195" s="140">
        <v>35</v>
      </c>
      <c r="T195" s="140"/>
      <c r="U195" s="140"/>
      <c r="V195" s="140"/>
      <c r="W195" s="140"/>
      <c r="X195" s="375" t="s">
        <v>619</v>
      </c>
      <c r="Y195" s="375" t="s">
        <v>619</v>
      </c>
      <c r="Z195" s="312">
        <v>22</v>
      </c>
      <c r="AA195" s="155">
        <v>187</v>
      </c>
      <c r="AB195" s="28">
        <v>2.8999999999999998E-2</v>
      </c>
      <c r="AC195" s="30">
        <v>0.3175</v>
      </c>
      <c r="AD195" s="30">
        <v>0.42</v>
      </c>
      <c r="AE195" s="385">
        <v>34</v>
      </c>
      <c r="AF195" s="385">
        <f t="shared" si="14"/>
        <v>24.565000000000001</v>
      </c>
      <c r="AG195" s="385">
        <v>72.25</v>
      </c>
      <c r="AH195" s="23">
        <v>0.21</v>
      </c>
      <c r="AI195" s="140">
        <v>73</v>
      </c>
      <c r="AJ195" s="141" t="s">
        <v>458</v>
      </c>
      <c r="AK195" s="141"/>
      <c r="AL195" s="138">
        <f t="shared" si="16"/>
        <v>0</v>
      </c>
      <c r="AM195" s="8">
        <f t="shared" si="16"/>
        <v>-2.5000000000000022E-3</v>
      </c>
      <c r="AN195" s="8">
        <f t="shared" si="16"/>
        <v>0</v>
      </c>
      <c r="AO195" s="139">
        <f t="shared" si="16"/>
        <v>-4</v>
      </c>
      <c r="AP195" s="139">
        <f t="shared" si="16"/>
        <v>-2.2249999999999979</v>
      </c>
      <c r="AQ195" s="139">
        <f t="shared" si="16"/>
        <v>1.75</v>
      </c>
      <c r="AR195" s="8">
        <f t="shared" si="16"/>
        <v>-2.0000000000000018E-2</v>
      </c>
      <c r="AS195" s="139">
        <f t="shared" si="16"/>
        <v>-7</v>
      </c>
      <c r="AT195" s="200" t="s">
        <v>222</v>
      </c>
      <c r="AU195" s="200" t="s">
        <v>222</v>
      </c>
      <c r="AV195" s="200" t="s">
        <v>222</v>
      </c>
      <c r="AW195" s="200" t="s">
        <v>222</v>
      </c>
      <c r="AX195" s="200" t="s">
        <v>222</v>
      </c>
      <c r="AY195" s="386">
        <v>16</v>
      </c>
      <c r="AZ195" s="312">
        <f t="shared" si="15"/>
        <v>22</v>
      </c>
      <c r="BA195" s="155">
        <f t="shared" si="15"/>
        <v>187</v>
      </c>
      <c r="BB195" s="439" t="s">
        <v>620</v>
      </c>
      <c r="BC195" s="23" t="s">
        <v>458</v>
      </c>
      <c r="BD195" s="23"/>
    </row>
    <row r="196" spans="2:56" ht="15.5">
      <c r="B196" s="141">
        <v>2</v>
      </c>
      <c r="C196" s="39">
        <v>46225</v>
      </c>
      <c r="D196" s="302">
        <v>46226</v>
      </c>
      <c r="E196" s="133">
        <v>25</v>
      </c>
      <c r="F196" s="155">
        <v>198</v>
      </c>
      <c r="G196" s="138">
        <v>8.0750000000000002E-2</v>
      </c>
      <c r="H196" s="8">
        <v>0.32</v>
      </c>
      <c r="I196" s="8">
        <v>0.23</v>
      </c>
      <c r="J196" s="139">
        <v>34.25</v>
      </c>
      <c r="K196" s="139">
        <v>25.516249999999999</v>
      </c>
      <c r="L196" s="139">
        <v>74.5</v>
      </c>
      <c r="M196" s="8">
        <v>0.21</v>
      </c>
      <c r="N196" s="140">
        <v>81</v>
      </c>
      <c r="O196" s="306"/>
      <c r="P196" s="140"/>
      <c r="Q196" s="140"/>
      <c r="R196" s="140"/>
      <c r="S196" s="140"/>
      <c r="T196" s="140"/>
      <c r="U196" s="140"/>
      <c r="V196" s="140"/>
      <c r="W196" s="140"/>
      <c r="X196" s="375" t="s">
        <v>619</v>
      </c>
      <c r="Y196" s="375" t="s">
        <v>619</v>
      </c>
      <c r="Z196" s="312">
        <v>22</v>
      </c>
      <c r="AA196" s="155">
        <v>188</v>
      </c>
      <c r="AB196" s="28">
        <v>8.0750000000000002E-2</v>
      </c>
      <c r="AC196" s="30">
        <v>0.32</v>
      </c>
      <c r="AD196" s="30">
        <v>0.23</v>
      </c>
      <c r="AE196" s="385">
        <v>32.75</v>
      </c>
      <c r="AF196" s="385">
        <f t="shared" si="14"/>
        <v>24.5625</v>
      </c>
      <c r="AG196" s="385">
        <v>75</v>
      </c>
      <c r="AH196" s="23">
        <v>0.21</v>
      </c>
      <c r="AI196" s="140">
        <v>73</v>
      </c>
      <c r="AJ196" s="141" t="s">
        <v>458</v>
      </c>
      <c r="AK196" s="141"/>
      <c r="AL196" s="138">
        <f t="shared" si="16"/>
        <v>0</v>
      </c>
      <c r="AM196" s="8">
        <f t="shared" si="16"/>
        <v>0</v>
      </c>
      <c r="AN196" s="8">
        <f t="shared" si="16"/>
        <v>0</v>
      </c>
      <c r="AO196" s="139">
        <f t="shared" si="16"/>
        <v>-1.5</v>
      </c>
      <c r="AP196" s="139">
        <f t="shared" si="16"/>
        <v>-0.95374999999999943</v>
      </c>
      <c r="AQ196" s="139">
        <f t="shared" si="16"/>
        <v>0.5</v>
      </c>
      <c r="AR196" s="8">
        <f t="shared" si="16"/>
        <v>0</v>
      </c>
      <c r="AS196" s="139">
        <f t="shared" si="16"/>
        <v>-8</v>
      </c>
      <c r="AT196" s="200" t="s">
        <v>222</v>
      </c>
      <c r="AU196" s="200" t="s">
        <v>222</v>
      </c>
      <c r="AV196" s="200" t="s">
        <v>222</v>
      </c>
      <c r="AW196" s="200" t="s">
        <v>222</v>
      </c>
      <c r="AX196" s="200" t="s">
        <v>222</v>
      </c>
      <c r="AY196" s="386">
        <v>16</v>
      </c>
      <c r="AZ196" s="312">
        <f t="shared" si="15"/>
        <v>22</v>
      </c>
      <c r="BA196" s="155">
        <f t="shared" si="15"/>
        <v>188</v>
      </c>
      <c r="BB196" s="439" t="s">
        <v>620</v>
      </c>
      <c r="BC196" s="23" t="s">
        <v>458</v>
      </c>
      <c r="BD196" s="23"/>
    </row>
    <row r="197" spans="2:56" ht="15.5">
      <c r="B197" s="141">
        <v>2</v>
      </c>
      <c r="C197" s="39">
        <v>46226</v>
      </c>
      <c r="D197" s="302">
        <v>46227</v>
      </c>
      <c r="E197" s="133">
        <v>25</v>
      </c>
      <c r="F197" s="155">
        <v>200</v>
      </c>
      <c r="G197" s="138">
        <v>5.9499999999999997E-2</v>
      </c>
      <c r="H197" s="8">
        <v>0.28750000000000003</v>
      </c>
      <c r="I197" s="8">
        <v>0.28000000000000003</v>
      </c>
      <c r="J197" s="139">
        <v>32.5</v>
      </c>
      <c r="K197" s="139">
        <v>25.268750000000001</v>
      </c>
      <c r="L197" s="139">
        <v>77.75</v>
      </c>
      <c r="M197" s="8">
        <v>0.21</v>
      </c>
      <c r="N197" s="140">
        <v>81</v>
      </c>
      <c r="O197" s="306"/>
      <c r="P197" s="140"/>
      <c r="Q197" s="140"/>
      <c r="R197" s="140"/>
      <c r="S197" s="140"/>
      <c r="T197" s="140"/>
      <c r="U197" s="140"/>
      <c r="V197" s="140"/>
      <c r="W197" s="140"/>
      <c r="X197" s="375" t="s">
        <v>619</v>
      </c>
      <c r="Y197" s="375" t="s">
        <v>619</v>
      </c>
      <c r="Z197" s="312">
        <v>22</v>
      </c>
      <c r="AA197" s="155">
        <v>189</v>
      </c>
      <c r="AB197" s="28">
        <v>5.9499999999999997E-2</v>
      </c>
      <c r="AC197" s="30">
        <v>0.28750000000000003</v>
      </c>
      <c r="AD197" s="30">
        <v>0.28000000000000003</v>
      </c>
      <c r="AE197" s="385">
        <v>36</v>
      </c>
      <c r="AF197" s="385">
        <f t="shared" si="14"/>
        <v>25.2</v>
      </c>
      <c r="AG197" s="385">
        <v>70</v>
      </c>
      <c r="AH197" s="23">
        <v>0.21</v>
      </c>
      <c r="AI197" s="140">
        <v>73</v>
      </c>
      <c r="AJ197" s="141" t="s">
        <v>458</v>
      </c>
      <c r="AK197" s="141"/>
      <c r="AL197" s="138">
        <f t="shared" si="16"/>
        <v>0</v>
      </c>
      <c r="AM197" s="8">
        <f t="shared" si="16"/>
        <v>0</v>
      </c>
      <c r="AN197" s="8">
        <f t="shared" si="16"/>
        <v>0</v>
      </c>
      <c r="AO197" s="139">
        <f t="shared" si="16"/>
        <v>3.5</v>
      </c>
      <c r="AP197" s="139">
        <f t="shared" si="16"/>
        <v>-6.8750000000001421E-2</v>
      </c>
      <c r="AQ197" s="139">
        <f t="shared" si="16"/>
        <v>-7.75</v>
      </c>
      <c r="AR197" s="8">
        <f t="shared" si="16"/>
        <v>0</v>
      </c>
      <c r="AS197" s="139">
        <f t="shared" si="16"/>
        <v>-8</v>
      </c>
      <c r="AT197" s="200" t="s">
        <v>222</v>
      </c>
      <c r="AU197" s="200" t="s">
        <v>222</v>
      </c>
      <c r="AV197" s="200" t="s">
        <v>222</v>
      </c>
      <c r="AW197" s="200" t="s">
        <v>222</v>
      </c>
      <c r="AX197" s="200" t="s">
        <v>222</v>
      </c>
      <c r="AY197" s="386">
        <v>16</v>
      </c>
      <c r="AZ197" s="312">
        <f t="shared" si="15"/>
        <v>22</v>
      </c>
      <c r="BA197" s="155">
        <f t="shared" si="15"/>
        <v>189</v>
      </c>
      <c r="BB197" s="439" t="s">
        <v>620</v>
      </c>
      <c r="BC197" s="23" t="s">
        <v>458</v>
      </c>
      <c r="BD197" s="23"/>
    </row>
    <row r="198" spans="2:56" ht="15.5">
      <c r="B198" s="141">
        <v>2</v>
      </c>
      <c r="C198" s="39">
        <v>46226</v>
      </c>
      <c r="D198" s="302">
        <v>46227</v>
      </c>
      <c r="E198" s="133">
        <v>26</v>
      </c>
      <c r="F198" s="155">
        <v>201</v>
      </c>
      <c r="G198" s="138">
        <v>8.2000000000000003E-2</v>
      </c>
      <c r="H198" s="8">
        <v>0.3</v>
      </c>
      <c r="I198" s="8">
        <v>0.35</v>
      </c>
      <c r="J198" s="139">
        <v>32</v>
      </c>
      <c r="K198" s="139">
        <v>24.48</v>
      </c>
      <c r="L198" s="139">
        <v>76.5</v>
      </c>
      <c r="M198" s="8">
        <v>0.22</v>
      </c>
      <c r="N198" s="140">
        <v>70.5</v>
      </c>
      <c r="O198" s="306"/>
      <c r="P198" s="140"/>
      <c r="Q198" s="140"/>
      <c r="R198" s="140"/>
      <c r="S198" s="140"/>
      <c r="T198" s="140"/>
      <c r="U198" s="140"/>
      <c r="V198" s="140"/>
      <c r="W198" s="140"/>
      <c r="X198" s="375" t="s">
        <v>619</v>
      </c>
      <c r="Y198" s="375" t="s">
        <v>619</v>
      </c>
      <c r="Z198" s="312">
        <v>22</v>
      </c>
      <c r="AA198" s="155">
        <v>190</v>
      </c>
      <c r="AB198" s="28">
        <v>8.2000000000000003E-2</v>
      </c>
      <c r="AC198" s="30">
        <v>0.3</v>
      </c>
      <c r="AD198" s="30">
        <v>0.35</v>
      </c>
      <c r="AE198" s="385">
        <v>35.5</v>
      </c>
      <c r="AF198" s="385">
        <f t="shared" si="14"/>
        <v>25.914999999999999</v>
      </c>
      <c r="AG198" s="385">
        <v>73</v>
      </c>
      <c r="AH198" s="23">
        <v>0.21</v>
      </c>
      <c r="AI198" s="140">
        <v>73</v>
      </c>
      <c r="AJ198" s="141" t="s">
        <v>458</v>
      </c>
      <c r="AK198" s="141"/>
      <c r="AL198" s="138">
        <f t="shared" si="16"/>
        <v>0</v>
      </c>
      <c r="AM198" s="8">
        <f t="shared" si="16"/>
        <v>0</v>
      </c>
      <c r="AN198" s="8">
        <f t="shared" si="16"/>
        <v>0</v>
      </c>
      <c r="AO198" s="139">
        <f t="shared" si="16"/>
        <v>3.5</v>
      </c>
      <c r="AP198" s="139">
        <f t="shared" si="16"/>
        <v>1.4349999999999987</v>
      </c>
      <c r="AQ198" s="139">
        <f t="shared" si="16"/>
        <v>-3.5</v>
      </c>
      <c r="AR198" s="8">
        <f t="shared" si="16"/>
        <v>-1.0000000000000009E-2</v>
      </c>
      <c r="AS198" s="139">
        <f t="shared" si="16"/>
        <v>2.5</v>
      </c>
      <c r="AT198" s="200" t="s">
        <v>222</v>
      </c>
      <c r="AU198" s="200" t="s">
        <v>222</v>
      </c>
      <c r="AV198" s="200" t="s">
        <v>222</v>
      </c>
      <c r="AW198" s="200" t="s">
        <v>222</v>
      </c>
      <c r="AX198" s="200" t="s">
        <v>222</v>
      </c>
      <c r="AY198" s="386">
        <v>16</v>
      </c>
      <c r="AZ198" s="312">
        <f t="shared" si="15"/>
        <v>22</v>
      </c>
      <c r="BA198" s="155">
        <f t="shared" si="15"/>
        <v>190</v>
      </c>
      <c r="BB198" s="439" t="s">
        <v>620</v>
      </c>
      <c r="BC198" s="23" t="s">
        <v>458</v>
      </c>
      <c r="BD198" s="23"/>
    </row>
    <row r="199" spans="2:56" ht="15.5">
      <c r="B199" s="141">
        <v>3</v>
      </c>
      <c r="C199" s="156">
        <v>46235</v>
      </c>
      <c r="D199" s="302">
        <v>46089</v>
      </c>
      <c r="E199" s="133">
        <v>26</v>
      </c>
      <c r="F199" s="155">
        <v>208</v>
      </c>
      <c r="G199" s="138">
        <v>8.5999999999999993E-2</v>
      </c>
      <c r="H199" s="8">
        <v>0.3</v>
      </c>
      <c r="I199" s="8">
        <v>0.34</v>
      </c>
      <c r="J199" s="139">
        <v>37</v>
      </c>
      <c r="K199" s="139">
        <v>27.195</v>
      </c>
      <c r="L199" s="139">
        <v>73.5</v>
      </c>
      <c r="M199" s="8">
        <v>0.22</v>
      </c>
      <c r="N199" s="140">
        <v>81.5</v>
      </c>
      <c r="O199" s="306"/>
      <c r="P199" s="140"/>
      <c r="Q199" s="140"/>
      <c r="R199" s="140"/>
      <c r="S199" s="140">
        <v>37</v>
      </c>
      <c r="T199" s="140">
        <v>28.86</v>
      </c>
      <c r="U199" s="140">
        <v>78</v>
      </c>
      <c r="V199" s="140"/>
      <c r="W199" s="140"/>
      <c r="X199" s="375" t="s">
        <v>619</v>
      </c>
      <c r="Y199" s="375" t="s">
        <v>619</v>
      </c>
      <c r="Z199" s="312">
        <v>22</v>
      </c>
      <c r="AA199" s="155">
        <v>191</v>
      </c>
      <c r="AB199" s="28">
        <v>8.5999999999999993E-2</v>
      </c>
      <c r="AC199" s="30">
        <v>0.30249999999999999</v>
      </c>
      <c r="AD199" s="30">
        <v>0.34</v>
      </c>
      <c r="AE199" s="385">
        <v>37.25</v>
      </c>
      <c r="AF199" s="385">
        <f t="shared" si="14"/>
        <v>26.447500000000002</v>
      </c>
      <c r="AG199" s="385">
        <v>71</v>
      </c>
      <c r="AH199" s="23">
        <v>0.21</v>
      </c>
      <c r="AI199" s="140">
        <v>73</v>
      </c>
      <c r="AJ199" s="141" t="s">
        <v>458</v>
      </c>
      <c r="AK199" s="141"/>
      <c r="AL199" s="138">
        <f t="shared" si="16"/>
        <v>0</v>
      </c>
      <c r="AM199" s="8">
        <f t="shared" si="16"/>
        <v>2.5000000000000022E-3</v>
      </c>
      <c r="AN199" s="8">
        <f t="shared" si="16"/>
        <v>0</v>
      </c>
      <c r="AO199" s="139">
        <f t="shared" si="16"/>
        <v>0.25</v>
      </c>
      <c r="AP199" s="139">
        <f t="shared" si="16"/>
        <v>-0.74749999999999872</v>
      </c>
      <c r="AQ199" s="139">
        <f t="shared" si="16"/>
        <v>-2.5</v>
      </c>
      <c r="AR199" s="8">
        <f t="shared" si="16"/>
        <v>-1.0000000000000009E-2</v>
      </c>
      <c r="AS199" s="139">
        <f t="shared" si="16"/>
        <v>-8.5</v>
      </c>
      <c r="AT199" s="200" t="s">
        <v>222</v>
      </c>
      <c r="AU199" s="200" t="s">
        <v>222</v>
      </c>
      <c r="AV199" s="200" t="s">
        <v>222</v>
      </c>
      <c r="AW199" s="200" t="s">
        <v>222</v>
      </c>
      <c r="AX199" s="200" t="s">
        <v>222</v>
      </c>
      <c r="AY199" s="386">
        <v>16</v>
      </c>
      <c r="AZ199" s="312">
        <f t="shared" si="15"/>
        <v>22</v>
      </c>
      <c r="BA199" s="155">
        <f t="shared" si="15"/>
        <v>191</v>
      </c>
      <c r="BB199" s="439" t="s">
        <v>620</v>
      </c>
      <c r="BC199" s="23" t="s">
        <v>458</v>
      </c>
      <c r="BD199" s="23"/>
    </row>
    <row r="200" spans="2:56" ht="15.5">
      <c r="B200" s="141">
        <v>28</v>
      </c>
      <c r="C200" s="156">
        <v>46155</v>
      </c>
      <c r="D200" s="302">
        <v>46157</v>
      </c>
      <c r="E200" s="133">
        <v>3</v>
      </c>
      <c r="F200" s="155">
        <v>22</v>
      </c>
      <c r="G200" s="138">
        <v>0.11225</v>
      </c>
      <c r="H200" s="8">
        <v>0.315</v>
      </c>
      <c r="I200" s="8">
        <v>0.35</v>
      </c>
      <c r="J200" s="139">
        <v>35.5</v>
      </c>
      <c r="K200" s="139">
        <v>24.992000000000004</v>
      </c>
      <c r="L200" s="139">
        <v>70.400000000000006</v>
      </c>
      <c r="M200" s="8">
        <v>0.22</v>
      </c>
      <c r="N200" s="140">
        <v>74</v>
      </c>
      <c r="O200" s="306" t="s">
        <v>489</v>
      </c>
      <c r="P200" s="140"/>
      <c r="Q200" s="140"/>
      <c r="R200" s="140"/>
      <c r="S200" s="140"/>
      <c r="T200" s="140"/>
      <c r="U200" s="140"/>
      <c r="V200" s="140"/>
      <c r="W200" s="140" t="s">
        <v>519</v>
      </c>
      <c r="X200" s="141"/>
      <c r="Y200" s="141"/>
      <c r="Z200" s="312">
        <v>23</v>
      </c>
      <c r="AA200" s="155">
        <v>192</v>
      </c>
      <c r="AB200" s="28">
        <v>0.11225</v>
      </c>
      <c r="AC200" s="30">
        <v>0.315</v>
      </c>
      <c r="AD200" s="30">
        <v>0.4</v>
      </c>
      <c r="AE200" s="23">
        <v>40</v>
      </c>
      <c r="AF200" s="23">
        <v>29</v>
      </c>
      <c r="AG200" s="385">
        <v>72.545340838023776</v>
      </c>
      <c r="AH200" s="23">
        <v>0.22</v>
      </c>
      <c r="AI200" s="140">
        <v>79</v>
      </c>
      <c r="AJ200" s="141" t="s">
        <v>458</v>
      </c>
      <c r="AK200" s="141"/>
      <c r="AL200" s="138">
        <f t="shared" si="16"/>
        <v>0</v>
      </c>
      <c r="AM200" s="8">
        <f t="shared" si="16"/>
        <v>0</v>
      </c>
      <c r="AN200" s="8">
        <f t="shared" si="16"/>
        <v>5.0000000000000044E-2</v>
      </c>
      <c r="AO200" s="139">
        <f t="shared" si="16"/>
        <v>4.5</v>
      </c>
      <c r="AP200" s="139">
        <f t="shared" si="16"/>
        <v>4.0079999999999956</v>
      </c>
      <c r="AQ200" s="139">
        <f t="shared" si="16"/>
        <v>2.1453408380237704</v>
      </c>
      <c r="AR200" s="8">
        <f t="shared" si="16"/>
        <v>0</v>
      </c>
      <c r="AS200" s="139">
        <f t="shared" si="16"/>
        <v>5</v>
      </c>
      <c r="AT200" s="200" t="s">
        <v>222</v>
      </c>
      <c r="AU200" s="200" t="s">
        <v>222</v>
      </c>
      <c r="AV200" s="200" t="s">
        <v>222</v>
      </c>
      <c r="AW200" s="200" t="s">
        <v>222</v>
      </c>
      <c r="AX200" s="200" t="s">
        <v>222</v>
      </c>
      <c r="AY200" s="386">
        <v>17</v>
      </c>
      <c r="AZ200" s="312">
        <f t="shared" ref="AZ200:BA363" si="17">Z200</f>
        <v>23</v>
      </c>
      <c r="BA200" s="155">
        <f t="shared" si="17"/>
        <v>192</v>
      </c>
      <c r="BB200" s="439" t="s">
        <v>621</v>
      </c>
      <c r="BC200" s="23" t="s">
        <v>458</v>
      </c>
      <c r="BD200" s="23"/>
    </row>
    <row r="201" spans="2:56" ht="15.5">
      <c r="B201" s="141">
        <v>28</v>
      </c>
      <c r="C201" s="156">
        <v>46160</v>
      </c>
      <c r="D201" s="302">
        <v>46162</v>
      </c>
      <c r="E201" s="133">
        <v>4</v>
      </c>
      <c r="F201" s="155">
        <v>32</v>
      </c>
      <c r="G201" s="138">
        <v>0.11225</v>
      </c>
      <c r="H201" s="8">
        <v>0.315</v>
      </c>
      <c r="I201" s="8">
        <v>0.28000000000000003</v>
      </c>
      <c r="J201" s="139">
        <v>41</v>
      </c>
      <c r="K201" s="139">
        <v>25.502000000000002</v>
      </c>
      <c r="L201" s="139">
        <v>62.2</v>
      </c>
      <c r="M201" s="8">
        <v>0.22</v>
      </c>
      <c r="N201" s="140">
        <v>77</v>
      </c>
      <c r="O201" s="306"/>
      <c r="P201" s="140"/>
      <c r="Q201" s="140"/>
      <c r="R201" s="140">
        <v>0.36</v>
      </c>
      <c r="S201" s="140">
        <v>43</v>
      </c>
      <c r="T201" s="140">
        <v>31.002999999999997</v>
      </c>
      <c r="U201" s="140">
        <v>72.099999999999994</v>
      </c>
      <c r="V201" s="140"/>
      <c r="W201" s="140">
        <v>77</v>
      </c>
      <c r="X201" s="141"/>
      <c r="Y201" s="141"/>
      <c r="Z201" s="312">
        <v>23</v>
      </c>
      <c r="AA201" s="155">
        <v>193</v>
      </c>
      <c r="AB201" s="28">
        <v>0.11225</v>
      </c>
      <c r="AC201" s="30">
        <v>0.315</v>
      </c>
      <c r="AD201" s="30">
        <v>0.28000000000000003</v>
      </c>
      <c r="AE201" s="385">
        <v>41.25</v>
      </c>
      <c r="AF201" s="385">
        <v>29.5</v>
      </c>
      <c r="AG201" s="385">
        <v>71.53745644599303</v>
      </c>
      <c r="AH201" s="23">
        <v>0.22</v>
      </c>
      <c r="AI201" s="140">
        <v>79</v>
      </c>
      <c r="AJ201" s="141" t="s">
        <v>458</v>
      </c>
      <c r="AK201" s="141"/>
      <c r="AL201" s="138">
        <f t="shared" si="16"/>
        <v>0</v>
      </c>
      <c r="AM201" s="8">
        <f t="shared" si="16"/>
        <v>0</v>
      </c>
      <c r="AN201" s="8">
        <f t="shared" si="16"/>
        <v>0</v>
      </c>
      <c r="AO201" s="139">
        <f t="shared" si="16"/>
        <v>0.25</v>
      </c>
      <c r="AP201" s="139">
        <f t="shared" si="16"/>
        <v>3.9979999999999976</v>
      </c>
      <c r="AQ201" s="139">
        <f t="shared" si="16"/>
        <v>9.3374564459930269</v>
      </c>
      <c r="AR201" s="8">
        <f t="shared" si="16"/>
        <v>0</v>
      </c>
      <c r="AS201" s="139">
        <f t="shared" si="16"/>
        <v>2</v>
      </c>
      <c r="AT201" s="200" t="s">
        <v>222</v>
      </c>
      <c r="AU201" s="200" t="s">
        <v>222</v>
      </c>
      <c r="AV201" s="200" t="s">
        <v>222</v>
      </c>
      <c r="AW201" s="200" t="s">
        <v>222</v>
      </c>
      <c r="AX201" s="200" t="s">
        <v>222</v>
      </c>
      <c r="AY201" s="386">
        <v>17</v>
      </c>
      <c r="AZ201" s="312">
        <f t="shared" si="17"/>
        <v>23</v>
      </c>
      <c r="BA201" s="155">
        <f t="shared" si="17"/>
        <v>193</v>
      </c>
      <c r="BB201" s="439" t="s">
        <v>621</v>
      </c>
      <c r="BC201" s="23" t="s">
        <v>458</v>
      </c>
      <c r="BD201" s="23"/>
    </row>
    <row r="202" spans="2:56" ht="15.5">
      <c r="B202" s="141">
        <v>4</v>
      </c>
      <c r="C202" s="156">
        <v>46167</v>
      </c>
      <c r="D202" s="302">
        <v>46169</v>
      </c>
      <c r="E202" s="133">
        <v>8</v>
      </c>
      <c r="F202" s="155">
        <v>64</v>
      </c>
      <c r="G202" s="138">
        <v>0.106</v>
      </c>
      <c r="H202" s="8">
        <v>0.36749999999999994</v>
      </c>
      <c r="I202" s="8">
        <v>0.36</v>
      </c>
      <c r="J202" s="139">
        <v>47.5</v>
      </c>
      <c r="K202" s="139">
        <v>29.497499999999999</v>
      </c>
      <c r="L202" s="139">
        <v>62.1</v>
      </c>
      <c r="M202" s="8">
        <v>0.22</v>
      </c>
      <c r="N202" s="140">
        <v>86</v>
      </c>
      <c r="O202" s="306"/>
      <c r="P202" s="140"/>
      <c r="Q202" s="140"/>
      <c r="R202" s="140"/>
      <c r="S202" s="140"/>
      <c r="T202" s="140"/>
      <c r="U202" s="140"/>
      <c r="V202" s="140"/>
      <c r="W202" s="140"/>
      <c r="X202" s="141"/>
      <c r="Y202" s="141"/>
      <c r="Z202" s="312">
        <v>23</v>
      </c>
      <c r="AA202" s="155">
        <v>194</v>
      </c>
      <c r="AB202" s="28">
        <v>0.106</v>
      </c>
      <c r="AC202" s="30">
        <v>0.36749999999999994</v>
      </c>
      <c r="AD202" s="30">
        <v>0.36</v>
      </c>
      <c r="AE202" s="385">
        <v>38.5</v>
      </c>
      <c r="AF202" s="385">
        <v>27.75</v>
      </c>
      <c r="AG202" s="385">
        <v>72.047908232118758</v>
      </c>
      <c r="AH202" s="23">
        <v>0.22</v>
      </c>
      <c r="AI202" s="140">
        <v>79</v>
      </c>
      <c r="AJ202" s="141" t="s">
        <v>458</v>
      </c>
      <c r="AK202" s="141"/>
      <c r="AL202" s="138">
        <f t="shared" si="16"/>
        <v>0</v>
      </c>
      <c r="AM202" s="8">
        <f t="shared" si="16"/>
        <v>0</v>
      </c>
      <c r="AN202" s="8">
        <f t="shared" si="16"/>
        <v>0</v>
      </c>
      <c r="AO202" s="139">
        <f t="shared" si="16"/>
        <v>-9</v>
      </c>
      <c r="AP202" s="139">
        <f t="shared" si="16"/>
        <v>-1.7474999999999987</v>
      </c>
      <c r="AQ202" s="139">
        <f t="shared" si="16"/>
        <v>9.9479082321187562</v>
      </c>
      <c r="AR202" s="8">
        <f t="shared" si="16"/>
        <v>0</v>
      </c>
      <c r="AS202" s="139">
        <f t="shared" si="16"/>
        <v>-7</v>
      </c>
      <c r="AT202" s="200" t="s">
        <v>222</v>
      </c>
      <c r="AU202" s="200" t="s">
        <v>222</v>
      </c>
      <c r="AV202" s="200" t="s">
        <v>222</v>
      </c>
      <c r="AW202" s="200" t="s">
        <v>222</v>
      </c>
      <c r="AX202" s="200" t="s">
        <v>222</v>
      </c>
      <c r="AY202" s="386">
        <v>17</v>
      </c>
      <c r="AZ202" s="312">
        <f t="shared" si="17"/>
        <v>23</v>
      </c>
      <c r="BA202" s="155">
        <f t="shared" si="17"/>
        <v>194</v>
      </c>
      <c r="BB202" s="439" t="s">
        <v>621</v>
      </c>
      <c r="BC202" s="23" t="s">
        <v>458</v>
      </c>
      <c r="BD202" s="23"/>
    </row>
    <row r="203" spans="2:56" ht="15.5">
      <c r="B203" s="141">
        <v>4</v>
      </c>
      <c r="C203" s="156">
        <v>46167</v>
      </c>
      <c r="D203" s="302">
        <v>46169</v>
      </c>
      <c r="E203" s="133">
        <v>9</v>
      </c>
      <c r="F203" s="155">
        <v>68</v>
      </c>
      <c r="G203" s="138">
        <v>0.11599999999999999</v>
      </c>
      <c r="H203" s="8">
        <v>0.35250000000000004</v>
      </c>
      <c r="I203" s="8">
        <v>0.35</v>
      </c>
      <c r="J203" s="139">
        <v>48</v>
      </c>
      <c r="K203" s="139">
        <v>29.243999999999996</v>
      </c>
      <c r="L203" s="139">
        <v>60.924999999999997</v>
      </c>
      <c r="M203" s="8">
        <v>0.23</v>
      </c>
      <c r="N203" s="140">
        <v>81.5</v>
      </c>
      <c r="O203" s="306"/>
      <c r="P203" s="140"/>
      <c r="Q203" s="140"/>
      <c r="R203" s="140">
        <v>0.73</v>
      </c>
      <c r="S203" s="140">
        <v>46</v>
      </c>
      <c r="T203" s="140">
        <v>24.84</v>
      </c>
      <c r="U203" s="140">
        <v>54</v>
      </c>
      <c r="V203" s="140"/>
      <c r="W203" s="140">
        <v>81.5</v>
      </c>
      <c r="X203" s="141"/>
      <c r="Y203" s="141"/>
      <c r="Z203" s="312">
        <v>23</v>
      </c>
      <c r="AA203" s="155">
        <v>195</v>
      </c>
      <c r="AB203" s="28">
        <v>0.11599999999999999</v>
      </c>
      <c r="AC203" s="30">
        <v>0.35250000000000004</v>
      </c>
      <c r="AD203" s="30">
        <v>0.35</v>
      </c>
      <c r="AE203" s="385">
        <v>38</v>
      </c>
      <c r="AF203" s="385">
        <v>26.5</v>
      </c>
      <c r="AG203" s="385">
        <v>69.743680927891461</v>
      </c>
      <c r="AH203" s="23">
        <v>0.22</v>
      </c>
      <c r="AI203" s="140">
        <v>79</v>
      </c>
      <c r="AJ203" s="141" t="s">
        <v>458</v>
      </c>
      <c r="AK203" s="141"/>
      <c r="AL203" s="138">
        <f t="shared" si="16"/>
        <v>0</v>
      </c>
      <c r="AM203" s="8">
        <f t="shared" si="16"/>
        <v>0</v>
      </c>
      <c r="AN203" s="8">
        <f t="shared" si="16"/>
        <v>0</v>
      </c>
      <c r="AO203" s="139">
        <f>AE203-J203</f>
        <v>-10</v>
      </c>
      <c r="AP203" s="139">
        <f t="shared" si="16"/>
        <v>-2.7439999999999962</v>
      </c>
      <c r="AQ203" s="139">
        <f t="shared" si="16"/>
        <v>8.8186809278914637</v>
      </c>
      <c r="AR203" s="8">
        <f t="shared" si="16"/>
        <v>-1.0000000000000009E-2</v>
      </c>
      <c r="AS203" s="139">
        <f t="shared" si="16"/>
        <v>-2.5</v>
      </c>
      <c r="AT203" s="200" t="s">
        <v>222</v>
      </c>
      <c r="AU203" s="200" t="s">
        <v>222</v>
      </c>
      <c r="AV203" s="200" t="s">
        <v>222</v>
      </c>
      <c r="AW203" s="200" t="s">
        <v>222</v>
      </c>
      <c r="AX203" s="200" t="s">
        <v>222</v>
      </c>
      <c r="AY203" s="386">
        <v>17</v>
      </c>
      <c r="AZ203" s="312">
        <f t="shared" si="17"/>
        <v>23</v>
      </c>
      <c r="BA203" s="155">
        <f t="shared" si="17"/>
        <v>195</v>
      </c>
      <c r="BB203" s="439" t="s">
        <v>621</v>
      </c>
      <c r="BC203" s="23" t="s">
        <v>458</v>
      </c>
      <c r="BD203" s="23"/>
    </row>
    <row r="204" spans="2:56" ht="15.5">
      <c r="B204" s="141">
        <v>2</v>
      </c>
      <c r="C204" s="156">
        <v>46225</v>
      </c>
      <c r="D204" s="302">
        <v>46226</v>
      </c>
      <c r="E204" s="133">
        <v>25</v>
      </c>
      <c r="F204" s="155">
        <v>197</v>
      </c>
      <c r="G204" s="138">
        <v>3.9E-2</v>
      </c>
      <c r="H204" s="8">
        <v>0.32250000000000001</v>
      </c>
      <c r="I204" s="8">
        <v>0.27</v>
      </c>
      <c r="J204" s="139">
        <v>37.25</v>
      </c>
      <c r="K204" s="139">
        <v>27.565000000000001</v>
      </c>
      <c r="L204" s="139">
        <v>74</v>
      </c>
      <c r="M204" s="8">
        <v>0.21</v>
      </c>
      <c r="N204" s="140">
        <v>81</v>
      </c>
      <c r="O204" s="306"/>
      <c r="P204" s="140"/>
      <c r="Q204" s="140"/>
      <c r="R204" s="140"/>
      <c r="S204" s="140">
        <v>35</v>
      </c>
      <c r="T204" s="140">
        <v>24.85</v>
      </c>
      <c r="U204" s="140">
        <v>71</v>
      </c>
      <c r="V204" s="140"/>
      <c r="W204" s="140"/>
      <c r="X204" s="141"/>
      <c r="Y204" s="141"/>
      <c r="Z204" s="312">
        <v>23</v>
      </c>
      <c r="AA204" s="155">
        <v>196</v>
      </c>
      <c r="AB204" s="28">
        <v>3.9E-2</v>
      </c>
      <c r="AC204" s="30">
        <v>0.32250000000000001</v>
      </c>
      <c r="AD204" s="30">
        <v>0.27</v>
      </c>
      <c r="AE204" s="385">
        <v>37.25</v>
      </c>
      <c r="AF204" s="385">
        <v>26</v>
      </c>
      <c r="AG204" s="385">
        <v>69.815868500079034</v>
      </c>
      <c r="AH204" s="23">
        <v>0.22</v>
      </c>
      <c r="AI204" s="140">
        <v>79</v>
      </c>
      <c r="AJ204" s="141" t="s">
        <v>458</v>
      </c>
      <c r="AK204" s="141"/>
      <c r="AL204" s="138">
        <f t="shared" si="16"/>
        <v>0</v>
      </c>
      <c r="AM204" s="8">
        <f t="shared" si="16"/>
        <v>0</v>
      </c>
      <c r="AN204" s="8">
        <f t="shared" si="16"/>
        <v>0</v>
      </c>
      <c r="AO204" s="139">
        <f t="shared" si="16"/>
        <v>0</v>
      </c>
      <c r="AP204" s="139">
        <f t="shared" si="16"/>
        <v>-1.5650000000000013</v>
      </c>
      <c r="AQ204" s="139">
        <f t="shared" si="16"/>
        <v>-4.1841314999209658</v>
      </c>
      <c r="AR204" s="8">
        <f t="shared" si="16"/>
        <v>1.0000000000000009E-2</v>
      </c>
      <c r="AS204" s="139">
        <f t="shared" si="16"/>
        <v>-2</v>
      </c>
      <c r="AT204" s="200" t="s">
        <v>222</v>
      </c>
      <c r="AU204" s="200" t="s">
        <v>222</v>
      </c>
      <c r="AV204" s="200" t="s">
        <v>222</v>
      </c>
      <c r="AW204" s="200" t="s">
        <v>222</v>
      </c>
      <c r="AX204" s="200" t="s">
        <v>222</v>
      </c>
      <c r="AY204" s="386">
        <v>17</v>
      </c>
      <c r="AZ204" s="312">
        <f t="shared" si="17"/>
        <v>23</v>
      </c>
      <c r="BA204" s="155">
        <f t="shared" si="17"/>
        <v>196</v>
      </c>
      <c r="BB204" s="439" t="s">
        <v>621</v>
      </c>
      <c r="BC204" s="23" t="s">
        <v>458</v>
      </c>
      <c r="BD204" s="23"/>
    </row>
    <row r="205" spans="2:56" ht="15.5">
      <c r="B205" s="141">
        <v>2</v>
      </c>
      <c r="C205" s="156">
        <v>46226</v>
      </c>
      <c r="D205" s="302">
        <v>46227</v>
      </c>
      <c r="E205" s="133">
        <v>26</v>
      </c>
      <c r="F205" s="155">
        <v>203</v>
      </c>
      <c r="G205" s="138">
        <v>6.8250000000000005E-2</v>
      </c>
      <c r="H205" s="8">
        <v>0.315</v>
      </c>
      <c r="I205" s="8">
        <v>0.28999999999999998</v>
      </c>
      <c r="J205" s="139">
        <v>31.75</v>
      </c>
      <c r="K205" s="139">
        <v>23.733125000000001</v>
      </c>
      <c r="L205" s="139">
        <v>74.75</v>
      </c>
      <c r="M205" s="8">
        <v>0.22</v>
      </c>
      <c r="N205" s="140">
        <v>70.5</v>
      </c>
      <c r="O205" s="306"/>
      <c r="P205" s="140"/>
      <c r="Q205" s="140"/>
      <c r="R205" s="140"/>
      <c r="S205" s="140">
        <v>29</v>
      </c>
      <c r="T205" s="140">
        <v>22.91</v>
      </c>
      <c r="U205" s="140">
        <v>79</v>
      </c>
      <c r="V205" s="140"/>
      <c r="W205" s="140"/>
      <c r="X205" s="141"/>
      <c r="Y205" s="141"/>
      <c r="Z205" s="312">
        <v>23</v>
      </c>
      <c r="AA205" s="155">
        <v>197</v>
      </c>
      <c r="AB205" s="28">
        <v>6.8250000000000005E-2</v>
      </c>
      <c r="AC205" s="30">
        <v>0.315</v>
      </c>
      <c r="AD205" s="30">
        <v>0.28999999999999998</v>
      </c>
      <c r="AE205" s="385">
        <v>37</v>
      </c>
      <c r="AF205" s="385">
        <v>26.5</v>
      </c>
      <c r="AG205" s="385">
        <v>71.629524261103199</v>
      </c>
      <c r="AH205" s="23">
        <v>0.22</v>
      </c>
      <c r="AI205" s="140">
        <v>70</v>
      </c>
      <c r="AJ205" s="141" t="s">
        <v>458</v>
      </c>
      <c r="AK205" s="141"/>
      <c r="AL205" s="138">
        <f t="shared" si="16"/>
        <v>0</v>
      </c>
      <c r="AM205" s="8">
        <f t="shared" si="16"/>
        <v>0</v>
      </c>
      <c r="AN205" s="8">
        <f t="shared" si="16"/>
        <v>0</v>
      </c>
      <c r="AO205" s="139">
        <f t="shared" si="16"/>
        <v>5.25</v>
      </c>
      <c r="AP205" s="139">
        <f t="shared" si="16"/>
        <v>2.7668749999999989</v>
      </c>
      <c r="AQ205" s="139">
        <f t="shared" si="16"/>
        <v>-3.1204757388968005</v>
      </c>
      <c r="AR205" s="8">
        <f t="shared" si="16"/>
        <v>0</v>
      </c>
      <c r="AS205" s="139">
        <f t="shared" si="16"/>
        <v>-0.5</v>
      </c>
      <c r="AT205" s="200" t="s">
        <v>222</v>
      </c>
      <c r="AU205" s="200" t="s">
        <v>222</v>
      </c>
      <c r="AV205" s="200" t="s">
        <v>222</v>
      </c>
      <c r="AW205" s="200" t="s">
        <v>222</v>
      </c>
      <c r="AX205" s="200" t="s">
        <v>222</v>
      </c>
      <c r="AY205" s="386">
        <v>17</v>
      </c>
      <c r="AZ205" s="312">
        <f t="shared" si="17"/>
        <v>23</v>
      </c>
      <c r="BA205" s="155">
        <f t="shared" si="17"/>
        <v>197</v>
      </c>
      <c r="BB205" s="439" t="s">
        <v>621</v>
      </c>
      <c r="BC205" s="23" t="s">
        <v>458</v>
      </c>
      <c r="BD205" s="23"/>
    </row>
    <row r="206" spans="2:56" ht="15.5">
      <c r="B206" s="141">
        <v>2</v>
      </c>
      <c r="C206" s="156">
        <v>46227</v>
      </c>
      <c r="D206" s="302">
        <v>46228</v>
      </c>
      <c r="E206" s="133">
        <v>26</v>
      </c>
      <c r="F206" s="155">
        <v>205</v>
      </c>
      <c r="G206" s="138">
        <v>2.6999999999999996E-2</v>
      </c>
      <c r="H206" s="8">
        <v>0.29499999999999998</v>
      </c>
      <c r="I206" s="8">
        <v>0.3</v>
      </c>
      <c r="J206" s="139">
        <v>37.75</v>
      </c>
      <c r="K206" s="139">
        <v>25.858750000000001</v>
      </c>
      <c r="L206" s="139">
        <v>68.5</v>
      </c>
      <c r="M206" s="8">
        <v>0.22</v>
      </c>
      <c r="N206" s="140">
        <v>81</v>
      </c>
      <c r="O206" s="306"/>
      <c r="P206" s="140"/>
      <c r="Q206" s="140"/>
      <c r="R206" s="140"/>
      <c r="S206" s="140">
        <v>34</v>
      </c>
      <c r="T206" s="140">
        <v>25.84</v>
      </c>
      <c r="U206" s="140">
        <v>76</v>
      </c>
      <c r="V206" s="140"/>
      <c r="W206" s="140"/>
      <c r="X206" s="141"/>
      <c r="Y206" s="141"/>
      <c r="Z206" s="312">
        <v>23</v>
      </c>
      <c r="AA206" s="155">
        <v>198</v>
      </c>
      <c r="AB206" s="28">
        <v>2.6999999999999996E-2</v>
      </c>
      <c r="AC206" s="30">
        <v>0.29499999999999998</v>
      </c>
      <c r="AD206" s="30">
        <v>0.3</v>
      </c>
      <c r="AE206" s="385">
        <v>36</v>
      </c>
      <c r="AF206" s="385">
        <v>25.5</v>
      </c>
      <c r="AG206" s="385">
        <v>70.879987129987128</v>
      </c>
      <c r="AH206" s="23">
        <v>0.22</v>
      </c>
      <c r="AI206" s="140">
        <v>70</v>
      </c>
      <c r="AJ206" s="141" t="s">
        <v>458</v>
      </c>
      <c r="AK206" s="141"/>
      <c r="AL206" s="138">
        <f t="shared" si="16"/>
        <v>0</v>
      </c>
      <c r="AM206" s="8">
        <f t="shared" si="16"/>
        <v>0</v>
      </c>
      <c r="AN206" s="8">
        <f t="shared" si="16"/>
        <v>0</v>
      </c>
      <c r="AO206" s="139">
        <f t="shared" si="16"/>
        <v>-1.75</v>
      </c>
      <c r="AP206" s="139">
        <f t="shared" si="16"/>
        <v>-0.35875000000000057</v>
      </c>
      <c r="AQ206" s="139">
        <f t="shared" si="16"/>
        <v>2.3799871299871285</v>
      </c>
      <c r="AR206" s="8">
        <f t="shared" si="16"/>
        <v>0</v>
      </c>
      <c r="AS206" s="139">
        <f t="shared" si="16"/>
        <v>-11</v>
      </c>
      <c r="AT206" s="200" t="s">
        <v>222</v>
      </c>
      <c r="AU206" s="200" t="s">
        <v>222</v>
      </c>
      <c r="AV206" s="200" t="s">
        <v>222</v>
      </c>
      <c r="AW206" s="200" t="s">
        <v>222</v>
      </c>
      <c r="AX206" s="200" t="s">
        <v>222</v>
      </c>
      <c r="AY206" s="386">
        <v>17</v>
      </c>
      <c r="AZ206" s="312">
        <f t="shared" si="17"/>
        <v>23</v>
      </c>
      <c r="BA206" s="155">
        <f t="shared" si="17"/>
        <v>198</v>
      </c>
      <c r="BB206" s="439" t="s">
        <v>621</v>
      </c>
      <c r="BC206" s="23" t="s">
        <v>458</v>
      </c>
      <c r="BD206" s="23"/>
    </row>
    <row r="207" spans="2:56" ht="15.5">
      <c r="B207" s="141">
        <v>2</v>
      </c>
      <c r="C207" s="156">
        <v>46227</v>
      </c>
      <c r="D207" s="302">
        <v>46228</v>
      </c>
      <c r="E207" s="133">
        <v>26</v>
      </c>
      <c r="F207" s="155">
        <v>206</v>
      </c>
      <c r="G207" s="138">
        <v>3.0499999999999999E-2</v>
      </c>
      <c r="H207" s="8">
        <v>0.30249999999999999</v>
      </c>
      <c r="I207" s="8">
        <v>0.45</v>
      </c>
      <c r="J207" s="139">
        <v>40.25</v>
      </c>
      <c r="K207" s="139">
        <v>27.772500000000001</v>
      </c>
      <c r="L207" s="139">
        <v>69</v>
      </c>
      <c r="M207" s="8">
        <v>0.22</v>
      </c>
      <c r="N207" s="140">
        <v>81</v>
      </c>
      <c r="O207" s="306"/>
      <c r="P207" s="140"/>
      <c r="Q207" s="140"/>
      <c r="R207" s="140"/>
      <c r="S207" s="140"/>
      <c r="T207" s="140"/>
      <c r="U207" s="140"/>
      <c r="V207" s="140"/>
      <c r="W207" s="140"/>
      <c r="X207" s="141"/>
      <c r="Y207" s="141"/>
      <c r="Z207" s="312">
        <v>23</v>
      </c>
      <c r="AA207" s="155">
        <v>199</v>
      </c>
      <c r="AB207" s="28">
        <v>3.0499999999999999E-2</v>
      </c>
      <c r="AC207" s="30">
        <v>0.30249999999999999</v>
      </c>
      <c r="AD207" s="30">
        <v>0.45</v>
      </c>
      <c r="AE207" s="385">
        <v>32.75</v>
      </c>
      <c r="AF207" s="385">
        <v>23.25</v>
      </c>
      <c r="AG207" s="385">
        <v>70.999053030303031</v>
      </c>
      <c r="AH207" s="23">
        <v>0.22</v>
      </c>
      <c r="AI207" s="140">
        <v>70</v>
      </c>
      <c r="AJ207" s="141" t="s">
        <v>458</v>
      </c>
      <c r="AK207" s="141"/>
      <c r="AL207" s="138">
        <f t="shared" si="16"/>
        <v>0</v>
      </c>
      <c r="AM207" s="8">
        <f t="shared" si="16"/>
        <v>0</v>
      </c>
      <c r="AN207" s="8">
        <f t="shared" si="16"/>
        <v>0</v>
      </c>
      <c r="AO207" s="139">
        <f t="shared" si="16"/>
        <v>-7.5</v>
      </c>
      <c r="AP207" s="139">
        <f t="shared" si="16"/>
        <v>-4.5225000000000009</v>
      </c>
      <c r="AQ207" s="139">
        <f t="shared" si="16"/>
        <v>1.9990530303030312</v>
      </c>
      <c r="AR207" s="8">
        <f t="shared" si="16"/>
        <v>0</v>
      </c>
      <c r="AS207" s="139">
        <f t="shared" si="16"/>
        <v>-11</v>
      </c>
      <c r="AT207" s="200" t="s">
        <v>222</v>
      </c>
      <c r="AU207" s="200" t="s">
        <v>222</v>
      </c>
      <c r="AV207" s="200" t="s">
        <v>222</v>
      </c>
      <c r="AW207" s="200" t="s">
        <v>222</v>
      </c>
      <c r="AX207" s="200" t="s">
        <v>222</v>
      </c>
      <c r="AY207" s="386">
        <v>17</v>
      </c>
      <c r="AZ207" s="312">
        <f t="shared" si="17"/>
        <v>23</v>
      </c>
      <c r="BA207" s="155">
        <f t="shared" si="17"/>
        <v>199</v>
      </c>
      <c r="BB207" s="439" t="s">
        <v>621</v>
      </c>
      <c r="BC207" s="23" t="s">
        <v>458</v>
      </c>
      <c r="BD207" s="23"/>
    </row>
    <row r="208" spans="2:56" ht="15.5">
      <c r="B208" s="141">
        <v>2</v>
      </c>
      <c r="C208" s="156">
        <v>46227</v>
      </c>
      <c r="D208" s="302">
        <v>46228</v>
      </c>
      <c r="E208" s="133">
        <v>26</v>
      </c>
      <c r="F208" s="155">
        <v>207</v>
      </c>
      <c r="G208" s="138">
        <v>7.7499999999999999E-2</v>
      </c>
      <c r="H208" s="8">
        <v>0.28000000000000003</v>
      </c>
      <c r="I208" s="8">
        <v>0.39</v>
      </c>
      <c r="J208" s="139">
        <v>40</v>
      </c>
      <c r="K208" s="139">
        <v>28.3</v>
      </c>
      <c r="L208" s="139">
        <v>70.75</v>
      </c>
      <c r="M208" s="8">
        <v>0.22</v>
      </c>
      <c r="N208" s="140">
        <v>81</v>
      </c>
      <c r="O208" s="306"/>
      <c r="P208" s="140"/>
      <c r="Q208" s="140"/>
      <c r="R208" s="140"/>
      <c r="S208" s="140"/>
      <c r="T208" s="140"/>
      <c r="U208" s="140"/>
      <c r="V208" s="140"/>
      <c r="W208" s="140"/>
      <c r="X208" s="141"/>
      <c r="Y208" s="141"/>
      <c r="Z208" s="312">
        <v>23</v>
      </c>
      <c r="AA208" s="155">
        <v>200</v>
      </c>
      <c r="AB208" s="28">
        <v>7.7499999999999999E-2</v>
      </c>
      <c r="AC208" s="30">
        <v>0.28000000000000003</v>
      </c>
      <c r="AD208" s="30">
        <v>0.39</v>
      </c>
      <c r="AE208" s="385">
        <v>36</v>
      </c>
      <c r="AF208" s="385">
        <v>26.25</v>
      </c>
      <c r="AG208" s="385">
        <v>72.944551694551691</v>
      </c>
      <c r="AH208" s="23">
        <v>0.22</v>
      </c>
      <c r="AI208" s="140">
        <v>70</v>
      </c>
      <c r="AJ208" s="141" t="s">
        <v>458</v>
      </c>
      <c r="AK208" s="141"/>
      <c r="AL208" s="138">
        <f t="shared" ref="AL208:AS223" si="18">AB208-G208</f>
        <v>0</v>
      </c>
      <c r="AM208" s="8">
        <f t="shared" si="18"/>
        <v>0</v>
      </c>
      <c r="AN208" s="8">
        <f t="shared" si="18"/>
        <v>0</v>
      </c>
      <c r="AO208" s="139">
        <f t="shared" si="18"/>
        <v>-4</v>
      </c>
      <c r="AP208" s="139">
        <f t="shared" si="18"/>
        <v>-2.0500000000000007</v>
      </c>
      <c r="AQ208" s="139">
        <f t="shared" si="18"/>
        <v>2.1945516945516914</v>
      </c>
      <c r="AR208" s="8">
        <f t="shared" si="18"/>
        <v>0</v>
      </c>
      <c r="AS208" s="139">
        <f t="shared" si="18"/>
        <v>-11</v>
      </c>
      <c r="AT208" s="200" t="s">
        <v>222</v>
      </c>
      <c r="AU208" s="200" t="s">
        <v>222</v>
      </c>
      <c r="AV208" s="200" t="s">
        <v>222</v>
      </c>
      <c r="AW208" s="200" t="s">
        <v>222</v>
      </c>
      <c r="AX208" s="200" t="s">
        <v>222</v>
      </c>
      <c r="AY208" s="386">
        <v>17</v>
      </c>
      <c r="AZ208" s="312">
        <f t="shared" si="17"/>
        <v>23</v>
      </c>
      <c r="BA208" s="155">
        <f t="shared" si="17"/>
        <v>200</v>
      </c>
      <c r="BB208" s="439" t="s">
        <v>621</v>
      </c>
      <c r="BC208" s="23" t="s">
        <v>458</v>
      </c>
      <c r="BD208" s="23"/>
    </row>
    <row r="209" spans="2:56" ht="15.5">
      <c r="B209" s="141">
        <v>3</v>
      </c>
      <c r="C209" s="156">
        <v>46269</v>
      </c>
      <c r="D209" s="302">
        <v>46239</v>
      </c>
      <c r="E209" s="133">
        <v>27</v>
      </c>
      <c r="F209" s="155">
        <v>210</v>
      </c>
      <c r="G209" s="138">
        <v>4.4999999999999998E-2</v>
      </c>
      <c r="H209" s="8">
        <v>0.32750000000000001</v>
      </c>
      <c r="I209" s="8">
        <v>0.39</v>
      </c>
      <c r="J209" s="139">
        <v>38</v>
      </c>
      <c r="K209" s="139">
        <v>26.6</v>
      </c>
      <c r="L209" s="139">
        <v>70</v>
      </c>
      <c r="M209" s="8">
        <v>0.23</v>
      </c>
      <c r="N209" s="140">
        <v>76</v>
      </c>
      <c r="O209" s="306"/>
      <c r="P209" s="140"/>
      <c r="Q209" s="140"/>
      <c r="R209" s="140"/>
      <c r="S209" s="140"/>
      <c r="T209" s="140"/>
      <c r="U209" s="140"/>
      <c r="V209" s="140"/>
      <c r="W209" s="140"/>
      <c r="X209" s="141"/>
      <c r="Y209" s="141"/>
      <c r="Z209" s="312">
        <v>23</v>
      </c>
      <c r="AA209" s="155">
        <v>201</v>
      </c>
      <c r="AB209" s="28">
        <v>5.3500000000000006E-2</v>
      </c>
      <c r="AC209" s="30">
        <v>0.32750000000000001</v>
      </c>
      <c r="AD209" s="30">
        <v>0.39</v>
      </c>
      <c r="AE209" s="385">
        <v>35.25</v>
      </c>
      <c r="AF209" s="385">
        <v>25.75</v>
      </c>
      <c r="AG209" s="385">
        <v>73.055555555555557</v>
      </c>
      <c r="AH209" s="23">
        <v>0.22</v>
      </c>
      <c r="AI209" s="140">
        <v>70</v>
      </c>
      <c r="AJ209" s="141" t="s">
        <v>458</v>
      </c>
      <c r="AK209" s="141"/>
      <c r="AL209" s="138">
        <f>AB209-G209</f>
        <v>8.5000000000000075E-3</v>
      </c>
      <c r="AM209" s="8">
        <f t="shared" si="18"/>
        <v>0</v>
      </c>
      <c r="AN209" s="8">
        <f t="shared" si="18"/>
        <v>0</v>
      </c>
      <c r="AO209" s="139">
        <f t="shared" si="18"/>
        <v>-2.75</v>
      </c>
      <c r="AP209" s="139">
        <f t="shared" si="18"/>
        <v>-0.85000000000000142</v>
      </c>
      <c r="AQ209" s="139">
        <f t="shared" si="18"/>
        <v>3.0555555555555571</v>
      </c>
      <c r="AR209" s="8">
        <f t="shared" si="18"/>
        <v>-1.0000000000000009E-2</v>
      </c>
      <c r="AS209" s="139">
        <f t="shared" si="18"/>
        <v>-6</v>
      </c>
      <c r="AT209" s="200" t="s">
        <v>222</v>
      </c>
      <c r="AU209" s="200" t="s">
        <v>222</v>
      </c>
      <c r="AV209" s="200" t="s">
        <v>222</v>
      </c>
      <c r="AW209" s="200" t="s">
        <v>222</v>
      </c>
      <c r="AX209" s="200" t="s">
        <v>222</v>
      </c>
      <c r="AY209" s="386">
        <v>17</v>
      </c>
      <c r="AZ209" s="312">
        <f t="shared" si="17"/>
        <v>23</v>
      </c>
      <c r="BA209" s="155">
        <f t="shared" si="17"/>
        <v>201</v>
      </c>
      <c r="BB209" s="439" t="s">
        <v>621</v>
      </c>
      <c r="BC209" s="23" t="s">
        <v>458</v>
      </c>
      <c r="BD209" s="23"/>
    </row>
    <row r="210" spans="2:56" ht="15.5">
      <c r="B210" s="141">
        <v>3</v>
      </c>
      <c r="C210" s="156">
        <v>46269</v>
      </c>
      <c r="D210" s="302">
        <v>46239</v>
      </c>
      <c r="E210" s="133">
        <v>27</v>
      </c>
      <c r="F210" s="155">
        <v>211</v>
      </c>
      <c r="G210" s="138">
        <v>3.7999999999999999E-2</v>
      </c>
      <c r="H210" s="8">
        <v>0.34750000000000003</v>
      </c>
      <c r="I210" s="8">
        <v>0.3</v>
      </c>
      <c r="J210" s="139">
        <v>33.75</v>
      </c>
      <c r="K210" s="139">
        <v>25.734375</v>
      </c>
      <c r="L210" s="139">
        <v>76.25</v>
      </c>
      <c r="M210" s="8">
        <v>0.23</v>
      </c>
      <c r="N210" s="140">
        <v>80</v>
      </c>
      <c r="O210" s="306"/>
      <c r="P210" s="140"/>
      <c r="Q210" s="140"/>
      <c r="R210" s="140"/>
      <c r="S210" s="140"/>
      <c r="T210" s="140"/>
      <c r="U210" s="140"/>
      <c r="V210" s="140"/>
      <c r="W210" s="140"/>
      <c r="X210" s="141"/>
      <c r="Y210" s="141"/>
      <c r="Z210" s="312">
        <v>24</v>
      </c>
      <c r="AA210" s="155">
        <v>202</v>
      </c>
      <c r="AB210" s="28">
        <v>3.8249999999999999E-2</v>
      </c>
      <c r="AC210" s="30">
        <v>0.34750000000000003</v>
      </c>
      <c r="AD210" s="30">
        <v>0.3</v>
      </c>
      <c r="AE210" s="385">
        <v>34.5</v>
      </c>
      <c r="AF210" s="385">
        <v>25.25</v>
      </c>
      <c r="AG210" s="385">
        <v>73.193277310924373</v>
      </c>
      <c r="AH210" s="23">
        <v>0.23</v>
      </c>
      <c r="AI210" s="140">
        <v>73</v>
      </c>
      <c r="AJ210" s="141"/>
      <c r="AK210" s="141"/>
      <c r="AL210" s="138">
        <f t="shared" ref="AL210:AS254" si="19">AB210-G210</f>
        <v>2.5000000000000022E-4</v>
      </c>
      <c r="AM210" s="8">
        <f t="shared" si="18"/>
        <v>0</v>
      </c>
      <c r="AN210" s="8">
        <f t="shared" si="18"/>
        <v>0</v>
      </c>
      <c r="AO210" s="139">
        <f t="shared" si="18"/>
        <v>0.75</v>
      </c>
      <c r="AP210" s="139">
        <f t="shared" si="18"/>
        <v>-0.484375</v>
      </c>
      <c r="AQ210" s="139">
        <f t="shared" si="18"/>
        <v>-3.0567226890756274</v>
      </c>
      <c r="AR210" s="8">
        <f t="shared" si="18"/>
        <v>0</v>
      </c>
      <c r="AS210" s="139">
        <f t="shared" si="18"/>
        <v>-7</v>
      </c>
      <c r="AT210" s="200" t="s">
        <v>222</v>
      </c>
      <c r="AU210" s="200" t="s">
        <v>222</v>
      </c>
      <c r="AV210" s="200" t="s">
        <v>222</v>
      </c>
      <c r="AW210" s="200" t="s">
        <v>222</v>
      </c>
      <c r="AX210" s="200" t="s">
        <v>222</v>
      </c>
      <c r="AY210" s="386">
        <v>17</v>
      </c>
      <c r="AZ210" s="312">
        <f t="shared" si="17"/>
        <v>24</v>
      </c>
      <c r="BA210" s="155">
        <f t="shared" si="17"/>
        <v>202</v>
      </c>
      <c r="BB210" s="439" t="s">
        <v>621</v>
      </c>
      <c r="BC210" s="23" t="s">
        <v>458</v>
      </c>
      <c r="BD210" s="23"/>
    </row>
    <row r="211" spans="2:56" ht="15.5">
      <c r="B211" s="141">
        <v>3</v>
      </c>
      <c r="C211" s="156">
        <v>46270</v>
      </c>
      <c r="D211" s="302">
        <v>46272</v>
      </c>
      <c r="E211" s="133">
        <v>27</v>
      </c>
      <c r="F211" s="155">
        <v>215</v>
      </c>
      <c r="G211" s="138">
        <v>8.6500000000000007E-2</v>
      </c>
      <c r="H211" s="8">
        <v>0.3125</v>
      </c>
      <c r="I211" s="8">
        <v>0.36</v>
      </c>
      <c r="J211" s="139">
        <v>30.75</v>
      </c>
      <c r="K211" s="139">
        <v>23.600625000000001</v>
      </c>
      <c r="L211" s="139">
        <v>76.75</v>
      </c>
      <c r="M211" s="8">
        <v>0.23</v>
      </c>
      <c r="N211" s="140">
        <v>61</v>
      </c>
      <c r="O211" s="306"/>
      <c r="P211" s="140"/>
      <c r="Q211" s="140"/>
      <c r="R211" s="140"/>
      <c r="S211" s="140"/>
      <c r="T211" s="140"/>
      <c r="U211" s="140"/>
      <c r="V211" s="140"/>
      <c r="W211" s="140"/>
      <c r="X211" s="141"/>
      <c r="Y211" s="141"/>
      <c r="Z211" s="312">
        <v>24</v>
      </c>
      <c r="AA211" s="155">
        <v>203</v>
      </c>
      <c r="AB211" s="28">
        <v>8.6500000000000007E-2</v>
      </c>
      <c r="AC211" s="30">
        <v>0.3125</v>
      </c>
      <c r="AD211" s="30">
        <v>0.36</v>
      </c>
      <c r="AE211" s="385">
        <v>32.75</v>
      </c>
      <c r="AF211" s="385">
        <v>23.25</v>
      </c>
      <c r="AG211" s="385">
        <v>70.999053030303031</v>
      </c>
      <c r="AH211" s="23">
        <v>0.23</v>
      </c>
      <c r="AI211" s="140">
        <v>73</v>
      </c>
      <c r="AJ211" s="141"/>
      <c r="AK211" s="141"/>
      <c r="AL211" s="138">
        <f t="shared" si="19"/>
        <v>0</v>
      </c>
      <c r="AM211" s="8">
        <f t="shared" si="18"/>
        <v>0</v>
      </c>
      <c r="AN211" s="8">
        <f t="shared" si="18"/>
        <v>0</v>
      </c>
      <c r="AO211" s="139">
        <f t="shared" si="18"/>
        <v>2</v>
      </c>
      <c r="AP211" s="139">
        <f t="shared" si="18"/>
        <v>-0.35062500000000085</v>
      </c>
      <c r="AQ211" s="139">
        <f t="shared" si="18"/>
        <v>-5.7509469696969688</v>
      </c>
      <c r="AR211" s="8">
        <f t="shared" si="18"/>
        <v>0</v>
      </c>
      <c r="AS211" s="139">
        <f t="shared" si="18"/>
        <v>12</v>
      </c>
      <c r="AT211" s="200" t="s">
        <v>222</v>
      </c>
      <c r="AU211" s="200" t="s">
        <v>222</v>
      </c>
      <c r="AV211" s="200" t="s">
        <v>222</v>
      </c>
      <c r="AW211" s="200" t="s">
        <v>222</v>
      </c>
      <c r="AX211" s="200" t="s">
        <v>222</v>
      </c>
      <c r="AY211" s="386">
        <v>17</v>
      </c>
      <c r="AZ211" s="312">
        <f t="shared" si="17"/>
        <v>24</v>
      </c>
      <c r="BA211" s="155">
        <f t="shared" si="17"/>
        <v>203</v>
      </c>
      <c r="BB211" s="439" t="s">
        <v>621</v>
      </c>
      <c r="BC211" s="23" t="s">
        <v>458</v>
      </c>
      <c r="BD211" s="23"/>
    </row>
    <row r="212" spans="2:56" ht="15.5">
      <c r="B212" s="141">
        <v>3</v>
      </c>
      <c r="C212" s="156">
        <v>46270</v>
      </c>
      <c r="D212" s="302">
        <v>46272</v>
      </c>
      <c r="E212" s="133">
        <v>27</v>
      </c>
      <c r="F212" s="155">
        <v>216</v>
      </c>
      <c r="G212" s="138">
        <v>5.3999999999999999E-2</v>
      </c>
      <c r="H212" s="8">
        <v>0.35000000000000003</v>
      </c>
      <c r="I212" s="8">
        <v>0.39</v>
      </c>
      <c r="J212" s="139">
        <v>34.75</v>
      </c>
      <c r="K212" s="139">
        <v>25.715</v>
      </c>
      <c r="L212" s="139">
        <v>74</v>
      </c>
      <c r="M212" s="8">
        <v>0.23</v>
      </c>
      <c r="N212" s="140">
        <v>61</v>
      </c>
      <c r="O212" s="306"/>
      <c r="P212" s="140"/>
      <c r="Q212" s="140"/>
      <c r="R212" s="140"/>
      <c r="S212" s="140"/>
      <c r="T212" s="140"/>
      <c r="U212" s="140"/>
      <c r="V212" s="140"/>
      <c r="W212" s="140"/>
      <c r="X212" s="141"/>
      <c r="Y212" s="141"/>
      <c r="Z212" s="312">
        <v>24</v>
      </c>
      <c r="AA212" s="155">
        <v>204</v>
      </c>
      <c r="AB212" s="28">
        <v>5.3999999999999999E-2</v>
      </c>
      <c r="AC212" s="30">
        <v>0.35000000000000003</v>
      </c>
      <c r="AD212" s="30">
        <v>0.39</v>
      </c>
      <c r="AE212" s="385">
        <v>36</v>
      </c>
      <c r="AF212" s="385">
        <v>26.25</v>
      </c>
      <c r="AG212" s="385">
        <v>72.944551694551691</v>
      </c>
      <c r="AH212" s="23">
        <v>0.23</v>
      </c>
      <c r="AI212" s="140">
        <v>73</v>
      </c>
      <c r="AJ212" s="141"/>
      <c r="AK212" s="141"/>
      <c r="AL212" s="138">
        <f t="shared" si="19"/>
        <v>0</v>
      </c>
      <c r="AM212" s="8">
        <f t="shared" si="18"/>
        <v>0</v>
      </c>
      <c r="AN212" s="8">
        <f t="shared" si="18"/>
        <v>0</v>
      </c>
      <c r="AO212" s="139">
        <f t="shared" si="18"/>
        <v>1.25</v>
      </c>
      <c r="AP212" s="139">
        <f t="shared" si="18"/>
        <v>0.53500000000000014</v>
      </c>
      <c r="AQ212" s="139">
        <f t="shared" si="18"/>
        <v>-1.0554483054483086</v>
      </c>
      <c r="AR212" s="8">
        <f t="shared" si="18"/>
        <v>0</v>
      </c>
      <c r="AS212" s="139">
        <f t="shared" si="18"/>
        <v>12</v>
      </c>
      <c r="AT212" s="200" t="s">
        <v>222</v>
      </c>
      <c r="AU212" s="200" t="s">
        <v>222</v>
      </c>
      <c r="AV212" s="200" t="s">
        <v>222</v>
      </c>
      <c r="AW212" s="200" t="s">
        <v>222</v>
      </c>
      <c r="AX212" s="200" t="s">
        <v>222</v>
      </c>
      <c r="AY212" s="386">
        <v>17</v>
      </c>
      <c r="AZ212" s="312">
        <f t="shared" si="17"/>
        <v>24</v>
      </c>
      <c r="BA212" s="155">
        <f t="shared" si="17"/>
        <v>204</v>
      </c>
      <c r="BB212" s="439" t="s">
        <v>621</v>
      </c>
      <c r="BC212" s="23" t="s">
        <v>458</v>
      </c>
      <c r="BD212" s="23"/>
    </row>
    <row r="213" spans="2:56" ht="15.5">
      <c r="B213" s="141">
        <v>3</v>
      </c>
      <c r="C213" s="156">
        <v>46270</v>
      </c>
      <c r="D213" s="302">
        <v>46272</v>
      </c>
      <c r="E213" s="133">
        <v>28</v>
      </c>
      <c r="F213" s="155">
        <v>217</v>
      </c>
      <c r="G213" s="138">
        <v>7.0750000000000007E-2</v>
      </c>
      <c r="H213" s="8">
        <v>0.34500000000000003</v>
      </c>
      <c r="I213" s="8">
        <v>0.46</v>
      </c>
      <c r="J213" s="139">
        <v>33.25</v>
      </c>
      <c r="K213" s="139">
        <v>25.436250000000001</v>
      </c>
      <c r="L213" s="139">
        <v>76.5</v>
      </c>
      <c r="M213" s="8">
        <v>0.25</v>
      </c>
      <c r="N213" s="140">
        <v>72.5</v>
      </c>
      <c r="O213" s="306"/>
      <c r="P213" s="140"/>
      <c r="Q213" s="140"/>
      <c r="R213" s="140"/>
      <c r="S213" s="140"/>
      <c r="T213" s="140"/>
      <c r="U213" s="140"/>
      <c r="V213" s="140"/>
      <c r="W213" s="140"/>
      <c r="X213" s="141"/>
      <c r="Y213" s="141"/>
      <c r="Z213" s="312">
        <v>24</v>
      </c>
      <c r="AA213" s="155">
        <v>205</v>
      </c>
      <c r="AB213" s="28">
        <v>7.0750000000000007E-2</v>
      </c>
      <c r="AC213" s="30">
        <v>0.34500000000000003</v>
      </c>
      <c r="AD213" s="30">
        <v>0.46</v>
      </c>
      <c r="AE213" s="385">
        <v>34.5</v>
      </c>
      <c r="AF213" s="385">
        <v>25.25</v>
      </c>
      <c r="AG213" s="385">
        <v>73.25</v>
      </c>
      <c r="AH213" s="23">
        <v>0.23</v>
      </c>
      <c r="AI213" s="140">
        <v>73</v>
      </c>
      <c r="AJ213" s="141"/>
      <c r="AK213" s="141"/>
      <c r="AL213" s="138">
        <f t="shared" si="19"/>
        <v>0</v>
      </c>
      <c r="AM213" s="8">
        <f t="shared" si="18"/>
        <v>0</v>
      </c>
      <c r="AN213" s="8">
        <f t="shared" si="18"/>
        <v>0</v>
      </c>
      <c r="AO213" s="139">
        <f t="shared" si="18"/>
        <v>1.25</v>
      </c>
      <c r="AP213" s="139">
        <f t="shared" si="18"/>
        <v>-0.18625000000000114</v>
      </c>
      <c r="AQ213" s="139">
        <f t="shared" si="18"/>
        <v>-3.25</v>
      </c>
      <c r="AR213" s="8">
        <f t="shared" si="18"/>
        <v>-1.999999999999999E-2</v>
      </c>
      <c r="AS213" s="139">
        <f t="shared" si="18"/>
        <v>0.5</v>
      </c>
      <c r="AT213" s="200" t="s">
        <v>222</v>
      </c>
      <c r="AU213" s="200" t="s">
        <v>222</v>
      </c>
      <c r="AV213" s="200" t="s">
        <v>222</v>
      </c>
      <c r="AW213" s="200" t="s">
        <v>222</v>
      </c>
      <c r="AX213" s="200" t="s">
        <v>222</v>
      </c>
      <c r="AY213" s="386">
        <v>17</v>
      </c>
      <c r="AZ213" s="312">
        <f t="shared" si="17"/>
        <v>24</v>
      </c>
      <c r="BA213" s="155">
        <f t="shared" si="17"/>
        <v>205</v>
      </c>
      <c r="BB213" s="439" t="s">
        <v>621</v>
      </c>
      <c r="BC213" s="23" t="s">
        <v>458</v>
      </c>
      <c r="BD213" s="23"/>
    </row>
    <row r="214" spans="2:56" ht="15.5">
      <c r="B214" s="141">
        <v>3</v>
      </c>
      <c r="C214" s="156">
        <v>46270</v>
      </c>
      <c r="D214" s="302">
        <v>46272</v>
      </c>
      <c r="E214" s="133">
        <v>28</v>
      </c>
      <c r="F214" s="155">
        <v>218</v>
      </c>
      <c r="G214" s="138">
        <v>0.16475000000000001</v>
      </c>
      <c r="H214" s="8">
        <v>0.33500000000000002</v>
      </c>
      <c r="I214" s="8">
        <v>0.44</v>
      </c>
      <c r="J214" s="139">
        <v>22.75</v>
      </c>
      <c r="K214" s="139">
        <v>17.9725</v>
      </c>
      <c r="L214" s="139">
        <v>79</v>
      </c>
      <c r="M214" s="8">
        <v>0.25</v>
      </c>
      <c r="N214" s="140">
        <v>72.5</v>
      </c>
      <c r="O214" s="306"/>
      <c r="P214" s="140"/>
      <c r="Q214" s="140"/>
      <c r="R214" s="140"/>
      <c r="S214" s="140"/>
      <c r="T214" s="140"/>
      <c r="U214" s="140"/>
      <c r="V214" s="140"/>
      <c r="W214" s="140"/>
      <c r="X214" s="141"/>
      <c r="Y214" s="141"/>
      <c r="Z214" s="312">
        <v>24</v>
      </c>
      <c r="AA214" s="155">
        <v>206</v>
      </c>
      <c r="AB214" s="28">
        <v>0.16475000000000001</v>
      </c>
      <c r="AC214" s="30">
        <v>0.33500000000000002</v>
      </c>
      <c r="AD214" s="30">
        <v>0.44</v>
      </c>
      <c r="AE214" s="385">
        <v>34.75</v>
      </c>
      <c r="AF214" s="385">
        <v>25.25</v>
      </c>
      <c r="AG214" s="385">
        <v>72.5</v>
      </c>
      <c r="AH214" s="23">
        <v>0.23</v>
      </c>
      <c r="AI214" s="140">
        <v>73</v>
      </c>
      <c r="AJ214" s="141"/>
      <c r="AK214" s="141"/>
      <c r="AL214" s="138">
        <f t="shared" si="19"/>
        <v>0</v>
      </c>
      <c r="AM214" s="8">
        <f t="shared" si="18"/>
        <v>0</v>
      </c>
      <c r="AN214" s="8">
        <f t="shared" si="18"/>
        <v>0</v>
      </c>
      <c r="AO214" s="139">
        <f t="shared" si="18"/>
        <v>12</v>
      </c>
      <c r="AP214" s="139">
        <f t="shared" si="18"/>
        <v>7.2774999999999999</v>
      </c>
      <c r="AQ214" s="139">
        <f t="shared" si="18"/>
        <v>-6.5</v>
      </c>
      <c r="AR214" s="8">
        <f t="shared" si="18"/>
        <v>-1.999999999999999E-2</v>
      </c>
      <c r="AS214" s="139">
        <f t="shared" si="18"/>
        <v>0.5</v>
      </c>
      <c r="AT214" s="200" t="s">
        <v>222</v>
      </c>
      <c r="AU214" s="200" t="s">
        <v>222</v>
      </c>
      <c r="AV214" s="200" t="s">
        <v>222</v>
      </c>
      <c r="AW214" s="200" t="s">
        <v>222</v>
      </c>
      <c r="AX214" s="200" t="s">
        <v>222</v>
      </c>
      <c r="AY214" s="386">
        <v>17</v>
      </c>
      <c r="AZ214" s="312">
        <f t="shared" si="17"/>
        <v>24</v>
      </c>
      <c r="BA214" s="155">
        <f t="shared" si="17"/>
        <v>206</v>
      </c>
      <c r="BB214" s="439" t="s">
        <v>621</v>
      </c>
      <c r="BC214" s="23" t="s">
        <v>458</v>
      </c>
      <c r="BD214" s="23"/>
    </row>
    <row r="215" spans="2:56" ht="15.5">
      <c r="B215" s="141">
        <v>3</v>
      </c>
      <c r="C215" s="156">
        <v>46270</v>
      </c>
      <c r="D215" s="302">
        <v>46272</v>
      </c>
      <c r="E215" s="133">
        <v>28</v>
      </c>
      <c r="F215" s="155">
        <v>219</v>
      </c>
      <c r="G215" s="138">
        <v>0.10299999999999999</v>
      </c>
      <c r="H215" s="8">
        <v>0.34749999999999998</v>
      </c>
      <c r="I215" s="8">
        <v>0.41</v>
      </c>
      <c r="J215" s="139">
        <v>24.25</v>
      </c>
      <c r="K215" s="139">
        <v>18.793749999999999</v>
      </c>
      <c r="L215" s="139">
        <v>77.5</v>
      </c>
      <c r="M215" s="8">
        <v>0.25</v>
      </c>
      <c r="N215" s="140">
        <v>72.5</v>
      </c>
      <c r="O215" s="306"/>
      <c r="P215" s="140"/>
      <c r="Q215" s="140"/>
      <c r="R215" s="140"/>
      <c r="S215" s="140"/>
      <c r="T215" s="140"/>
      <c r="U215" s="140"/>
      <c r="V215" s="140"/>
      <c r="W215" s="140"/>
      <c r="X215" s="141"/>
      <c r="Y215" s="141"/>
      <c r="Z215" s="312">
        <v>24</v>
      </c>
      <c r="AA215" s="155">
        <v>207</v>
      </c>
      <c r="AB215" s="28">
        <v>0.10299999999999999</v>
      </c>
      <c r="AC215" s="30">
        <v>0.34749999999999998</v>
      </c>
      <c r="AD215" s="30">
        <v>0.41</v>
      </c>
      <c r="AE215" s="385">
        <v>35.25</v>
      </c>
      <c r="AF215" s="385">
        <v>25.75</v>
      </c>
      <c r="AG215" s="385">
        <v>72.75</v>
      </c>
      <c r="AH215" s="23">
        <v>0.23</v>
      </c>
      <c r="AI215" s="140">
        <v>71</v>
      </c>
      <c r="AJ215" s="141"/>
      <c r="AK215" s="141"/>
      <c r="AL215" s="138">
        <f t="shared" si="19"/>
        <v>0</v>
      </c>
      <c r="AM215" s="8">
        <f t="shared" si="18"/>
        <v>0</v>
      </c>
      <c r="AN215" s="8">
        <f t="shared" si="18"/>
        <v>0</v>
      </c>
      <c r="AO215" s="139">
        <f t="shared" si="18"/>
        <v>11</v>
      </c>
      <c r="AP215" s="139">
        <f t="shared" si="18"/>
        <v>6.9562500000000007</v>
      </c>
      <c r="AQ215" s="139">
        <f t="shared" si="18"/>
        <v>-4.75</v>
      </c>
      <c r="AR215" s="8">
        <f t="shared" si="18"/>
        <v>-1.999999999999999E-2</v>
      </c>
      <c r="AS215" s="139">
        <f t="shared" si="18"/>
        <v>-1.5</v>
      </c>
      <c r="AT215" s="200" t="s">
        <v>222</v>
      </c>
      <c r="AU215" s="200" t="s">
        <v>222</v>
      </c>
      <c r="AV215" s="200" t="s">
        <v>222</v>
      </c>
      <c r="AW215" s="200" t="s">
        <v>222</v>
      </c>
      <c r="AX215" s="200" t="s">
        <v>222</v>
      </c>
      <c r="AY215" s="386">
        <v>17</v>
      </c>
      <c r="AZ215" s="312">
        <f t="shared" si="17"/>
        <v>24</v>
      </c>
      <c r="BA215" s="155">
        <f t="shared" si="17"/>
        <v>207</v>
      </c>
      <c r="BB215" s="439" t="s">
        <v>621</v>
      </c>
      <c r="BC215" s="23" t="s">
        <v>458</v>
      </c>
      <c r="BD215" s="23"/>
    </row>
    <row r="216" spans="2:56" ht="15.5">
      <c r="B216" s="141">
        <v>3</v>
      </c>
      <c r="C216" s="156">
        <v>46272</v>
      </c>
      <c r="D216" s="302">
        <v>46273</v>
      </c>
      <c r="E216" s="133">
        <v>28</v>
      </c>
      <c r="F216" s="155">
        <v>220</v>
      </c>
      <c r="G216" s="138">
        <v>9.5000000000000001E-2</v>
      </c>
      <c r="H216" s="8">
        <v>0.34750000000000003</v>
      </c>
      <c r="I216" s="8">
        <v>0.42</v>
      </c>
      <c r="J216" s="139">
        <v>27</v>
      </c>
      <c r="K216" s="139">
        <v>19.7775</v>
      </c>
      <c r="L216" s="139">
        <v>73.25</v>
      </c>
      <c r="M216" s="8">
        <v>0.25</v>
      </c>
      <c r="N216" s="140">
        <v>70</v>
      </c>
      <c r="O216" s="306"/>
      <c r="P216" s="140"/>
      <c r="Q216" s="140"/>
      <c r="R216" s="140"/>
      <c r="S216" s="140"/>
      <c r="T216" s="140"/>
      <c r="U216" s="140"/>
      <c r="V216" s="140"/>
      <c r="W216" s="140"/>
      <c r="X216" s="141"/>
      <c r="Y216" s="141"/>
      <c r="Z216" s="312">
        <v>24</v>
      </c>
      <c r="AA216" s="155">
        <v>208</v>
      </c>
      <c r="AB216" s="28">
        <v>9.5000000000000001E-2</v>
      </c>
      <c r="AC216" s="30">
        <v>0.34750000000000003</v>
      </c>
      <c r="AD216" s="30">
        <v>0.42</v>
      </c>
      <c r="AE216" s="385">
        <v>34.5</v>
      </c>
      <c r="AF216" s="385">
        <v>25</v>
      </c>
      <c r="AG216" s="385">
        <v>72.5</v>
      </c>
      <c r="AH216" s="23">
        <v>0.23</v>
      </c>
      <c r="AI216" s="140">
        <v>71</v>
      </c>
      <c r="AJ216" s="141"/>
      <c r="AK216" s="141"/>
      <c r="AL216" s="138">
        <f t="shared" si="19"/>
        <v>0</v>
      </c>
      <c r="AM216" s="8">
        <f t="shared" si="18"/>
        <v>0</v>
      </c>
      <c r="AN216" s="8">
        <f t="shared" si="18"/>
        <v>0</v>
      </c>
      <c r="AO216" s="139">
        <f t="shared" si="18"/>
        <v>7.5</v>
      </c>
      <c r="AP216" s="139">
        <f t="shared" si="18"/>
        <v>5.2225000000000001</v>
      </c>
      <c r="AQ216" s="139">
        <f t="shared" si="18"/>
        <v>-0.75</v>
      </c>
      <c r="AR216" s="8">
        <f t="shared" si="18"/>
        <v>-1.999999999999999E-2</v>
      </c>
      <c r="AS216" s="139">
        <f t="shared" si="18"/>
        <v>1</v>
      </c>
      <c r="AT216" s="200" t="s">
        <v>222</v>
      </c>
      <c r="AU216" s="200" t="s">
        <v>222</v>
      </c>
      <c r="AV216" s="200" t="s">
        <v>222</v>
      </c>
      <c r="AW216" s="200" t="s">
        <v>222</v>
      </c>
      <c r="AX216" s="200" t="s">
        <v>222</v>
      </c>
      <c r="AY216" s="386">
        <v>17</v>
      </c>
      <c r="AZ216" s="312">
        <f t="shared" si="17"/>
        <v>24</v>
      </c>
      <c r="BA216" s="155">
        <f t="shared" si="17"/>
        <v>208</v>
      </c>
      <c r="BB216" s="439" t="s">
        <v>621</v>
      </c>
      <c r="BC216" s="23" t="s">
        <v>458</v>
      </c>
      <c r="BD216" s="23"/>
    </row>
    <row r="217" spans="2:56" ht="15.5">
      <c r="B217" s="141">
        <v>3</v>
      </c>
      <c r="C217" s="156">
        <v>46272</v>
      </c>
      <c r="D217" s="302">
        <v>46273</v>
      </c>
      <c r="E217" s="133">
        <v>28</v>
      </c>
      <c r="F217" s="155">
        <v>221</v>
      </c>
      <c r="G217" s="138">
        <v>7.0750000000000007E-2</v>
      </c>
      <c r="H217" s="8">
        <v>0.35250000000000004</v>
      </c>
      <c r="I217" s="8">
        <v>0.4</v>
      </c>
      <c r="J217" s="139">
        <v>26.25</v>
      </c>
      <c r="K217" s="139">
        <v>18.834375000000001</v>
      </c>
      <c r="L217" s="139">
        <v>71.75</v>
      </c>
      <c r="M217" s="8">
        <v>0.25</v>
      </c>
      <c r="N217" s="140">
        <v>74.5</v>
      </c>
      <c r="O217" s="306"/>
      <c r="P217" s="140"/>
      <c r="Q217" s="140"/>
      <c r="R217" s="140"/>
      <c r="S217" s="140"/>
      <c r="T217" s="140"/>
      <c r="U217" s="140"/>
      <c r="V217" s="140"/>
      <c r="W217" s="140"/>
      <c r="X217" s="141"/>
      <c r="Y217" s="141"/>
      <c r="Z217" s="312">
        <v>24</v>
      </c>
      <c r="AA217" s="155">
        <v>209</v>
      </c>
      <c r="AB217" s="28">
        <v>7.0750000000000007E-2</v>
      </c>
      <c r="AC217" s="30">
        <v>0.35250000000000004</v>
      </c>
      <c r="AD217" s="30">
        <v>0.4</v>
      </c>
      <c r="AE217" s="385">
        <v>35.5</v>
      </c>
      <c r="AF217" s="385">
        <v>25.75</v>
      </c>
      <c r="AG217" s="385">
        <v>72.25</v>
      </c>
      <c r="AH217" s="23">
        <v>0.23</v>
      </c>
      <c r="AI217" s="140">
        <v>71</v>
      </c>
      <c r="AJ217" s="141"/>
      <c r="AK217" s="141"/>
      <c r="AL217" s="138">
        <f t="shared" si="19"/>
        <v>0</v>
      </c>
      <c r="AM217" s="8">
        <f t="shared" si="18"/>
        <v>0</v>
      </c>
      <c r="AN217" s="8">
        <f t="shared" si="18"/>
        <v>0</v>
      </c>
      <c r="AO217" s="139">
        <f t="shared" si="18"/>
        <v>9.25</v>
      </c>
      <c r="AP217" s="139">
        <f t="shared" si="18"/>
        <v>6.9156249999999986</v>
      </c>
      <c r="AQ217" s="139">
        <f t="shared" si="18"/>
        <v>0.5</v>
      </c>
      <c r="AR217" s="8">
        <f t="shared" si="18"/>
        <v>-1.999999999999999E-2</v>
      </c>
      <c r="AS217" s="139">
        <f t="shared" si="18"/>
        <v>-3.5</v>
      </c>
      <c r="AT217" s="200" t="s">
        <v>222</v>
      </c>
      <c r="AU217" s="200" t="s">
        <v>222</v>
      </c>
      <c r="AV217" s="200" t="s">
        <v>222</v>
      </c>
      <c r="AW217" s="200" t="s">
        <v>222</v>
      </c>
      <c r="AX217" s="200" t="s">
        <v>222</v>
      </c>
      <c r="AY217" s="386">
        <v>17</v>
      </c>
      <c r="AZ217" s="312">
        <f t="shared" si="17"/>
        <v>24</v>
      </c>
      <c r="BA217" s="155">
        <f t="shared" si="17"/>
        <v>209</v>
      </c>
      <c r="BB217" s="439" t="s">
        <v>621</v>
      </c>
      <c r="BC217" s="23" t="s">
        <v>458</v>
      </c>
      <c r="BD217" s="23"/>
    </row>
    <row r="218" spans="2:56" ht="15.5">
      <c r="B218" s="141">
        <v>3</v>
      </c>
      <c r="C218" s="156">
        <v>46273</v>
      </c>
      <c r="D218" s="302">
        <v>46274</v>
      </c>
      <c r="E218" s="133">
        <v>28</v>
      </c>
      <c r="F218" s="155">
        <v>224</v>
      </c>
      <c r="G218" s="138">
        <v>3.175E-2</v>
      </c>
      <c r="H218" s="8">
        <v>0.33500000000000002</v>
      </c>
      <c r="I218" s="8">
        <v>0.43</v>
      </c>
      <c r="J218" s="139">
        <v>31.25</v>
      </c>
      <c r="K218" s="139">
        <v>23.046875</v>
      </c>
      <c r="L218" s="139">
        <v>73.75</v>
      </c>
      <c r="M218" s="8">
        <v>0.25</v>
      </c>
      <c r="N218" s="140">
        <v>75</v>
      </c>
      <c r="O218" s="306"/>
      <c r="P218" s="140"/>
      <c r="Q218" s="140"/>
      <c r="R218" s="140"/>
      <c r="S218" s="140"/>
      <c r="T218" s="140"/>
      <c r="U218" s="140"/>
      <c r="V218" s="140"/>
      <c r="W218" s="140"/>
      <c r="X218" s="141"/>
      <c r="Y218" s="141"/>
      <c r="Z218" s="312">
        <v>24</v>
      </c>
      <c r="AA218" s="155">
        <v>210</v>
      </c>
      <c r="AB218" s="28">
        <v>3.175E-2</v>
      </c>
      <c r="AC218" s="30">
        <v>0.33500000000000002</v>
      </c>
      <c r="AD218" s="30">
        <v>0.43</v>
      </c>
      <c r="AE218" s="385">
        <v>35</v>
      </c>
      <c r="AF218" s="385">
        <v>25.75</v>
      </c>
      <c r="AG218" s="385">
        <v>73</v>
      </c>
      <c r="AH218" s="23">
        <v>0.23</v>
      </c>
      <c r="AI218" s="140">
        <v>71</v>
      </c>
      <c r="AJ218" s="141"/>
      <c r="AK218" s="141"/>
      <c r="AL218" s="138">
        <f t="shared" si="19"/>
        <v>0</v>
      </c>
      <c r="AM218" s="8">
        <f t="shared" si="18"/>
        <v>0</v>
      </c>
      <c r="AN218" s="8">
        <f t="shared" si="18"/>
        <v>0</v>
      </c>
      <c r="AO218" s="139">
        <f t="shared" si="18"/>
        <v>3.75</v>
      </c>
      <c r="AP218" s="139">
        <f t="shared" si="18"/>
        <v>2.703125</v>
      </c>
      <c r="AQ218" s="139">
        <f t="shared" si="18"/>
        <v>-0.75</v>
      </c>
      <c r="AR218" s="8">
        <f t="shared" si="18"/>
        <v>-1.999999999999999E-2</v>
      </c>
      <c r="AS218" s="139">
        <f t="shared" si="18"/>
        <v>-4</v>
      </c>
      <c r="AT218" s="200" t="s">
        <v>222</v>
      </c>
      <c r="AU218" s="200" t="s">
        <v>222</v>
      </c>
      <c r="AV218" s="200" t="s">
        <v>222</v>
      </c>
      <c r="AW218" s="200" t="s">
        <v>222</v>
      </c>
      <c r="AX218" s="200" t="s">
        <v>222</v>
      </c>
      <c r="AY218" s="386">
        <v>17</v>
      </c>
      <c r="AZ218" s="312">
        <f t="shared" si="17"/>
        <v>24</v>
      </c>
      <c r="BA218" s="155">
        <f t="shared" si="17"/>
        <v>210</v>
      </c>
      <c r="BB218" s="439" t="s">
        <v>621</v>
      </c>
      <c r="BC218" s="23" t="s">
        <v>458</v>
      </c>
      <c r="BD218" s="23"/>
    </row>
    <row r="219" spans="2:56" ht="15.5">
      <c r="B219" s="141">
        <v>9</v>
      </c>
      <c r="C219" s="156">
        <v>46273</v>
      </c>
      <c r="D219" s="302">
        <v>46274</v>
      </c>
      <c r="E219" s="133">
        <v>29</v>
      </c>
      <c r="F219" s="155">
        <v>225</v>
      </c>
      <c r="G219" s="138">
        <v>3.175E-2</v>
      </c>
      <c r="H219" s="8">
        <v>0.33</v>
      </c>
      <c r="I219" s="8">
        <v>0.45</v>
      </c>
      <c r="J219" s="139">
        <v>33.75</v>
      </c>
      <c r="K219" s="139">
        <v>25.734375</v>
      </c>
      <c r="L219" s="139">
        <v>76.25</v>
      </c>
      <c r="M219" s="8">
        <v>0.22</v>
      </c>
      <c r="N219" s="140">
        <v>80</v>
      </c>
      <c r="O219" s="306"/>
      <c r="P219" s="140"/>
      <c r="Q219" s="140"/>
      <c r="R219" s="140"/>
      <c r="S219" s="140"/>
      <c r="T219" s="140"/>
      <c r="U219" s="140"/>
      <c r="V219" s="140"/>
      <c r="W219" s="140"/>
      <c r="X219" s="141"/>
      <c r="Y219" s="141"/>
      <c r="Z219" s="312">
        <v>24</v>
      </c>
      <c r="AA219" s="155">
        <v>211</v>
      </c>
      <c r="AB219" s="28">
        <v>3.175E-2</v>
      </c>
      <c r="AC219" s="30">
        <v>0.33</v>
      </c>
      <c r="AD219" s="30">
        <v>0.45</v>
      </c>
      <c r="AE219" s="385">
        <v>36.5</v>
      </c>
      <c r="AF219" s="385">
        <v>26.5</v>
      </c>
      <c r="AG219" s="385">
        <v>72.5</v>
      </c>
      <c r="AH219" s="23">
        <v>0.23</v>
      </c>
      <c r="AI219" s="140">
        <v>71</v>
      </c>
      <c r="AJ219" s="141"/>
      <c r="AK219" s="141"/>
      <c r="AL219" s="138">
        <f t="shared" si="19"/>
        <v>0</v>
      </c>
      <c r="AM219" s="8">
        <f t="shared" si="18"/>
        <v>0</v>
      </c>
      <c r="AN219" s="8">
        <f t="shared" si="18"/>
        <v>0</v>
      </c>
      <c r="AO219" s="139">
        <f t="shared" si="18"/>
        <v>2.75</v>
      </c>
      <c r="AP219" s="139">
        <f t="shared" si="18"/>
        <v>0.765625</v>
      </c>
      <c r="AQ219" s="139">
        <f t="shared" si="18"/>
        <v>-3.75</v>
      </c>
      <c r="AR219" s="8">
        <f t="shared" si="18"/>
        <v>1.0000000000000009E-2</v>
      </c>
      <c r="AS219" s="139">
        <f t="shared" si="18"/>
        <v>-9</v>
      </c>
      <c r="AT219" s="200" t="s">
        <v>222</v>
      </c>
      <c r="AU219" s="200" t="s">
        <v>222</v>
      </c>
      <c r="AV219" s="200" t="s">
        <v>222</v>
      </c>
      <c r="AW219" s="200" t="s">
        <v>222</v>
      </c>
      <c r="AX219" s="200" t="s">
        <v>222</v>
      </c>
      <c r="AY219" s="386">
        <v>17</v>
      </c>
      <c r="AZ219" s="312">
        <f t="shared" si="17"/>
        <v>24</v>
      </c>
      <c r="BA219" s="155">
        <f t="shared" si="17"/>
        <v>211</v>
      </c>
      <c r="BB219" s="439" t="s">
        <v>621</v>
      </c>
      <c r="BC219" s="23" t="s">
        <v>458</v>
      </c>
      <c r="BD219" s="23"/>
    </row>
    <row r="220" spans="2:56" ht="15.5">
      <c r="B220" s="141">
        <v>4</v>
      </c>
      <c r="C220" s="156">
        <v>46167</v>
      </c>
      <c r="D220" s="302">
        <v>46169</v>
      </c>
      <c r="E220" s="133">
        <v>9</v>
      </c>
      <c r="F220" s="155">
        <v>65</v>
      </c>
      <c r="G220" s="138">
        <v>0.112</v>
      </c>
      <c r="H220" s="8">
        <v>0.36499999999999999</v>
      </c>
      <c r="I220" s="8">
        <v>0.37</v>
      </c>
      <c r="J220" s="139">
        <v>49</v>
      </c>
      <c r="K220" s="139">
        <v>31.751999999999999</v>
      </c>
      <c r="L220" s="139">
        <v>64.8</v>
      </c>
      <c r="M220" s="8">
        <v>0.23</v>
      </c>
      <c r="N220" s="140">
        <v>81.5</v>
      </c>
      <c r="O220" s="306" t="s">
        <v>562</v>
      </c>
      <c r="P220" s="140"/>
      <c r="Q220" s="140"/>
      <c r="R220" s="140"/>
      <c r="S220" s="140">
        <v>50</v>
      </c>
      <c r="T220" s="140">
        <v>31</v>
      </c>
      <c r="U220" s="140">
        <v>62</v>
      </c>
      <c r="V220" s="140"/>
      <c r="W220" s="140" t="s">
        <v>563</v>
      </c>
      <c r="X220" s="141"/>
      <c r="Y220" s="141"/>
      <c r="Z220" s="312">
        <v>25</v>
      </c>
      <c r="AA220" s="155">
        <v>212</v>
      </c>
      <c r="AB220" s="28">
        <v>0.112</v>
      </c>
      <c r="AC220" s="30">
        <v>0.36499999999999999</v>
      </c>
      <c r="AD220" s="30">
        <v>0.37</v>
      </c>
      <c r="AE220" s="385">
        <v>39</v>
      </c>
      <c r="AF220" s="385">
        <v>27.75</v>
      </c>
      <c r="AG220" s="385">
        <v>71.177462887989208</v>
      </c>
      <c r="AH220" s="23">
        <v>0.23</v>
      </c>
      <c r="AI220" s="23">
        <v>79.5</v>
      </c>
      <c r="AJ220" s="141"/>
      <c r="AK220" s="141"/>
      <c r="AL220" s="138">
        <f t="shared" si="19"/>
        <v>0</v>
      </c>
      <c r="AM220" s="8">
        <f t="shared" si="18"/>
        <v>0</v>
      </c>
      <c r="AN220" s="8">
        <f t="shared" si="18"/>
        <v>0</v>
      </c>
      <c r="AO220" s="139">
        <f t="shared" si="18"/>
        <v>-10</v>
      </c>
      <c r="AP220" s="139">
        <f t="shared" si="18"/>
        <v>-4.0019999999999989</v>
      </c>
      <c r="AQ220" s="139">
        <f t="shared" si="18"/>
        <v>6.3774628879892106</v>
      </c>
      <c r="AR220" s="8">
        <f t="shared" si="18"/>
        <v>0</v>
      </c>
      <c r="AS220" s="139">
        <f t="shared" si="18"/>
        <v>-2</v>
      </c>
      <c r="AT220" s="200" t="s">
        <v>222</v>
      </c>
      <c r="AU220" s="200" t="s">
        <v>222</v>
      </c>
      <c r="AV220" s="200" t="s">
        <v>222</v>
      </c>
      <c r="AW220" s="200" t="s">
        <v>222</v>
      </c>
      <c r="AX220" s="200" t="s">
        <v>222</v>
      </c>
      <c r="AY220" s="386">
        <v>19</v>
      </c>
      <c r="AZ220" s="312">
        <f t="shared" si="17"/>
        <v>25</v>
      </c>
      <c r="BA220" s="155">
        <f t="shared" si="17"/>
        <v>212</v>
      </c>
      <c r="BB220" s="439" t="s">
        <v>622</v>
      </c>
      <c r="BC220" s="23" t="s">
        <v>458</v>
      </c>
      <c r="BD220" s="23"/>
    </row>
    <row r="221" spans="2:56" ht="15.5">
      <c r="B221" s="141">
        <v>2</v>
      </c>
      <c r="C221" s="156">
        <v>46226</v>
      </c>
      <c r="D221" s="302">
        <v>46227</v>
      </c>
      <c r="E221" s="133">
        <v>25</v>
      </c>
      <c r="F221" s="155">
        <v>199</v>
      </c>
      <c r="G221" s="138">
        <v>2.6749999999999996E-2</v>
      </c>
      <c r="H221" s="8">
        <v>0.32500000000000001</v>
      </c>
      <c r="I221" s="8">
        <v>0.23</v>
      </c>
      <c r="J221" s="139">
        <v>31.5</v>
      </c>
      <c r="K221" s="139">
        <v>23.625</v>
      </c>
      <c r="L221" s="139">
        <v>75</v>
      </c>
      <c r="M221" s="8">
        <v>0.21</v>
      </c>
      <c r="N221" s="140">
        <v>81</v>
      </c>
      <c r="O221" s="306"/>
      <c r="P221" s="140"/>
      <c r="Q221" s="140"/>
      <c r="R221" s="140"/>
      <c r="S221" s="140">
        <v>27</v>
      </c>
      <c r="T221" s="140">
        <v>21.06</v>
      </c>
      <c r="U221" s="140">
        <v>78</v>
      </c>
      <c r="V221" s="140"/>
      <c r="W221" s="140"/>
      <c r="X221" s="141"/>
      <c r="Y221" s="141"/>
      <c r="Z221" s="312">
        <v>25</v>
      </c>
      <c r="AA221" s="155">
        <v>213</v>
      </c>
      <c r="AB221" s="28">
        <v>2.6749999999999996E-2</v>
      </c>
      <c r="AC221" s="30">
        <v>0.32500000000000001</v>
      </c>
      <c r="AD221" s="30">
        <v>0.23</v>
      </c>
      <c r="AE221" s="385">
        <v>32.5</v>
      </c>
      <c r="AF221" s="385">
        <v>24.25</v>
      </c>
      <c r="AG221" s="385">
        <v>74.621212121212125</v>
      </c>
      <c r="AH221" s="23">
        <v>0.23</v>
      </c>
      <c r="AI221" s="23">
        <v>79.5</v>
      </c>
      <c r="AJ221" s="141"/>
      <c r="AK221" s="141"/>
      <c r="AL221" s="138">
        <f t="shared" si="19"/>
        <v>0</v>
      </c>
      <c r="AM221" s="8">
        <f t="shared" si="18"/>
        <v>0</v>
      </c>
      <c r="AN221" s="8">
        <f t="shared" si="18"/>
        <v>0</v>
      </c>
      <c r="AO221" s="139">
        <f t="shared" si="18"/>
        <v>1</v>
      </c>
      <c r="AP221" s="139">
        <f t="shared" si="18"/>
        <v>0.625</v>
      </c>
      <c r="AQ221" s="139">
        <f t="shared" si="18"/>
        <v>-0.37878787878787534</v>
      </c>
      <c r="AR221" s="8">
        <f t="shared" si="18"/>
        <v>2.0000000000000018E-2</v>
      </c>
      <c r="AS221" s="139">
        <f t="shared" si="18"/>
        <v>-1.5</v>
      </c>
      <c r="AT221" s="200" t="s">
        <v>222</v>
      </c>
      <c r="AU221" s="200" t="s">
        <v>222</v>
      </c>
      <c r="AV221" s="200" t="s">
        <v>222</v>
      </c>
      <c r="AW221" s="200" t="s">
        <v>222</v>
      </c>
      <c r="AX221" s="200" t="s">
        <v>222</v>
      </c>
      <c r="AY221" s="386">
        <v>19</v>
      </c>
      <c r="AZ221" s="312">
        <f t="shared" si="17"/>
        <v>25</v>
      </c>
      <c r="BA221" s="155">
        <f t="shared" si="17"/>
        <v>213</v>
      </c>
      <c r="BB221" s="439" t="s">
        <v>622</v>
      </c>
      <c r="BC221" s="23" t="s">
        <v>458</v>
      </c>
      <c r="BD221" s="23"/>
    </row>
    <row r="222" spans="2:56" ht="15.5">
      <c r="B222" s="141">
        <v>3</v>
      </c>
      <c r="C222" s="156">
        <v>46269</v>
      </c>
      <c r="D222" s="302">
        <v>46239</v>
      </c>
      <c r="E222" s="133">
        <v>27</v>
      </c>
      <c r="F222" s="155">
        <v>212</v>
      </c>
      <c r="G222" s="138">
        <v>0.06</v>
      </c>
      <c r="H222" s="8">
        <v>0.35000000000000003</v>
      </c>
      <c r="I222" s="8">
        <v>0.24</v>
      </c>
      <c r="J222" s="139">
        <v>27.5</v>
      </c>
      <c r="K222" s="139">
        <v>20.487500000000001</v>
      </c>
      <c r="L222" s="139">
        <v>74.5</v>
      </c>
      <c r="M222" s="8">
        <v>0.23</v>
      </c>
      <c r="N222" s="140">
        <v>80</v>
      </c>
      <c r="O222" s="306"/>
      <c r="P222" s="140"/>
      <c r="Q222" s="140"/>
      <c r="R222" s="140"/>
      <c r="S222" s="140"/>
      <c r="T222" s="140"/>
      <c r="U222" s="140"/>
      <c r="V222" s="140"/>
      <c r="W222" s="140"/>
      <c r="X222" s="141"/>
      <c r="Y222" s="141"/>
      <c r="Z222" s="312">
        <v>25</v>
      </c>
      <c r="AA222" s="155">
        <v>214</v>
      </c>
      <c r="AB222" s="28">
        <v>5.9499999999999997E-2</v>
      </c>
      <c r="AC222" s="30">
        <v>0.35000000000000003</v>
      </c>
      <c r="AD222" s="30">
        <v>0.24</v>
      </c>
      <c r="AE222" s="385">
        <v>34.25</v>
      </c>
      <c r="AF222" s="385">
        <v>24.75</v>
      </c>
      <c r="AG222" s="385">
        <v>72.268907563025209</v>
      </c>
      <c r="AH222" s="23">
        <v>0.23</v>
      </c>
      <c r="AI222" s="23">
        <v>79.5</v>
      </c>
      <c r="AJ222" s="141"/>
      <c r="AK222" s="141"/>
      <c r="AL222" s="138">
        <f t="shared" si="19"/>
        <v>-5.0000000000000044E-4</v>
      </c>
      <c r="AM222" s="8">
        <f t="shared" si="18"/>
        <v>0</v>
      </c>
      <c r="AN222" s="8">
        <f t="shared" si="18"/>
        <v>0</v>
      </c>
      <c r="AO222" s="139">
        <f t="shared" si="18"/>
        <v>6.75</v>
      </c>
      <c r="AP222" s="139">
        <f t="shared" si="18"/>
        <v>4.2624999999999993</v>
      </c>
      <c r="AQ222" s="139">
        <f t="shared" si="18"/>
        <v>-2.2310924369747909</v>
      </c>
      <c r="AR222" s="8">
        <f t="shared" si="18"/>
        <v>0</v>
      </c>
      <c r="AS222" s="139">
        <f t="shared" si="18"/>
        <v>-0.5</v>
      </c>
      <c r="AT222" s="200" t="s">
        <v>222</v>
      </c>
      <c r="AU222" s="200" t="s">
        <v>222</v>
      </c>
      <c r="AV222" s="200" t="s">
        <v>222</v>
      </c>
      <c r="AW222" s="200" t="s">
        <v>222</v>
      </c>
      <c r="AX222" s="200" t="s">
        <v>222</v>
      </c>
      <c r="AY222" s="386">
        <v>19</v>
      </c>
      <c r="AZ222" s="312">
        <f t="shared" si="17"/>
        <v>25</v>
      </c>
      <c r="BA222" s="155">
        <f t="shared" si="17"/>
        <v>214</v>
      </c>
      <c r="BB222" s="439" t="s">
        <v>622</v>
      </c>
      <c r="BC222" s="23" t="s">
        <v>458</v>
      </c>
      <c r="BD222" s="23"/>
    </row>
    <row r="223" spans="2:56" ht="15.5">
      <c r="B223" s="141">
        <v>3</v>
      </c>
      <c r="C223" s="156">
        <v>46269</v>
      </c>
      <c r="D223" s="302">
        <v>46239</v>
      </c>
      <c r="E223" s="133">
        <v>27</v>
      </c>
      <c r="F223" s="155">
        <v>213</v>
      </c>
      <c r="G223" s="138">
        <v>0.06</v>
      </c>
      <c r="H223" s="8">
        <v>0.33500000000000002</v>
      </c>
      <c r="I223" s="8">
        <v>0.13</v>
      </c>
      <c r="J223" s="139">
        <v>31</v>
      </c>
      <c r="K223" s="139">
        <v>24.024999999999999</v>
      </c>
      <c r="L223" s="139">
        <v>77.5</v>
      </c>
      <c r="M223" s="8">
        <v>0.23</v>
      </c>
      <c r="N223" s="140">
        <v>66</v>
      </c>
      <c r="O223" s="306"/>
      <c r="P223" s="140"/>
      <c r="Q223" s="140"/>
      <c r="R223" s="140"/>
      <c r="S223" s="140"/>
      <c r="T223" s="140"/>
      <c r="U223" s="140"/>
      <c r="V223" s="140"/>
      <c r="W223" s="140"/>
      <c r="X223" s="141"/>
      <c r="Y223" s="141"/>
      <c r="Z223" s="312">
        <v>25</v>
      </c>
      <c r="AA223" s="155">
        <v>215</v>
      </c>
      <c r="AB223" s="28">
        <v>0.06</v>
      </c>
      <c r="AC223" s="30">
        <v>0.33500000000000002</v>
      </c>
      <c r="AD223" s="30">
        <v>0.13</v>
      </c>
      <c r="AE223" s="385">
        <v>32.75</v>
      </c>
      <c r="AF223" s="385">
        <v>24.5</v>
      </c>
      <c r="AG223" s="385">
        <v>74.821746880570402</v>
      </c>
      <c r="AH223" s="23">
        <v>0.23</v>
      </c>
      <c r="AI223" s="23">
        <v>79.5</v>
      </c>
      <c r="AJ223" s="141"/>
      <c r="AK223" s="141"/>
      <c r="AL223" s="138">
        <f t="shared" si="19"/>
        <v>0</v>
      </c>
      <c r="AM223" s="8">
        <f t="shared" si="18"/>
        <v>0</v>
      </c>
      <c r="AN223" s="8">
        <f t="shared" si="18"/>
        <v>0</v>
      </c>
      <c r="AO223" s="139">
        <f t="shared" si="18"/>
        <v>1.75</v>
      </c>
      <c r="AP223" s="139">
        <f t="shared" si="18"/>
        <v>0.47500000000000142</v>
      </c>
      <c r="AQ223" s="139">
        <f t="shared" si="18"/>
        <v>-2.6782531194295984</v>
      </c>
      <c r="AR223" s="8">
        <f t="shared" si="18"/>
        <v>0</v>
      </c>
      <c r="AS223" s="139">
        <f t="shared" si="18"/>
        <v>13.5</v>
      </c>
      <c r="AT223" s="200" t="s">
        <v>222</v>
      </c>
      <c r="AU223" s="200" t="s">
        <v>222</v>
      </c>
      <c r="AV223" s="200" t="s">
        <v>222</v>
      </c>
      <c r="AW223" s="200" t="s">
        <v>222</v>
      </c>
      <c r="AX223" s="200" t="s">
        <v>222</v>
      </c>
      <c r="AY223" s="386">
        <v>19</v>
      </c>
      <c r="AZ223" s="312">
        <f t="shared" si="17"/>
        <v>25</v>
      </c>
      <c r="BA223" s="155">
        <f t="shared" si="17"/>
        <v>215</v>
      </c>
      <c r="BB223" s="439" t="s">
        <v>622</v>
      </c>
      <c r="BC223" s="23" t="s">
        <v>458</v>
      </c>
      <c r="BD223" s="23"/>
    </row>
    <row r="224" spans="2:56" ht="15.5">
      <c r="B224" s="141">
        <v>3</v>
      </c>
      <c r="C224" s="156">
        <v>46272</v>
      </c>
      <c r="D224" s="302">
        <v>46273</v>
      </c>
      <c r="E224" s="133">
        <v>28</v>
      </c>
      <c r="F224" s="155">
        <v>222</v>
      </c>
      <c r="G224" s="138">
        <v>2.1749999999999999E-2</v>
      </c>
      <c r="H224" s="8">
        <v>0.35</v>
      </c>
      <c r="I224" s="8">
        <v>0.33</v>
      </c>
      <c r="J224" s="139">
        <v>28.5</v>
      </c>
      <c r="K224" s="139">
        <v>20.805</v>
      </c>
      <c r="L224" s="139">
        <v>73</v>
      </c>
      <c r="M224" s="8">
        <v>0.25</v>
      </c>
      <c r="N224" s="140">
        <v>74.5</v>
      </c>
      <c r="O224" s="306"/>
      <c r="P224" s="140"/>
      <c r="Q224" s="140"/>
      <c r="R224" s="140"/>
      <c r="S224" s="140"/>
      <c r="T224" s="140"/>
      <c r="U224" s="140"/>
      <c r="V224" s="140"/>
      <c r="W224" s="140"/>
      <c r="X224" s="141"/>
      <c r="Y224" s="141"/>
      <c r="Z224" s="312">
        <v>25</v>
      </c>
      <c r="AA224" s="155">
        <v>216</v>
      </c>
      <c r="AB224" s="28">
        <v>2.1749999999999999E-2</v>
      </c>
      <c r="AC224" s="30">
        <v>0.35</v>
      </c>
      <c r="AD224" s="30">
        <v>0.33</v>
      </c>
      <c r="AE224" s="385">
        <v>34.25</v>
      </c>
      <c r="AF224" s="385">
        <v>24.75</v>
      </c>
      <c r="AG224" s="385">
        <v>72.5</v>
      </c>
      <c r="AH224" s="23">
        <v>0.23</v>
      </c>
      <c r="AI224" s="23">
        <v>79.5</v>
      </c>
      <c r="AJ224" s="141"/>
      <c r="AK224" s="141"/>
      <c r="AL224" s="138">
        <f t="shared" si="19"/>
        <v>0</v>
      </c>
      <c r="AM224" s="8">
        <f t="shared" si="19"/>
        <v>0</v>
      </c>
      <c r="AN224" s="8">
        <f t="shared" si="19"/>
        <v>0</v>
      </c>
      <c r="AO224" s="139">
        <f t="shared" si="19"/>
        <v>5.75</v>
      </c>
      <c r="AP224" s="139">
        <f t="shared" si="19"/>
        <v>3.9450000000000003</v>
      </c>
      <c r="AQ224" s="139">
        <f t="shared" si="19"/>
        <v>-0.5</v>
      </c>
      <c r="AR224" s="8">
        <f t="shared" si="19"/>
        <v>-1.999999999999999E-2</v>
      </c>
      <c r="AS224" s="139">
        <f t="shared" si="19"/>
        <v>5</v>
      </c>
      <c r="AT224" s="200" t="s">
        <v>222</v>
      </c>
      <c r="AU224" s="200" t="s">
        <v>222</v>
      </c>
      <c r="AV224" s="200" t="s">
        <v>222</v>
      </c>
      <c r="AW224" s="200" t="s">
        <v>222</v>
      </c>
      <c r="AX224" s="200" t="s">
        <v>222</v>
      </c>
      <c r="AY224" s="386">
        <v>19</v>
      </c>
      <c r="AZ224" s="312">
        <f t="shared" si="17"/>
        <v>25</v>
      </c>
      <c r="BA224" s="155">
        <f t="shared" si="17"/>
        <v>216</v>
      </c>
      <c r="BB224" s="439" t="s">
        <v>622</v>
      </c>
      <c r="BC224" s="23" t="s">
        <v>458</v>
      </c>
      <c r="BD224" s="23"/>
    </row>
    <row r="225" spans="2:56" ht="15.5">
      <c r="B225" s="141">
        <v>3</v>
      </c>
      <c r="C225" s="156">
        <v>46273</v>
      </c>
      <c r="D225" s="302">
        <v>46274</v>
      </c>
      <c r="E225" s="133">
        <v>28</v>
      </c>
      <c r="F225" s="155">
        <v>223</v>
      </c>
      <c r="G225" s="138">
        <v>3.8249999999999999E-2</v>
      </c>
      <c r="H225" s="8">
        <v>0.35749999999999998</v>
      </c>
      <c r="I225" s="8">
        <v>0.28999999999999998</v>
      </c>
      <c r="J225" s="139">
        <v>29</v>
      </c>
      <c r="K225" s="139">
        <v>21.605</v>
      </c>
      <c r="L225" s="139">
        <v>74.5</v>
      </c>
      <c r="M225" s="8">
        <v>0.25</v>
      </c>
      <c r="N225" s="140">
        <v>75</v>
      </c>
      <c r="O225" s="306"/>
      <c r="P225" s="140"/>
      <c r="Q225" s="140"/>
      <c r="R225" s="140"/>
      <c r="S225" s="140"/>
      <c r="T225" s="140"/>
      <c r="U225" s="140"/>
      <c r="V225" s="140"/>
      <c r="W225" s="140"/>
      <c r="X225" s="141"/>
      <c r="Y225" s="141"/>
      <c r="Z225" s="312">
        <v>25</v>
      </c>
      <c r="AA225" s="155">
        <v>217</v>
      </c>
      <c r="AB225" s="28">
        <v>3.8249999999999999E-2</v>
      </c>
      <c r="AC225" s="30">
        <v>0.35749999999999998</v>
      </c>
      <c r="AD225" s="30">
        <v>0.28999999999999998</v>
      </c>
      <c r="AE225" s="385">
        <v>34.75</v>
      </c>
      <c r="AF225" s="385">
        <v>25.5</v>
      </c>
      <c r="AG225" s="385">
        <v>73.25</v>
      </c>
      <c r="AH225" s="23">
        <v>0.23</v>
      </c>
      <c r="AI225" s="140">
        <v>73</v>
      </c>
      <c r="AJ225" s="141"/>
      <c r="AK225" s="141"/>
      <c r="AL225" s="138">
        <f t="shared" si="19"/>
        <v>0</v>
      </c>
      <c r="AM225" s="8">
        <f t="shared" si="19"/>
        <v>0</v>
      </c>
      <c r="AN225" s="8">
        <f t="shared" si="19"/>
        <v>0</v>
      </c>
      <c r="AO225" s="139">
        <f t="shared" si="19"/>
        <v>5.75</v>
      </c>
      <c r="AP225" s="139">
        <f t="shared" si="19"/>
        <v>3.8949999999999996</v>
      </c>
      <c r="AQ225" s="139">
        <f t="shared" si="19"/>
        <v>-1.25</v>
      </c>
      <c r="AR225" s="8">
        <f t="shared" si="19"/>
        <v>-1.999999999999999E-2</v>
      </c>
      <c r="AS225" s="139">
        <f t="shared" si="19"/>
        <v>-2</v>
      </c>
      <c r="AT225" s="200" t="s">
        <v>222</v>
      </c>
      <c r="AU225" s="200" t="s">
        <v>222</v>
      </c>
      <c r="AV225" s="200" t="s">
        <v>222</v>
      </c>
      <c r="AW225" s="200" t="s">
        <v>222</v>
      </c>
      <c r="AX225" s="200" t="s">
        <v>222</v>
      </c>
      <c r="AY225" s="386">
        <v>19</v>
      </c>
      <c r="AZ225" s="312">
        <f t="shared" si="17"/>
        <v>25</v>
      </c>
      <c r="BA225" s="155">
        <f t="shared" si="17"/>
        <v>217</v>
      </c>
      <c r="BB225" s="439" t="s">
        <v>622</v>
      </c>
      <c r="BC225" s="23" t="s">
        <v>458</v>
      </c>
      <c r="BD225" s="23"/>
    </row>
    <row r="226" spans="2:56" ht="15.5">
      <c r="B226" s="141">
        <v>9</v>
      </c>
      <c r="C226" s="156">
        <v>46273</v>
      </c>
      <c r="D226" s="302">
        <v>46274</v>
      </c>
      <c r="E226" s="133">
        <v>29</v>
      </c>
      <c r="F226" s="155">
        <v>227</v>
      </c>
      <c r="G226" s="138">
        <v>4.1000000000000002E-2</v>
      </c>
      <c r="H226" s="8">
        <v>0.34750000000000003</v>
      </c>
      <c r="I226" s="8">
        <v>0.26</v>
      </c>
      <c r="J226" s="139">
        <v>41</v>
      </c>
      <c r="K226" s="139">
        <v>27.982500000000002</v>
      </c>
      <c r="L226" s="139">
        <v>68.25</v>
      </c>
      <c r="M226" s="8">
        <v>0.22</v>
      </c>
      <c r="N226" s="140">
        <v>80</v>
      </c>
      <c r="O226" s="306"/>
      <c r="P226" s="140"/>
      <c r="Q226" s="140"/>
      <c r="R226" s="140"/>
      <c r="S226" s="140"/>
      <c r="T226" s="140"/>
      <c r="U226" s="140"/>
      <c r="V226" s="140"/>
      <c r="W226" s="140"/>
      <c r="X226" s="141"/>
      <c r="Y226" s="141"/>
      <c r="Z226" s="312">
        <v>25</v>
      </c>
      <c r="AA226" s="155">
        <v>218</v>
      </c>
      <c r="AB226" s="28">
        <v>4.1000000000000002E-2</v>
      </c>
      <c r="AC226" s="30">
        <v>0.34750000000000003</v>
      </c>
      <c r="AD226" s="30">
        <v>0.26</v>
      </c>
      <c r="AE226" s="385">
        <v>36</v>
      </c>
      <c r="AF226" s="385">
        <v>25.5</v>
      </c>
      <c r="AG226" s="385">
        <v>70.5</v>
      </c>
      <c r="AH226" s="23">
        <v>0.23</v>
      </c>
      <c r="AI226" s="140">
        <v>73</v>
      </c>
      <c r="AJ226" s="141"/>
      <c r="AK226" s="141"/>
      <c r="AL226" s="138">
        <f t="shared" si="19"/>
        <v>0</v>
      </c>
      <c r="AM226" s="8">
        <f t="shared" si="19"/>
        <v>0</v>
      </c>
      <c r="AN226" s="8">
        <f t="shared" si="19"/>
        <v>0</v>
      </c>
      <c r="AO226" s="139">
        <f t="shared" si="19"/>
        <v>-5</v>
      </c>
      <c r="AP226" s="139">
        <f t="shared" si="19"/>
        <v>-2.4825000000000017</v>
      </c>
      <c r="AQ226" s="139">
        <f t="shared" si="19"/>
        <v>2.25</v>
      </c>
      <c r="AR226" s="8">
        <f t="shared" si="19"/>
        <v>1.0000000000000009E-2</v>
      </c>
      <c r="AS226" s="139">
        <f t="shared" si="19"/>
        <v>-7</v>
      </c>
      <c r="AT226" s="200" t="s">
        <v>222</v>
      </c>
      <c r="AU226" s="200" t="s">
        <v>222</v>
      </c>
      <c r="AV226" s="200" t="s">
        <v>222</v>
      </c>
      <c r="AW226" s="200" t="s">
        <v>222</v>
      </c>
      <c r="AX226" s="200" t="s">
        <v>222</v>
      </c>
      <c r="AY226" s="386">
        <v>19</v>
      </c>
      <c r="AZ226" s="312">
        <f t="shared" si="17"/>
        <v>25</v>
      </c>
      <c r="BA226" s="155">
        <f t="shared" si="17"/>
        <v>218</v>
      </c>
      <c r="BB226" s="439" t="s">
        <v>622</v>
      </c>
      <c r="BC226" s="23" t="s">
        <v>458</v>
      </c>
      <c r="BD226" s="23"/>
    </row>
    <row r="227" spans="2:56" ht="15.5">
      <c r="B227" s="141">
        <v>9</v>
      </c>
      <c r="C227" s="156">
        <v>46273</v>
      </c>
      <c r="D227" s="302">
        <v>46274</v>
      </c>
      <c r="E227" s="133">
        <v>29</v>
      </c>
      <c r="F227" s="155">
        <v>228</v>
      </c>
      <c r="G227" s="138">
        <v>3.2000000000000001E-2</v>
      </c>
      <c r="H227" s="8">
        <v>0.33250000000000002</v>
      </c>
      <c r="I227" s="8">
        <v>0.24</v>
      </c>
      <c r="J227" s="139">
        <v>41.25</v>
      </c>
      <c r="K227" s="139">
        <v>29.7</v>
      </c>
      <c r="L227" s="139">
        <v>72</v>
      </c>
      <c r="M227" s="8">
        <v>0.22</v>
      </c>
      <c r="N227" s="140">
        <v>80</v>
      </c>
      <c r="O227" s="306"/>
      <c r="P227" s="140"/>
      <c r="Q227" s="140"/>
      <c r="R227" s="140"/>
      <c r="S227" s="140"/>
      <c r="T227" s="140"/>
      <c r="U227" s="140"/>
      <c r="V227" s="140"/>
      <c r="W227" s="140"/>
      <c r="X227" s="141"/>
      <c r="Y227" s="141"/>
      <c r="Z227" s="312">
        <v>25</v>
      </c>
      <c r="AA227" s="155">
        <v>219</v>
      </c>
      <c r="AB227" s="28">
        <v>3.2000000000000001E-2</v>
      </c>
      <c r="AC227" s="30">
        <v>0.33250000000000002</v>
      </c>
      <c r="AD227" s="30">
        <v>0.24</v>
      </c>
      <c r="AE227" s="385">
        <v>37.25</v>
      </c>
      <c r="AF227" s="385">
        <v>27.25</v>
      </c>
      <c r="AG227" s="385">
        <v>73.25</v>
      </c>
      <c r="AH227" s="23">
        <v>0.23</v>
      </c>
      <c r="AI227" s="140">
        <v>73</v>
      </c>
      <c r="AJ227" s="141"/>
      <c r="AK227" s="141"/>
      <c r="AL227" s="138">
        <f t="shared" si="19"/>
        <v>0</v>
      </c>
      <c r="AM227" s="8">
        <f t="shared" si="19"/>
        <v>0</v>
      </c>
      <c r="AN227" s="8">
        <f t="shared" si="19"/>
        <v>0</v>
      </c>
      <c r="AO227" s="139">
        <f t="shared" si="19"/>
        <v>-4</v>
      </c>
      <c r="AP227" s="139">
        <f t="shared" si="19"/>
        <v>-2.4499999999999993</v>
      </c>
      <c r="AQ227" s="139">
        <f t="shared" si="19"/>
        <v>1.25</v>
      </c>
      <c r="AR227" s="8">
        <f t="shared" si="19"/>
        <v>1.0000000000000009E-2</v>
      </c>
      <c r="AS227" s="139">
        <f t="shared" si="19"/>
        <v>-7</v>
      </c>
      <c r="AT227" s="200" t="s">
        <v>222</v>
      </c>
      <c r="AU227" s="200" t="s">
        <v>222</v>
      </c>
      <c r="AV227" s="200" t="s">
        <v>222</v>
      </c>
      <c r="AW227" s="200" t="s">
        <v>222</v>
      </c>
      <c r="AX227" s="200" t="s">
        <v>222</v>
      </c>
      <c r="AY227" s="386">
        <v>19</v>
      </c>
      <c r="AZ227" s="312">
        <f t="shared" si="17"/>
        <v>25</v>
      </c>
      <c r="BA227" s="155">
        <f t="shared" si="17"/>
        <v>219</v>
      </c>
      <c r="BB227" s="439" t="s">
        <v>622</v>
      </c>
      <c r="BC227" s="23" t="s">
        <v>458</v>
      </c>
      <c r="BD227" s="23"/>
    </row>
    <row r="228" spans="2:56" ht="15.5">
      <c r="B228" s="141">
        <v>9</v>
      </c>
      <c r="C228" s="156">
        <v>46273</v>
      </c>
      <c r="D228" s="302">
        <v>46274</v>
      </c>
      <c r="E228" s="133">
        <v>29</v>
      </c>
      <c r="F228" s="155">
        <v>229</v>
      </c>
      <c r="G228" s="138">
        <v>2.35E-2</v>
      </c>
      <c r="H228" s="8">
        <v>0.35750000000000004</v>
      </c>
      <c r="I228" s="8">
        <v>0.24</v>
      </c>
      <c r="J228" s="139">
        <v>39.75</v>
      </c>
      <c r="K228" s="139">
        <v>29.315625000000001</v>
      </c>
      <c r="L228" s="139">
        <v>73.75</v>
      </c>
      <c r="M228" s="8">
        <v>0.22</v>
      </c>
      <c r="N228" s="140">
        <v>79.5</v>
      </c>
      <c r="O228" s="306"/>
      <c r="P228" s="140"/>
      <c r="Q228" s="140"/>
      <c r="R228" s="140"/>
      <c r="S228" s="140"/>
      <c r="T228" s="140"/>
      <c r="U228" s="140"/>
      <c r="V228" s="140"/>
      <c r="W228" s="140"/>
      <c r="X228" s="141"/>
      <c r="Y228" s="141"/>
      <c r="Z228" s="312">
        <v>25</v>
      </c>
      <c r="AA228" s="155">
        <v>220</v>
      </c>
      <c r="AB228" s="28">
        <v>2.35E-2</v>
      </c>
      <c r="AC228" s="30">
        <v>0.35750000000000004</v>
      </c>
      <c r="AD228" s="30">
        <v>0.24</v>
      </c>
      <c r="AE228" s="385">
        <v>36.25</v>
      </c>
      <c r="AF228" s="385">
        <v>26.5</v>
      </c>
      <c r="AG228" s="385">
        <v>73</v>
      </c>
      <c r="AH228" s="23">
        <v>0.23</v>
      </c>
      <c r="AI228" s="140">
        <v>73</v>
      </c>
      <c r="AJ228" s="141"/>
      <c r="AK228" s="141"/>
      <c r="AL228" s="138">
        <f t="shared" si="19"/>
        <v>0</v>
      </c>
      <c r="AM228" s="8">
        <f t="shared" si="19"/>
        <v>0</v>
      </c>
      <c r="AN228" s="8">
        <f t="shared" si="19"/>
        <v>0</v>
      </c>
      <c r="AO228" s="139">
        <f t="shared" si="19"/>
        <v>-3.5</v>
      </c>
      <c r="AP228" s="139">
        <f t="shared" si="19"/>
        <v>-2.8156250000000007</v>
      </c>
      <c r="AQ228" s="139">
        <f t="shared" si="19"/>
        <v>-0.75</v>
      </c>
      <c r="AR228" s="8">
        <f t="shared" si="19"/>
        <v>1.0000000000000009E-2</v>
      </c>
      <c r="AS228" s="139">
        <f t="shared" si="19"/>
        <v>-6.5</v>
      </c>
      <c r="AT228" s="200" t="s">
        <v>222</v>
      </c>
      <c r="AU228" s="200" t="s">
        <v>222</v>
      </c>
      <c r="AV228" s="200" t="s">
        <v>222</v>
      </c>
      <c r="AW228" s="200" t="s">
        <v>222</v>
      </c>
      <c r="AX228" s="200" t="s">
        <v>222</v>
      </c>
      <c r="AY228" s="386">
        <v>19</v>
      </c>
      <c r="AZ228" s="312">
        <f t="shared" si="17"/>
        <v>25</v>
      </c>
      <c r="BA228" s="155">
        <f t="shared" si="17"/>
        <v>220</v>
      </c>
      <c r="BB228" s="439" t="s">
        <v>622</v>
      </c>
      <c r="BC228" s="23" t="s">
        <v>458</v>
      </c>
      <c r="BD228" s="23"/>
    </row>
    <row r="229" spans="2:56" ht="15.5">
      <c r="B229" s="141">
        <v>9</v>
      </c>
      <c r="C229" s="156">
        <v>46273</v>
      </c>
      <c r="D229" s="302">
        <v>46274</v>
      </c>
      <c r="E229" s="133">
        <v>29</v>
      </c>
      <c r="F229" s="155">
        <v>230</v>
      </c>
      <c r="G229" s="138">
        <v>3.6999999999999998E-2</v>
      </c>
      <c r="H229" s="8">
        <v>0.35</v>
      </c>
      <c r="I229" s="8">
        <v>0.37</v>
      </c>
      <c r="J229" s="139">
        <v>38.5</v>
      </c>
      <c r="K229" s="139">
        <v>28.297499999999999</v>
      </c>
      <c r="L229" s="139">
        <v>73.5</v>
      </c>
      <c r="M229" s="8">
        <v>0.22</v>
      </c>
      <c r="N229" s="140">
        <v>79.5</v>
      </c>
      <c r="O229" s="306"/>
      <c r="P229" s="140"/>
      <c r="Q229" s="140"/>
      <c r="R229" s="140"/>
      <c r="S229" s="140"/>
      <c r="T229" s="140"/>
      <c r="U229" s="140"/>
      <c r="V229" s="140"/>
      <c r="W229" s="140"/>
      <c r="X229" s="141"/>
      <c r="Y229" s="141"/>
      <c r="Z229" s="312">
        <v>25</v>
      </c>
      <c r="AA229" s="155">
        <v>221</v>
      </c>
      <c r="AB229" s="28">
        <v>3.6999999999999998E-2</v>
      </c>
      <c r="AC229" s="30">
        <v>0.35</v>
      </c>
      <c r="AD229" s="30">
        <v>0.37</v>
      </c>
      <c r="AE229" s="385">
        <v>34.75</v>
      </c>
      <c r="AF229" s="385">
        <v>25.25</v>
      </c>
      <c r="AG229" s="385">
        <v>72.5</v>
      </c>
      <c r="AH229" s="23">
        <v>0.23</v>
      </c>
      <c r="AI229" s="140">
        <v>73</v>
      </c>
      <c r="AJ229" s="141"/>
      <c r="AK229" s="141"/>
      <c r="AL229" s="138">
        <f t="shared" si="19"/>
        <v>0</v>
      </c>
      <c r="AM229" s="8">
        <f t="shared" si="19"/>
        <v>0</v>
      </c>
      <c r="AN229" s="8">
        <f t="shared" si="19"/>
        <v>0</v>
      </c>
      <c r="AO229" s="139">
        <f t="shared" si="19"/>
        <v>-3.75</v>
      </c>
      <c r="AP229" s="139">
        <f t="shared" si="19"/>
        <v>-3.0474999999999994</v>
      </c>
      <c r="AQ229" s="139">
        <f t="shared" si="19"/>
        <v>-1</v>
      </c>
      <c r="AR229" s="8">
        <f t="shared" si="19"/>
        <v>1.0000000000000009E-2</v>
      </c>
      <c r="AS229" s="139">
        <f t="shared" si="19"/>
        <v>-6.5</v>
      </c>
      <c r="AT229" s="200" t="s">
        <v>222</v>
      </c>
      <c r="AU229" s="200" t="s">
        <v>222</v>
      </c>
      <c r="AV229" s="200" t="s">
        <v>222</v>
      </c>
      <c r="AW229" s="200" t="s">
        <v>222</v>
      </c>
      <c r="AX229" s="200" t="s">
        <v>222</v>
      </c>
      <c r="AY229" s="386">
        <v>19</v>
      </c>
      <c r="AZ229" s="312">
        <f t="shared" si="17"/>
        <v>25</v>
      </c>
      <c r="BA229" s="155">
        <f t="shared" si="17"/>
        <v>221</v>
      </c>
      <c r="BB229" s="439" t="s">
        <v>622</v>
      </c>
      <c r="BC229" s="23" t="s">
        <v>458</v>
      </c>
      <c r="BD229" s="23"/>
    </row>
    <row r="230" spans="2:56" ht="15.5">
      <c r="B230" s="141">
        <v>9</v>
      </c>
      <c r="C230" s="156">
        <v>46273</v>
      </c>
      <c r="D230" s="302">
        <v>46274</v>
      </c>
      <c r="E230" s="133">
        <v>29</v>
      </c>
      <c r="F230" s="155">
        <v>231</v>
      </c>
      <c r="G230" s="138">
        <v>9.325E-2</v>
      </c>
      <c r="H230" s="8">
        <v>0.36250000000000004</v>
      </c>
      <c r="I230" s="8">
        <v>0.24</v>
      </c>
      <c r="J230" s="139">
        <v>34.75</v>
      </c>
      <c r="K230" s="139">
        <v>24.933125</v>
      </c>
      <c r="L230" s="139">
        <v>71.75</v>
      </c>
      <c r="M230" s="8">
        <v>0.22</v>
      </c>
      <c r="N230" s="140">
        <v>79.5</v>
      </c>
      <c r="O230" s="306"/>
      <c r="P230" s="140"/>
      <c r="Q230" s="140"/>
      <c r="R230" s="140"/>
      <c r="S230" s="140"/>
      <c r="T230" s="140"/>
      <c r="U230" s="140"/>
      <c r="V230" s="140"/>
      <c r="W230" s="140"/>
      <c r="X230" s="141"/>
      <c r="Y230" s="141"/>
      <c r="Z230" s="312">
        <v>26</v>
      </c>
      <c r="AA230" s="155">
        <v>222</v>
      </c>
      <c r="AB230" s="28">
        <v>9.325E-2</v>
      </c>
      <c r="AC230" s="30">
        <v>0.36250000000000004</v>
      </c>
      <c r="AD230" s="30">
        <v>0.24</v>
      </c>
      <c r="AE230" s="385">
        <v>35.5</v>
      </c>
      <c r="AF230" s="385">
        <v>25.5</v>
      </c>
      <c r="AG230" s="385">
        <v>71.5</v>
      </c>
      <c r="AH230" s="23">
        <v>0.22</v>
      </c>
      <c r="AI230" s="140">
        <v>71</v>
      </c>
      <c r="AJ230" s="141"/>
      <c r="AK230" s="141"/>
      <c r="AL230" s="138">
        <f t="shared" si="19"/>
        <v>0</v>
      </c>
      <c r="AM230" s="8">
        <f t="shared" si="19"/>
        <v>0</v>
      </c>
      <c r="AN230" s="8">
        <f t="shared" si="19"/>
        <v>0</v>
      </c>
      <c r="AO230" s="139">
        <f t="shared" si="19"/>
        <v>0.75</v>
      </c>
      <c r="AP230" s="139">
        <f t="shared" si="19"/>
        <v>0.56687499999999957</v>
      </c>
      <c r="AQ230" s="139">
        <f t="shared" si="19"/>
        <v>-0.25</v>
      </c>
      <c r="AR230" s="8">
        <f t="shared" si="19"/>
        <v>0</v>
      </c>
      <c r="AS230" s="139">
        <f t="shared" si="19"/>
        <v>-8.5</v>
      </c>
      <c r="AT230" s="200" t="s">
        <v>222</v>
      </c>
      <c r="AU230" s="200" t="s">
        <v>222</v>
      </c>
      <c r="AV230" s="200" t="s">
        <v>222</v>
      </c>
      <c r="AW230" s="200" t="s">
        <v>222</v>
      </c>
      <c r="AX230" s="200" t="s">
        <v>222</v>
      </c>
      <c r="AY230" s="386">
        <v>19</v>
      </c>
      <c r="AZ230" s="312">
        <f t="shared" si="17"/>
        <v>26</v>
      </c>
      <c r="BA230" s="155">
        <f t="shared" si="17"/>
        <v>222</v>
      </c>
      <c r="BB230" s="439" t="s">
        <v>622</v>
      </c>
      <c r="BC230" s="23" t="s">
        <v>458</v>
      </c>
      <c r="BD230" s="23"/>
    </row>
    <row r="231" spans="2:56" ht="15.5">
      <c r="B231" s="141">
        <v>9</v>
      </c>
      <c r="C231" s="156">
        <v>46273</v>
      </c>
      <c r="D231" s="302">
        <v>46274</v>
      </c>
      <c r="E231" s="133">
        <v>29</v>
      </c>
      <c r="F231" s="155">
        <v>232</v>
      </c>
      <c r="G231" s="138">
        <v>8.0250000000000002E-2</v>
      </c>
      <c r="H231" s="8">
        <v>0.36</v>
      </c>
      <c r="I231" s="8">
        <v>0.19</v>
      </c>
      <c r="J231" s="139">
        <v>37</v>
      </c>
      <c r="K231" s="139">
        <v>26.732500000000002</v>
      </c>
      <c r="L231" s="139">
        <v>72.25</v>
      </c>
      <c r="M231" s="8">
        <v>0.22</v>
      </c>
      <c r="N231" s="140">
        <v>79.5</v>
      </c>
      <c r="O231" s="306"/>
      <c r="P231" s="140"/>
      <c r="Q231" s="140"/>
      <c r="R231" s="140"/>
      <c r="S231" s="140"/>
      <c r="T231" s="140"/>
      <c r="U231" s="140"/>
      <c r="V231" s="140"/>
      <c r="W231" s="140"/>
      <c r="X231" s="141"/>
      <c r="Y231" s="141"/>
      <c r="Z231" s="312">
        <v>26</v>
      </c>
      <c r="AA231" s="155">
        <v>223</v>
      </c>
      <c r="AB231" s="28">
        <v>8.0250000000000002E-2</v>
      </c>
      <c r="AC231" s="30">
        <v>0.36</v>
      </c>
      <c r="AD231" s="30">
        <v>0.19</v>
      </c>
      <c r="AE231" s="385">
        <v>36.75</v>
      </c>
      <c r="AF231" s="385">
        <v>26.5</v>
      </c>
      <c r="AG231" s="385">
        <v>72</v>
      </c>
      <c r="AH231" s="23">
        <v>0.22</v>
      </c>
      <c r="AI231" s="140">
        <v>71</v>
      </c>
      <c r="AJ231" s="141"/>
      <c r="AK231" s="141"/>
      <c r="AL231" s="138">
        <f t="shared" si="19"/>
        <v>0</v>
      </c>
      <c r="AM231" s="8">
        <f t="shared" si="19"/>
        <v>0</v>
      </c>
      <c r="AN231" s="8">
        <f t="shared" si="19"/>
        <v>0</v>
      </c>
      <c r="AO231" s="139">
        <f t="shared" si="19"/>
        <v>-0.25</v>
      </c>
      <c r="AP231" s="139">
        <f t="shared" si="19"/>
        <v>-0.23250000000000171</v>
      </c>
      <c r="AQ231" s="139">
        <f t="shared" si="19"/>
        <v>-0.25</v>
      </c>
      <c r="AR231" s="8">
        <f t="shared" si="19"/>
        <v>0</v>
      </c>
      <c r="AS231" s="139">
        <f t="shared" si="19"/>
        <v>-8.5</v>
      </c>
      <c r="AT231" s="200" t="s">
        <v>222</v>
      </c>
      <c r="AU231" s="200" t="s">
        <v>222</v>
      </c>
      <c r="AV231" s="200" t="s">
        <v>222</v>
      </c>
      <c r="AW231" s="200" t="s">
        <v>222</v>
      </c>
      <c r="AX231" s="200" t="s">
        <v>222</v>
      </c>
      <c r="AY231" s="386">
        <v>19</v>
      </c>
      <c r="AZ231" s="312">
        <f t="shared" si="17"/>
        <v>26</v>
      </c>
      <c r="BA231" s="155">
        <f t="shared" si="17"/>
        <v>223</v>
      </c>
      <c r="BB231" s="439" t="s">
        <v>622</v>
      </c>
      <c r="BC231" s="23" t="s">
        <v>458</v>
      </c>
      <c r="BD231" s="23"/>
    </row>
    <row r="232" spans="2:56" ht="15.5">
      <c r="B232" s="141">
        <v>9</v>
      </c>
      <c r="C232" s="156">
        <v>46274</v>
      </c>
      <c r="D232" s="302">
        <v>46275</v>
      </c>
      <c r="E232" s="133">
        <v>30</v>
      </c>
      <c r="F232" s="155">
        <v>233</v>
      </c>
      <c r="G232" s="138">
        <v>6.1499999999999999E-2</v>
      </c>
      <c r="H232" s="8">
        <v>0.35</v>
      </c>
      <c r="I232" s="8">
        <v>0.17</v>
      </c>
      <c r="J232" s="139">
        <v>36.75</v>
      </c>
      <c r="K232" s="139">
        <v>27.286874999999998</v>
      </c>
      <c r="L232" s="139">
        <v>74.25</v>
      </c>
      <c r="M232" s="8">
        <v>0.25</v>
      </c>
      <c r="N232" s="140">
        <v>75</v>
      </c>
      <c r="O232" s="306"/>
      <c r="P232" s="140"/>
      <c r="Q232" s="140"/>
      <c r="R232" s="140"/>
      <c r="S232" s="140"/>
      <c r="T232" s="140"/>
      <c r="U232" s="140"/>
      <c r="V232" s="140"/>
      <c r="W232" s="140"/>
      <c r="X232" s="141"/>
      <c r="Y232" s="141"/>
      <c r="Z232" s="312">
        <v>26</v>
      </c>
      <c r="AA232" s="155">
        <v>224</v>
      </c>
      <c r="AB232" s="28">
        <v>6.1499999999999999E-2</v>
      </c>
      <c r="AC232" s="30">
        <v>0.35</v>
      </c>
      <c r="AD232" s="30">
        <v>0.17</v>
      </c>
      <c r="AE232" s="385">
        <v>36.75</v>
      </c>
      <c r="AF232" s="385">
        <v>27.25</v>
      </c>
      <c r="AG232" s="385">
        <v>74.25</v>
      </c>
      <c r="AH232" s="23">
        <v>0.22</v>
      </c>
      <c r="AI232" s="140">
        <v>71</v>
      </c>
      <c r="AJ232" s="141"/>
      <c r="AK232" s="141"/>
      <c r="AL232" s="138">
        <f t="shared" si="19"/>
        <v>0</v>
      </c>
      <c r="AM232" s="8">
        <f t="shared" si="19"/>
        <v>0</v>
      </c>
      <c r="AN232" s="8">
        <f t="shared" si="19"/>
        <v>0</v>
      </c>
      <c r="AO232" s="139">
        <f t="shared" si="19"/>
        <v>0</v>
      </c>
      <c r="AP232" s="139">
        <f t="shared" si="19"/>
        <v>-3.6874999999998437E-2</v>
      </c>
      <c r="AQ232" s="139">
        <f t="shared" si="19"/>
        <v>0</v>
      </c>
      <c r="AR232" s="8">
        <f t="shared" si="19"/>
        <v>-0.03</v>
      </c>
      <c r="AS232" s="139">
        <f t="shared" si="19"/>
        <v>-4</v>
      </c>
      <c r="AT232" s="200" t="s">
        <v>222</v>
      </c>
      <c r="AU232" s="200" t="s">
        <v>222</v>
      </c>
      <c r="AV232" s="200" t="s">
        <v>222</v>
      </c>
      <c r="AW232" s="200" t="s">
        <v>222</v>
      </c>
      <c r="AX232" s="200" t="s">
        <v>222</v>
      </c>
      <c r="AY232" s="386">
        <v>19</v>
      </c>
      <c r="AZ232" s="312">
        <f t="shared" si="17"/>
        <v>26</v>
      </c>
      <c r="BA232" s="155">
        <f t="shared" si="17"/>
        <v>224</v>
      </c>
      <c r="BB232" s="439" t="s">
        <v>622</v>
      </c>
      <c r="BC232" s="23" t="s">
        <v>458</v>
      </c>
      <c r="BD232" s="23"/>
    </row>
    <row r="233" spans="2:56" ht="15.5">
      <c r="B233" s="141">
        <v>9</v>
      </c>
      <c r="C233" s="156">
        <v>46274</v>
      </c>
      <c r="D233" s="302">
        <v>46275</v>
      </c>
      <c r="E233" s="133">
        <v>30</v>
      </c>
      <c r="F233" s="155">
        <v>234</v>
      </c>
      <c r="G233" s="138">
        <v>3.5500000000000004E-2</v>
      </c>
      <c r="H233" s="8">
        <v>0.36499999999999999</v>
      </c>
      <c r="I233" s="8">
        <v>0.42</v>
      </c>
      <c r="J233" s="139">
        <v>33.25</v>
      </c>
      <c r="K233" s="139">
        <v>25.103750000000002</v>
      </c>
      <c r="L233" s="139">
        <v>75.5</v>
      </c>
      <c r="M233" s="8">
        <v>0.25</v>
      </c>
      <c r="N233" s="140">
        <v>75</v>
      </c>
      <c r="O233" s="306"/>
      <c r="P233" s="140"/>
      <c r="Q233" s="140"/>
      <c r="R233" s="140"/>
      <c r="S233" s="140"/>
      <c r="T233" s="140"/>
      <c r="U233" s="140"/>
      <c r="V233" s="140"/>
      <c r="W233" s="140"/>
      <c r="X233" s="141"/>
      <c r="Y233" s="141"/>
      <c r="Z233" s="312">
        <v>26</v>
      </c>
      <c r="AA233" s="155">
        <v>225</v>
      </c>
      <c r="AB233" s="28">
        <v>3.5500000000000004E-2</v>
      </c>
      <c r="AC233" s="30">
        <v>0.36499999999999999</v>
      </c>
      <c r="AD233" s="30">
        <v>0.42</v>
      </c>
      <c r="AE233" s="385">
        <v>36.25</v>
      </c>
      <c r="AF233" s="385">
        <v>27</v>
      </c>
      <c r="AG233" s="385">
        <v>74.5</v>
      </c>
      <c r="AH233" s="23">
        <v>0.22</v>
      </c>
      <c r="AI233" s="140">
        <v>71</v>
      </c>
      <c r="AJ233" s="141"/>
      <c r="AK233" s="141"/>
      <c r="AL233" s="138">
        <f t="shared" si="19"/>
        <v>0</v>
      </c>
      <c r="AM233" s="8">
        <f t="shared" si="19"/>
        <v>0</v>
      </c>
      <c r="AN233" s="8">
        <f t="shared" si="19"/>
        <v>0</v>
      </c>
      <c r="AO233" s="139">
        <f t="shared" si="19"/>
        <v>3</v>
      </c>
      <c r="AP233" s="139">
        <f t="shared" si="19"/>
        <v>1.8962499999999984</v>
      </c>
      <c r="AQ233" s="139">
        <f t="shared" si="19"/>
        <v>-1</v>
      </c>
      <c r="AR233" s="8">
        <f t="shared" si="19"/>
        <v>-0.03</v>
      </c>
      <c r="AS233" s="139">
        <f t="shared" si="19"/>
        <v>-4</v>
      </c>
      <c r="AT233" s="200" t="s">
        <v>222</v>
      </c>
      <c r="AU233" s="200" t="s">
        <v>222</v>
      </c>
      <c r="AV233" s="200" t="s">
        <v>222</v>
      </c>
      <c r="AW233" s="200" t="s">
        <v>222</v>
      </c>
      <c r="AX233" s="200" t="s">
        <v>222</v>
      </c>
      <c r="AY233" s="386">
        <v>19</v>
      </c>
      <c r="AZ233" s="312">
        <f t="shared" si="17"/>
        <v>26</v>
      </c>
      <c r="BA233" s="155">
        <f t="shared" si="17"/>
        <v>225</v>
      </c>
      <c r="BB233" s="439" t="s">
        <v>622</v>
      </c>
      <c r="BC233" s="23" t="s">
        <v>458</v>
      </c>
      <c r="BD233" s="23"/>
    </row>
    <row r="234" spans="2:56" ht="15.5">
      <c r="B234" s="141">
        <v>9</v>
      </c>
      <c r="C234" s="156">
        <v>46274</v>
      </c>
      <c r="D234" s="302">
        <v>46275</v>
      </c>
      <c r="E234" s="133">
        <v>30</v>
      </c>
      <c r="F234" s="155">
        <v>235</v>
      </c>
      <c r="G234" s="138">
        <v>8.2750000000000004E-2</v>
      </c>
      <c r="H234" s="8">
        <v>0.4</v>
      </c>
      <c r="I234" s="8">
        <v>0.21</v>
      </c>
      <c r="J234" s="139">
        <v>34.75</v>
      </c>
      <c r="K234" s="139">
        <v>25.801874999999999</v>
      </c>
      <c r="L234" s="139">
        <v>74.25</v>
      </c>
      <c r="M234" s="8">
        <v>0.25</v>
      </c>
      <c r="N234" s="140">
        <v>75</v>
      </c>
      <c r="O234" s="306"/>
      <c r="P234" s="140"/>
      <c r="Q234" s="140"/>
      <c r="R234" s="140"/>
      <c r="S234" s="140"/>
      <c r="T234" s="140"/>
      <c r="U234" s="140"/>
      <c r="V234" s="140"/>
      <c r="W234" s="140"/>
      <c r="X234" s="141"/>
      <c r="Y234" s="141"/>
      <c r="Z234" s="312">
        <v>26</v>
      </c>
      <c r="AA234" s="155">
        <v>226</v>
      </c>
      <c r="AB234" s="28">
        <v>8.2750000000000004E-2</v>
      </c>
      <c r="AC234" s="30">
        <v>0.4</v>
      </c>
      <c r="AD234" s="30">
        <v>0.21</v>
      </c>
      <c r="AE234" s="385">
        <v>36.5</v>
      </c>
      <c r="AF234" s="385">
        <v>26.75</v>
      </c>
      <c r="AG234" s="385">
        <v>73.25</v>
      </c>
      <c r="AH234" s="23">
        <v>0.22</v>
      </c>
      <c r="AI234" s="140">
        <v>71</v>
      </c>
      <c r="AJ234" s="141"/>
      <c r="AK234" s="141"/>
      <c r="AL234" s="138">
        <f t="shared" si="19"/>
        <v>0</v>
      </c>
      <c r="AM234" s="8">
        <f t="shared" si="19"/>
        <v>0</v>
      </c>
      <c r="AN234" s="8">
        <f t="shared" si="19"/>
        <v>0</v>
      </c>
      <c r="AO234" s="139">
        <f t="shared" si="19"/>
        <v>1.75</v>
      </c>
      <c r="AP234" s="139">
        <f t="shared" si="19"/>
        <v>0.94812500000000099</v>
      </c>
      <c r="AQ234" s="139">
        <f t="shared" si="19"/>
        <v>-1</v>
      </c>
      <c r="AR234" s="8">
        <f t="shared" si="19"/>
        <v>-0.03</v>
      </c>
      <c r="AS234" s="139">
        <f t="shared" si="19"/>
        <v>-4</v>
      </c>
      <c r="AT234" s="200" t="s">
        <v>222</v>
      </c>
      <c r="AU234" s="200" t="s">
        <v>222</v>
      </c>
      <c r="AV234" s="200" t="s">
        <v>222</v>
      </c>
      <c r="AW234" s="200" t="s">
        <v>222</v>
      </c>
      <c r="AX234" s="200" t="s">
        <v>222</v>
      </c>
      <c r="AY234" s="386">
        <v>19</v>
      </c>
      <c r="AZ234" s="312">
        <f t="shared" si="17"/>
        <v>26</v>
      </c>
      <c r="BA234" s="155">
        <f t="shared" si="17"/>
        <v>226</v>
      </c>
      <c r="BB234" s="439" t="s">
        <v>622</v>
      </c>
      <c r="BC234" s="23" t="s">
        <v>458</v>
      </c>
      <c r="BD234" s="23"/>
    </row>
    <row r="235" spans="2:56" ht="15.5">
      <c r="B235" s="141">
        <v>9</v>
      </c>
      <c r="C235" s="156">
        <v>46274</v>
      </c>
      <c r="D235" s="302">
        <v>46275</v>
      </c>
      <c r="E235" s="133">
        <v>30</v>
      </c>
      <c r="F235" s="155">
        <v>238</v>
      </c>
      <c r="G235" s="138">
        <v>9.9000000000000005E-2</v>
      </c>
      <c r="H235" s="8">
        <v>0.35499999999999998</v>
      </c>
      <c r="I235" s="8">
        <v>0.26</v>
      </c>
      <c r="J235" s="139">
        <v>38.75</v>
      </c>
      <c r="K235" s="139">
        <v>29.0625</v>
      </c>
      <c r="L235" s="139">
        <v>75</v>
      </c>
      <c r="M235" s="8">
        <v>0.25</v>
      </c>
      <c r="N235" s="140">
        <v>73</v>
      </c>
      <c r="O235" s="306"/>
      <c r="P235" s="140"/>
      <c r="Q235" s="140"/>
      <c r="R235" s="140"/>
      <c r="S235" s="140"/>
      <c r="T235" s="140"/>
      <c r="U235" s="140"/>
      <c r="V235" s="140"/>
      <c r="W235" s="140"/>
      <c r="X235" s="141"/>
      <c r="Y235" s="141"/>
      <c r="Z235" s="312">
        <v>26</v>
      </c>
      <c r="AA235" s="155">
        <v>227</v>
      </c>
      <c r="AB235" s="28">
        <v>9.9000000000000005E-2</v>
      </c>
      <c r="AC235" s="30">
        <v>0.35499999999999998</v>
      </c>
      <c r="AD235" s="30">
        <v>0.26</v>
      </c>
      <c r="AE235" s="385">
        <v>37.5</v>
      </c>
      <c r="AF235" s="385">
        <v>27.75</v>
      </c>
      <c r="AG235" s="385">
        <v>74</v>
      </c>
      <c r="AH235" s="23">
        <v>0.22</v>
      </c>
      <c r="AI235" s="140">
        <v>71</v>
      </c>
      <c r="AJ235" s="141"/>
      <c r="AK235" s="141"/>
      <c r="AL235" s="138">
        <f t="shared" si="19"/>
        <v>0</v>
      </c>
      <c r="AM235" s="8">
        <f t="shared" si="19"/>
        <v>0</v>
      </c>
      <c r="AN235" s="8">
        <f t="shared" si="19"/>
        <v>0</v>
      </c>
      <c r="AO235" s="139">
        <f t="shared" si="19"/>
        <v>-1.25</v>
      </c>
      <c r="AP235" s="139">
        <f t="shared" si="19"/>
        <v>-1.3125</v>
      </c>
      <c r="AQ235" s="139">
        <f t="shared" si="19"/>
        <v>-1</v>
      </c>
      <c r="AR235" s="8">
        <f t="shared" si="19"/>
        <v>-0.03</v>
      </c>
      <c r="AS235" s="139">
        <f t="shared" si="19"/>
        <v>-2</v>
      </c>
      <c r="AT235" s="200" t="s">
        <v>222</v>
      </c>
      <c r="AU235" s="200" t="s">
        <v>222</v>
      </c>
      <c r="AV235" s="200" t="s">
        <v>222</v>
      </c>
      <c r="AW235" s="200" t="s">
        <v>222</v>
      </c>
      <c r="AX235" s="200" t="s">
        <v>222</v>
      </c>
      <c r="AY235" s="386">
        <v>19</v>
      </c>
      <c r="AZ235" s="312">
        <f t="shared" si="17"/>
        <v>26</v>
      </c>
      <c r="BA235" s="155">
        <f t="shared" si="17"/>
        <v>227</v>
      </c>
      <c r="BB235" s="439" t="s">
        <v>622</v>
      </c>
      <c r="BC235" s="23" t="s">
        <v>458</v>
      </c>
      <c r="BD235" s="23"/>
    </row>
    <row r="236" spans="2:56" ht="15.5">
      <c r="B236" s="141">
        <v>9</v>
      </c>
      <c r="C236" s="156">
        <v>46275</v>
      </c>
      <c r="D236" s="302">
        <v>46276</v>
      </c>
      <c r="E236" s="133">
        <v>31</v>
      </c>
      <c r="F236" s="155">
        <v>242</v>
      </c>
      <c r="G236" s="138">
        <v>2.9499999999999998E-2</v>
      </c>
      <c r="H236" s="8">
        <v>0.34249999999999997</v>
      </c>
      <c r="I236" s="8">
        <v>0.31</v>
      </c>
      <c r="J236" s="139">
        <v>35</v>
      </c>
      <c r="K236" s="139">
        <v>26.6</v>
      </c>
      <c r="L236" s="139">
        <v>76</v>
      </c>
      <c r="M236" s="8">
        <v>0.22</v>
      </c>
      <c r="N236" s="140">
        <v>74.5</v>
      </c>
      <c r="O236" s="306"/>
      <c r="P236" s="140"/>
      <c r="Q236" s="140"/>
      <c r="R236" s="140"/>
      <c r="S236" s="140"/>
      <c r="T236" s="140"/>
      <c r="U236" s="140"/>
      <c r="V236" s="140"/>
      <c r="W236" s="140"/>
      <c r="X236" s="141"/>
      <c r="Y236" s="141"/>
      <c r="Z236" s="312">
        <v>26</v>
      </c>
      <c r="AA236" s="155">
        <v>228</v>
      </c>
      <c r="AB236" s="28">
        <v>2.9499999999999998E-2</v>
      </c>
      <c r="AC236" s="30">
        <v>0.34249999999999997</v>
      </c>
      <c r="AD236" s="30">
        <v>0.31</v>
      </c>
      <c r="AE236" s="385">
        <v>35</v>
      </c>
      <c r="AF236" s="385">
        <v>26.75</v>
      </c>
      <c r="AG236" s="385">
        <v>76.25</v>
      </c>
      <c r="AH236" s="23">
        <v>0.22</v>
      </c>
      <c r="AI236" s="140">
        <v>71</v>
      </c>
      <c r="AJ236" s="141"/>
      <c r="AK236" s="141"/>
      <c r="AL236" s="138">
        <f t="shared" si="19"/>
        <v>0</v>
      </c>
      <c r="AM236" s="8">
        <f t="shared" si="19"/>
        <v>0</v>
      </c>
      <c r="AN236" s="8">
        <f t="shared" si="19"/>
        <v>0</v>
      </c>
      <c r="AO236" s="139">
        <f t="shared" si="19"/>
        <v>0</v>
      </c>
      <c r="AP236" s="139">
        <f t="shared" si="19"/>
        <v>0.14999999999999858</v>
      </c>
      <c r="AQ236" s="139">
        <f t="shared" si="19"/>
        <v>0.25</v>
      </c>
      <c r="AR236" s="8">
        <f t="shared" si="19"/>
        <v>0</v>
      </c>
      <c r="AS236" s="139">
        <f t="shared" si="19"/>
        <v>-3.5</v>
      </c>
      <c r="AT236" s="200" t="s">
        <v>222</v>
      </c>
      <c r="AU236" s="200" t="s">
        <v>222</v>
      </c>
      <c r="AV236" s="200" t="s">
        <v>222</v>
      </c>
      <c r="AW236" s="200" t="s">
        <v>222</v>
      </c>
      <c r="AX236" s="200" t="s">
        <v>222</v>
      </c>
      <c r="AY236" s="386">
        <v>19</v>
      </c>
      <c r="AZ236" s="312">
        <f t="shared" si="17"/>
        <v>26</v>
      </c>
      <c r="BA236" s="155">
        <f t="shared" si="17"/>
        <v>228</v>
      </c>
      <c r="BB236" s="439" t="s">
        <v>622</v>
      </c>
      <c r="BC236" s="23" t="s">
        <v>458</v>
      </c>
      <c r="BD236" s="23"/>
    </row>
    <row r="237" spans="2:56" ht="15.5">
      <c r="B237" s="141">
        <v>9</v>
      </c>
      <c r="C237" s="156">
        <v>46275</v>
      </c>
      <c r="D237" s="302">
        <v>46276</v>
      </c>
      <c r="E237" s="133">
        <v>31</v>
      </c>
      <c r="F237" s="155">
        <v>244</v>
      </c>
      <c r="G237" s="138">
        <v>4.9250000000000002E-2</v>
      </c>
      <c r="H237" s="8">
        <v>0.29249999999999998</v>
      </c>
      <c r="I237" s="8">
        <v>0.55000000000000004</v>
      </c>
      <c r="J237" s="139">
        <v>39</v>
      </c>
      <c r="K237" s="139">
        <v>29.1525</v>
      </c>
      <c r="L237" s="139">
        <v>74.75</v>
      </c>
      <c r="M237" s="8">
        <v>0.22</v>
      </c>
      <c r="N237" s="140">
        <v>74.5</v>
      </c>
      <c r="O237" s="306"/>
      <c r="P237" s="140"/>
      <c r="Q237" s="140"/>
      <c r="R237" s="140"/>
      <c r="S237" s="140"/>
      <c r="T237" s="140"/>
      <c r="U237" s="140"/>
      <c r="V237" s="140"/>
      <c r="W237" s="140"/>
      <c r="X237" s="141"/>
      <c r="Y237" s="141"/>
      <c r="Z237" s="312">
        <v>26</v>
      </c>
      <c r="AA237" s="155">
        <v>229</v>
      </c>
      <c r="AB237" s="28">
        <v>4.9250000000000002E-2</v>
      </c>
      <c r="AC237" s="30">
        <v>0.29249999999999998</v>
      </c>
      <c r="AD237" s="30">
        <v>0.55000000000000004</v>
      </c>
      <c r="AE237" s="385">
        <v>36.75</v>
      </c>
      <c r="AF237" s="385">
        <v>28</v>
      </c>
      <c r="AG237" s="385">
        <v>76.5</v>
      </c>
      <c r="AH237" s="23">
        <v>0.22</v>
      </c>
      <c r="AI237" s="140">
        <v>71</v>
      </c>
      <c r="AJ237" s="141"/>
      <c r="AK237" s="141"/>
      <c r="AL237" s="138">
        <f t="shared" si="19"/>
        <v>0</v>
      </c>
      <c r="AM237" s="8">
        <f t="shared" si="19"/>
        <v>0</v>
      </c>
      <c r="AN237" s="8">
        <f t="shared" si="19"/>
        <v>0</v>
      </c>
      <c r="AO237" s="139">
        <f t="shared" si="19"/>
        <v>-2.25</v>
      </c>
      <c r="AP237" s="139">
        <f t="shared" si="19"/>
        <v>-1.1524999999999999</v>
      </c>
      <c r="AQ237" s="139">
        <f t="shared" si="19"/>
        <v>1.75</v>
      </c>
      <c r="AR237" s="8">
        <f t="shared" si="19"/>
        <v>0</v>
      </c>
      <c r="AS237" s="139">
        <f t="shared" si="19"/>
        <v>-3.5</v>
      </c>
      <c r="AT237" s="200" t="s">
        <v>222</v>
      </c>
      <c r="AU237" s="200" t="s">
        <v>222</v>
      </c>
      <c r="AV237" s="200" t="s">
        <v>222</v>
      </c>
      <c r="AW237" s="200" t="s">
        <v>222</v>
      </c>
      <c r="AX237" s="200" t="s">
        <v>222</v>
      </c>
      <c r="AY237" s="386">
        <v>19</v>
      </c>
      <c r="AZ237" s="312">
        <f t="shared" si="17"/>
        <v>26</v>
      </c>
      <c r="BA237" s="155">
        <f t="shared" si="17"/>
        <v>229</v>
      </c>
      <c r="BB237" s="439" t="s">
        <v>622</v>
      </c>
      <c r="BC237" s="23" t="s">
        <v>458</v>
      </c>
      <c r="BD237" s="23"/>
    </row>
    <row r="238" spans="2:56" ht="15.5">
      <c r="B238" s="141">
        <v>9</v>
      </c>
      <c r="C238" s="156">
        <v>46275</v>
      </c>
      <c r="D238" s="302">
        <v>46276</v>
      </c>
      <c r="E238" s="133">
        <v>31</v>
      </c>
      <c r="F238" s="155">
        <v>245</v>
      </c>
      <c r="G238" s="138">
        <v>0.10375</v>
      </c>
      <c r="H238" s="8">
        <v>0.31</v>
      </c>
      <c r="I238" s="8">
        <v>0.31</v>
      </c>
      <c r="J238" s="139">
        <v>40.75</v>
      </c>
      <c r="K238" s="139">
        <v>29.747499999999999</v>
      </c>
      <c r="L238" s="139">
        <v>73</v>
      </c>
      <c r="M238" s="8">
        <v>0.22</v>
      </c>
      <c r="N238" s="140">
        <v>74.5</v>
      </c>
      <c r="O238" s="306"/>
      <c r="P238" s="140"/>
      <c r="Q238" s="140"/>
      <c r="R238" s="140"/>
      <c r="S238" s="140"/>
      <c r="T238" s="140"/>
      <c r="U238" s="140"/>
      <c r="V238" s="140"/>
      <c r="W238" s="140"/>
      <c r="X238" s="141"/>
      <c r="Y238" s="141"/>
      <c r="Z238" s="312">
        <v>26</v>
      </c>
      <c r="AA238" s="155">
        <v>230</v>
      </c>
      <c r="AB238" s="28">
        <v>0.10375</v>
      </c>
      <c r="AC238" s="30">
        <v>0.31</v>
      </c>
      <c r="AD238" s="30">
        <v>0.31</v>
      </c>
      <c r="AE238" s="385">
        <v>36.25</v>
      </c>
      <c r="AF238" s="385">
        <v>28</v>
      </c>
      <c r="AG238" s="385">
        <v>77.25</v>
      </c>
      <c r="AH238" s="23">
        <v>0.22</v>
      </c>
      <c r="AI238" s="140">
        <v>71</v>
      </c>
      <c r="AJ238" s="141"/>
      <c r="AK238" s="141"/>
      <c r="AL238" s="138">
        <f t="shared" si="19"/>
        <v>0</v>
      </c>
      <c r="AM238" s="8">
        <f t="shared" si="19"/>
        <v>0</v>
      </c>
      <c r="AN238" s="8">
        <f t="shared" si="19"/>
        <v>0</v>
      </c>
      <c r="AO238" s="139">
        <f t="shared" si="19"/>
        <v>-4.5</v>
      </c>
      <c r="AP238" s="139">
        <f t="shared" si="19"/>
        <v>-1.7474999999999987</v>
      </c>
      <c r="AQ238" s="139">
        <f t="shared" si="19"/>
        <v>4.25</v>
      </c>
      <c r="AR238" s="8">
        <f t="shared" si="19"/>
        <v>0</v>
      </c>
      <c r="AS238" s="139">
        <f t="shared" si="19"/>
        <v>-3.5</v>
      </c>
      <c r="AT238" s="200" t="s">
        <v>222</v>
      </c>
      <c r="AU238" s="200" t="s">
        <v>222</v>
      </c>
      <c r="AV238" s="200" t="s">
        <v>222</v>
      </c>
      <c r="AW238" s="200" t="s">
        <v>222</v>
      </c>
      <c r="AX238" s="200" t="s">
        <v>222</v>
      </c>
      <c r="AY238" s="386">
        <v>19</v>
      </c>
      <c r="AZ238" s="312">
        <f t="shared" si="17"/>
        <v>26</v>
      </c>
      <c r="BA238" s="155">
        <f t="shared" si="17"/>
        <v>230</v>
      </c>
      <c r="BB238" s="439" t="s">
        <v>622</v>
      </c>
      <c r="BC238" s="23" t="s">
        <v>458</v>
      </c>
      <c r="BD238" s="23"/>
    </row>
    <row r="239" spans="2:56" ht="15.5">
      <c r="B239" s="141">
        <v>9</v>
      </c>
      <c r="C239" s="156">
        <v>46275</v>
      </c>
      <c r="D239" s="302">
        <v>46276</v>
      </c>
      <c r="E239" s="133">
        <v>31</v>
      </c>
      <c r="F239" s="155">
        <v>246</v>
      </c>
      <c r="G239" s="138">
        <v>0.1135</v>
      </c>
      <c r="H239" s="8">
        <v>0.32</v>
      </c>
      <c r="I239" s="8">
        <v>0.32</v>
      </c>
      <c r="J239" s="139">
        <v>39</v>
      </c>
      <c r="K239" s="139">
        <v>29.1525</v>
      </c>
      <c r="L239" s="139">
        <v>74.75</v>
      </c>
      <c r="M239" s="8">
        <v>0.22</v>
      </c>
      <c r="N239" s="140">
        <v>74.5</v>
      </c>
      <c r="O239" s="306"/>
      <c r="P239" s="140"/>
      <c r="Q239" s="140"/>
      <c r="R239" s="140"/>
      <c r="S239" s="140"/>
      <c r="T239" s="140"/>
      <c r="U239" s="140"/>
      <c r="V239" s="140"/>
      <c r="W239" s="140"/>
      <c r="X239" s="141"/>
      <c r="Y239" s="141"/>
      <c r="Z239" s="312">
        <v>26</v>
      </c>
      <c r="AA239" s="155">
        <v>231</v>
      </c>
      <c r="AB239" s="28">
        <v>0.1135</v>
      </c>
      <c r="AC239" s="30">
        <v>0.32</v>
      </c>
      <c r="AD239" s="30">
        <v>0.32</v>
      </c>
      <c r="AE239" s="385">
        <v>37.25</v>
      </c>
      <c r="AF239" s="385">
        <v>28.25</v>
      </c>
      <c r="AG239" s="385">
        <v>76</v>
      </c>
      <c r="AH239" s="23">
        <v>0.22</v>
      </c>
      <c r="AI239" s="140">
        <v>71</v>
      </c>
      <c r="AJ239" s="141"/>
      <c r="AK239" s="141"/>
      <c r="AL239" s="138">
        <f t="shared" si="19"/>
        <v>0</v>
      </c>
      <c r="AM239" s="8">
        <f t="shared" si="19"/>
        <v>0</v>
      </c>
      <c r="AN239" s="8">
        <f t="shared" si="19"/>
        <v>0</v>
      </c>
      <c r="AO239" s="139">
        <f t="shared" si="19"/>
        <v>-1.75</v>
      </c>
      <c r="AP239" s="139">
        <f t="shared" si="19"/>
        <v>-0.90249999999999986</v>
      </c>
      <c r="AQ239" s="139">
        <f t="shared" si="19"/>
        <v>1.25</v>
      </c>
      <c r="AR239" s="8">
        <f t="shared" si="19"/>
        <v>0</v>
      </c>
      <c r="AS239" s="139">
        <f t="shared" si="19"/>
        <v>-3.5</v>
      </c>
      <c r="AT239" s="200" t="s">
        <v>222</v>
      </c>
      <c r="AU239" s="200" t="s">
        <v>222</v>
      </c>
      <c r="AV239" s="200" t="s">
        <v>222</v>
      </c>
      <c r="AW239" s="200" t="s">
        <v>222</v>
      </c>
      <c r="AX239" s="200" t="s">
        <v>222</v>
      </c>
      <c r="AY239" s="386">
        <v>19</v>
      </c>
      <c r="AZ239" s="312">
        <f t="shared" si="17"/>
        <v>26</v>
      </c>
      <c r="BA239" s="155">
        <f t="shared" si="17"/>
        <v>231</v>
      </c>
      <c r="BB239" s="439" t="s">
        <v>622</v>
      </c>
      <c r="BC239" s="23" t="s">
        <v>458</v>
      </c>
      <c r="BD239" s="23"/>
    </row>
    <row r="240" spans="2:56" ht="15.5">
      <c r="B240" s="141">
        <v>2</v>
      </c>
      <c r="C240" s="156">
        <v>46225</v>
      </c>
      <c r="D240" s="302">
        <v>46226</v>
      </c>
      <c r="E240" s="133">
        <v>25</v>
      </c>
      <c r="F240" s="155">
        <v>193</v>
      </c>
      <c r="G240" s="138">
        <v>8.2000000000000003E-2</v>
      </c>
      <c r="H240" s="8">
        <v>0.3125</v>
      </c>
      <c r="I240" s="8">
        <v>0.46</v>
      </c>
      <c r="J240" s="139">
        <v>36.75</v>
      </c>
      <c r="K240" s="139">
        <v>27.5625</v>
      </c>
      <c r="L240" s="139">
        <v>75</v>
      </c>
      <c r="M240" s="8">
        <v>0.21</v>
      </c>
      <c r="N240" s="140">
        <v>75</v>
      </c>
      <c r="O240" s="306"/>
      <c r="P240" s="140"/>
      <c r="Q240" s="140"/>
      <c r="R240" s="140"/>
      <c r="S240" s="140"/>
      <c r="T240" s="140"/>
      <c r="U240" s="140"/>
      <c r="V240" s="140"/>
      <c r="W240" s="140"/>
      <c r="X240" s="141"/>
      <c r="Y240" s="141"/>
      <c r="Z240" s="312">
        <v>27</v>
      </c>
      <c r="AA240" s="155">
        <v>232</v>
      </c>
      <c r="AB240" s="28">
        <v>8.2000000000000003E-2</v>
      </c>
      <c r="AC240" s="30">
        <v>0.3125</v>
      </c>
      <c r="AD240" s="30">
        <v>0.46</v>
      </c>
      <c r="AE240" s="385">
        <v>36.75</v>
      </c>
      <c r="AF240" s="385">
        <v>26.5</v>
      </c>
      <c r="AG240" s="385">
        <v>72.128378378378372</v>
      </c>
      <c r="AH240" s="23">
        <v>0.21</v>
      </c>
      <c r="AI240" s="140">
        <v>73</v>
      </c>
      <c r="AJ240" s="141"/>
      <c r="AK240" s="141"/>
      <c r="AL240" s="138">
        <f t="shared" si="19"/>
        <v>0</v>
      </c>
      <c r="AM240" s="8">
        <f t="shared" si="19"/>
        <v>0</v>
      </c>
      <c r="AN240" s="8">
        <f t="shared" si="19"/>
        <v>0</v>
      </c>
      <c r="AO240" s="139">
        <f t="shared" si="19"/>
        <v>0</v>
      </c>
      <c r="AP240" s="139">
        <f t="shared" si="19"/>
        <v>-1.0625</v>
      </c>
      <c r="AQ240" s="139">
        <f t="shared" si="19"/>
        <v>-2.8716216216216282</v>
      </c>
      <c r="AR240" s="8">
        <f t="shared" si="19"/>
        <v>0</v>
      </c>
      <c r="AS240" s="139">
        <f t="shared" si="19"/>
        <v>-2</v>
      </c>
      <c r="AT240" s="200" t="s">
        <v>222</v>
      </c>
      <c r="AU240" s="200" t="s">
        <v>222</v>
      </c>
      <c r="AV240" s="200" t="s">
        <v>222</v>
      </c>
      <c r="AW240" s="200" t="s">
        <v>222</v>
      </c>
      <c r="AX240" s="200" t="s">
        <v>222</v>
      </c>
      <c r="AY240" s="133">
        <v>20</v>
      </c>
      <c r="AZ240" s="312">
        <f t="shared" si="17"/>
        <v>27</v>
      </c>
      <c r="BA240" s="155">
        <f t="shared" si="17"/>
        <v>232</v>
      </c>
      <c r="BB240" s="439" t="s">
        <v>623</v>
      </c>
      <c r="BC240" s="23" t="s">
        <v>458</v>
      </c>
      <c r="BD240" s="23"/>
    </row>
    <row r="241" spans="2:56" ht="15.5">
      <c r="B241" s="141">
        <v>3</v>
      </c>
      <c r="C241" s="156">
        <v>46269</v>
      </c>
      <c r="D241" s="302">
        <v>46239</v>
      </c>
      <c r="E241" s="133">
        <v>27</v>
      </c>
      <c r="F241" s="155">
        <v>214</v>
      </c>
      <c r="G241" s="138">
        <v>7.2999999999999995E-2</v>
      </c>
      <c r="H241" s="8">
        <v>0.34749999999999998</v>
      </c>
      <c r="I241" s="8">
        <v>0.16</v>
      </c>
      <c r="J241" s="139">
        <v>31.75</v>
      </c>
      <c r="K241" s="139">
        <v>25.003125000000001</v>
      </c>
      <c r="L241" s="139">
        <v>78.75</v>
      </c>
      <c r="M241" s="8">
        <v>0.23</v>
      </c>
      <c r="N241" s="140">
        <v>66</v>
      </c>
      <c r="O241" s="306"/>
      <c r="P241" s="140"/>
      <c r="Q241" s="140"/>
      <c r="R241" s="140"/>
      <c r="S241" s="140"/>
      <c r="T241" s="140"/>
      <c r="U241" s="140"/>
      <c r="V241" s="140"/>
      <c r="W241" s="140"/>
      <c r="X241" s="141"/>
      <c r="Y241" s="141"/>
      <c r="Z241" s="312">
        <v>27</v>
      </c>
      <c r="AA241" s="155">
        <v>233</v>
      </c>
      <c r="AB241" s="28">
        <v>7.2749999999999995E-2</v>
      </c>
      <c r="AC241" s="30">
        <v>0.34749999999999998</v>
      </c>
      <c r="AD241" s="30">
        <v>0.16</v>
      </c>
      <c r="AE241" s="385">
        <v>32.5</v>
      </c>
      <c r="AF241" s="385">
        <v>24.25</v>
      </c>
      <c r="AG241" s="385">
        <v>74.621212121212125</v>
      </c>
      <c r="AH241" s="23">
        <v>0.21</v>
      </c>
      <c r="AI241" s="140">
        <v>73</v>
      </c>
      <c r="AJ241" s="141"/>
      <c r="AK241" s="141"/>
      <c r="AL241" s="138">
        <f t="shared" si="19"/>
        <v>-2.5000000000000022E-4</v>
      </c>
      <c r="AM241" s="8">
        <f t="shared" si="19"/>
        <v>0</v>
      </c>
      <c r="AN241" s="8">
        <f t="shared" si="19"/>
        <v>0</v>
      </c>
      <c r="AO241" s="139">
        <f t="shared" si="19"/>
        <v>0.75</v>
      </c>
      <c r="AP241" s="139">
        <f t="shared" si="19"/>
        <v>-0.75312500000000071</v>
      </c>
      <c r="AQ241" s="139">
        <f t="shared" si="19"/>
        <v>-4.1287878787878753</v>
      </c>
      <c r="AR241" s="8">
        <f t="shared" si="19"/>
        <v>-2.0000000000000018E-2</v>
      </c>
      <c r="AS241" s="139">
        <f t="shared" si="19"/>
        <v>7</v>
      </c>
      <c r="AT241" s="200" t="s">
        <v>222</v>
      </c>
      <c r="AU241" s="200" t="s">
        <v>222</v>
      </c>
      <c r="AV241" s="200" t="s">
        <v>222</v>
      </c>
      <c r="AW241" s="200" t="s">
        <v>222</v>
      </c>
      <c r="AX241" s="200" t="s">
        <v>222</v>
      </c>
      <c r="AY241" s="133">
        <v>20</v>
      </c>
      <c r="AZ241" s="312">
        <f t="shared" si="17"/>
        <v>27</v>
      </c>
      <c r="BA241" s="155">
        <f t="shared" si="17"/>
        <v>233</v>
      </c>
      <c r="BB241" s="439" t="s">
        <v>623</v>
      </c>
      <c r="BC241" s="23" t="s">
        <v>458</v>
      </c>
      <c r="BD241" s="23"/>
    </row>
    <row r="242" spans="2:56" ht="15.5">
      <c r="B242" s="141">
        <v>9</v>
      </c>
      <c r="C242" s="156">
        <v>46274</v>
      </c>
      <c r="D242" s="302">
        <v>46275</v>
      </c>
      <c r="E242" s="133">
        <v>30</v>
      </c>
      <c r="F242" s="155">
        <v>236</v>
      </c>
      <c r="G242" s="138">
        <v>5.6750000000000002E-2</v>
      </c>
      <c r="H242" s="8">
        <v>0.38500000000000001</v>
      </c>
      <c r="I242" s="8">
        <v>0.26</v>
      </c>
      <c r="J242" s="139">
        <v>32.75</v>
      </c>
      <c r="K242" s="139">
        <v>25.299375000000001</v>
      </c>
      <c r="L242" s="139">
        <v>77.25</v>
      </c>
      <c r="M242" s="8">
        <v>0.25</v>
      </c>
      <c r="N242" s="140">
        <v>75</v>
      </c>
      <c r="O242" s="306"/>
      <c r="P242" s="140"/>
      <c r="Q242" s="140"/>
      <c r="R242" s="140"/>
      <c r="S242" s="140"/>
      <c r="T242" s="140"/>
      <c r="U242" s="140"/>
      <c r="V242" s="140"/>
      <c r="W242" s="140"/>
      <c r="X242" s="141"/>
      <c r="Y242" s="141"/>
      <c r="Z242" s="312">
        <v>27</v>
      </c>
      <c r="AA242" s="155">
        <v>234</v>
      </c>
      <c r="AB242" s="28">
        <v>5.6750000000000002E-2</v>
      </c>
      <c r="AC242" s="30">
        <v>0.38500000000000001</v>
      </c>
      <c r="AD242" s="30">
        <v>0.26</v>
      </c>
      <c r="AE242" s="385">
        <v>35.5</v>
      </c>
      <c r="AF242" s="385">
        <v>26.25</v>
      </c>
      <c r="AG242" s="385">
        <v>73.75</v>
      </c>
      <c r="AH242" s="23">
        <v>0.21</v>
      </c>
      <c r="AI242" s="140">
        <v>73</v>
      </c>
      <c r="AJ242" s="141"/>
      <c r="AK242" s="141"/>
      <c r="AL242" s="138">
        <f t="shared" si="19"/>
        <v>0</v>
      </c>
      <c r="AM242" s="8">
        <f t="shared" si="19"/>
        <v>0</v>
      </c>
      <c r="AN242" s="8">
        <f t="shared" si="19"/>
        <v>0</v>
      </c>
      <c r="AO242" s="139">
        <f t="shared" si="19"/>
        <v>2.75</v>
      </c>
      <c r="AP242" s="139">
        <f t="shared" si="19"/>
        <v>0.95062499999999872</v>
      </c>
      <c r="AQ242" s="139">
        <f t="shared" si="19"/>
        <v>-3.5</v>
      </c>
      <c r="AR242" s="8">
        <f t="shared" si="19"/>
        <v>-4.0000000000000008E-2</v>
      </c>
      <c r="AS242" s="139">
        <f t="shared" si="19"/>
        <v>-2</v>
      </c>
      <c r="AT242" s="200" t="s">
        <v>222</v>
      </c>
      <c r="AU242" s="200" t="s">
        <v>222</v>
      </c>
      <c r="AV242" s="200" t="s">
        <v>222</v>
      </c>
      <c r="AW242" s="200" t="s">
        <v>222</v>
      </c>
      <c r="AX242" s="200" t="s">
        <v>222</v>
      </c>
      <c r="AY242" s="133">
        <v>20</v>
      </c>
      <c r="AZ242" s="312">
        <f t="shared" si="17"/>
        <v>27</v>
      </c>
      <c r="BA242" s="155">
        <f t="shared" si="17"/>
        <v>234</v>
      </c>
      <c r="BB242" s="439" t="s">
        <v>623</v>
      </c>
      <c r="BC242" s="23" t="s">
        <v>458</v>
      </c>
      <c r="BD242" s="23"/>
    </row>
    <row r="243" spans="2:56" ht="15.5">
      <c r="B243" s="141">
        <v>9</v>
      </c>
      <c r="C243" s="156">
        <v>46274</v>
      </c>
      <c r="D243" s="302">
        <v>46275</v>
      </c>
      <c r="E243" s="133">
        <v>30</v>
      </c>
      <c r="F243" s="155">
        <v>237</v>
      </c>
      <c r="G243" s="138">
        <v>9.4500000000000001E-2</v>
      </c>
      <c r="H243" s="8">
        <v>0.37250000000000005</v>
      </c>
      <c r="I243" s="8">
        <v>0.32</v>
      </c>
      <c r="J243" s="139">
        <v>39.5</v>
      </c>
      <c r="K243" s="139">
        <v>29.526250000000001</v>
      </c>
      <c r="L243" s="139">
        <v>74.75</v>
      </c>
      <c r="M243" s="8">
        <v>0.25</v>
      </c>
      <c r="N243" s="140">
        <v>73</v>
      </c>
      <c r="O243" s="306"/>
      <c r="P243" s="140"/>
      <c r="Q243" s="140"/>
      <c r="R243" s="140"/>
      <c r="S243" s="140"/>
      <c r="T243" s="140"/>
      <c r="U243" s="140"/>
      <c r="V243" s="140"/>
      <c r="W243" s="140"/>
      <c r="X243" s="141"/>
      <c r="Y243" s="141"/>
      <c r="Z243" s="312">
        <v>27</v>
      </c>
      <c r="AA243" s="155">
        <v>235</v>
      </c>
      <c r="AB243" s="28">
        <v>9.4500000000000001E-2</v>
      </c>
      <c r="AC243" s="30">
        <v>0.37250000000000005</v>
      </c>
      <c r="AD243" s="30">
        <v>0.32</v>
      </c>
      <c r="AE243" s="385">
        <v>37.25</v>
      </c>
      <c r="AF243" s="385">
        <v>27.5</v>
      </c>
      <c r="AG243" s="385">
        <v>74</v>
      </c>
      <c r="AH243" s="23">
        <v>0.21</v>
      </c>
      <c r="AI243" s="140">
        <v>73</v>
      </c>
      <c r="AJ243" s="141"/>
      <c r="AK243" s="141"/>
      <c r="AL243" s="138">
        <f t="shared" si="19"/>
        <v>0</v>
      </c>
      <c r="AM243" s="8">
        <f t="shared" si="19"/>
        <v>0</v>
      </c>
      <c r="AN243" s="8">
        <f t="shared" si="19"/>
        <v>0</v>
      </c>
      <c r="AO243" s="139">
        <f t="shared" si="19"/>
        <v>-2.25</v>
      </c>
      <c r="AP243" s="139">
        <f t="shared" si="19"/>
        <v>-2.026250000000001</v>
      </c>
      <c r="AQ243" s="139">
        <f t="shared" si="19"/>
        <v>-0.75</v>
      </c>
      <c r="AR243" s="8">
        <f t="shared" si="19"/>
        <v>-4.0000000000000008E-2</v>
      </c>
      <c r="AS243" s="139">
        <f t="shared" si="19"/>
        <v>0</v>
      </c>
      <c r="AT243" s="200" t="s">
        <v>222</v>
      </c>
      <c r="AU243" s="200" t="s">
        <v>222</v>
      </c>
      <c r="AV243" s="200" t="s">
        <v>222</v>
      </c>
      <c r="AW243" s="200" t="s">
        <v>222</v>
      </c>
      <c r="AX243" s="200" t="s">
        <v>222</v>
      </c>
      <c r="AY243" s="133">
        <v>20</v>
      </c>
      <c r="AZ243" s="312">
        <f t="shared" si="17"/>
        <v>27</v>
      </c>
      <c r="BA243" s="155">
        <f t="shared" si="17"/>
        <v>235</v>
      </c>
      <c r="BB243" s="439" t="s">
        <v>623</v>
      </c>
      <c r="BC243" s="23" t="s">
        <v>458</v>
      </c>
      <c r="BD243" s="23"/>
    </row>
    <row r="244" spans="2:56" ht="15.5">
      <c r="B244" s="141">
        <v>9</v>
      </c>
      <c r="C244" s="156">
        <v>46274</v>
      </c>
      <c r="D244" s="302">
        <v>46275</v>
      </c>
      <c r="E244" s="133">
        <v>30</v>
      </c>
      <c r="F244" s="155">
        <v>239</v>
      </c>
      <c r="G244" s="138">
        <v>5.6499999999999995E-2</v>
      </c>
      <c r="H244" s="8">
        <v>0.35250000000000004</v>
      </c>
      <c r="I244" s="8">
        <v>0.14000000000000001</v>
      </c>
      <c r="J244" s="139">
        <v>40.25</v>
      </c>
      <c r="K244" s="139">
        <v>29.583749999999998</v>
      </c>
      <c r="L244" s="139">
        <v>73.5</v>
      </c>
      <c r="M244" s="8">
        <v>0.25</v>
      </c>
      <c r="N244" s="140">
        <v>73</v>
      </c>
      <c r="O244" s="306"/>
      <c r="P244" s="140"/>
      <c r="Q244" s="140"/>
      <c r="R244" s="140"/>
      <c r="S244" s="140"/>
      <c r="T244" s="140"/>
      <c r="U244" s="140"/>
      <c r="V244" s="140"/>
      <c r="W244" s="140"/>
      <c r="X244" s="141"/>
      <c r="Y244" s="141"/>
      <c r="Z244" s="312">
        <v>27</v>
      </c>
      <c r="AA244" s="155">
        <v>236</v>
      </c>
      <c r="AB244" s="28">
        <v>5.6499999999999995E-2</v>
      </c>
      <c r="AC244" s="30">
        <v>0.35250000000000004</v>
      </c>
      <c r="AD244" s="30">
        <v>0.14000000000000001</v>
      </c>
      <c r="AE244" s="385">
        <v>36</v>
      </c>
      <c r="AF244" s="385">
        <v>26.75</v>
      </c>
      <c r="AG244" s="385">
        <v>74.25</v>
      </c>
      <c r="AH244" s="23">
        <v>0.21</v>
      </c>
      <c r="AI244" s="140">
        <v>73</v>
      </c>
      <c r="AJ244" s="141"/>
      <c r="AK244" s="141"/>
      <c r="AL244" s="138">
        <f t="shared" si="19"/>
        <v>0</v>
      </c>
      <c r="AM244" s="8">
        <f t="shared" si="19"/>
        <v>0</v>
      </c>
      <c r="AN244" s="8">
        <f t="shared" si="19"/>
        <v>0</v>
      </c>
      <c r="AO244" s="139">
        <f t="shared" si="19"/>
        <v>-4.25</v>
      </c>
      <c r="AP244" s="139">
        <f t="shared" si="19"/>
        <v>-2.8337499999999984</v>
      </c>
      <c r="AQ244" s="139">
        <f t="shared" si="19"/>
        <v>0.75</v>
      </c>
      <c r="AR244" s="8">
        <f t="shared" si="19"/>
        <v>-4.0000000000000008E-2</v>
      </c>
      <c r="AS244" s="139">
        <f t="shared" si="19"/>
        <v>0</v>
      </c>
      <c r="AT244" s="200" t="s">
        <v>222</v>
      </c>
      <c r="AU244" s="200" t="s">
        <v>222</v>
      </c>
      <c r="AV244" s="200" t="s">
        <v>222</v>
      </c>
      <c r="AW244" s="200" t="s">
        <v>222</v>
      </c>
      <c r="AX244" s="200" t="s">
        <v>222</v>
      </c>
      <c r="AY244" s="133">
        <v>20</v>
      </c>
      <c r="AZ244" s="312">
        <f t="shared" si="17"/>
        <v>27</v>
      </c>
      <c r="BA244" s="155">
        <f t="shared" si="17"/>
        <v>236</v>
      </c>
      <c r="BB244" s="439" t="s">
        <v>623</v>
      </c>
      <c r="BC244" s="23" t="s">
        <v>458</v>
      </c>
      <c r="BD244" s="23"/>
    </row>
    <row r="245" spans="2:56" ht="15.5">
      <c r="B245" s="141">
        <v>28</v>
      </c>
      <c r="C245" s="156">
        <v>46157</v>
      </c>
      <c r="D245" s="302">
        <v>46159</v>
      </c>
      <c r="E245" s="133">
        <v>3</v>
      </c>
      <c r="F245" s="155">
        <v>24</v>
      </c>
      <c r="G245" s="138">
        <v>0.10925</v>
      </c>
      <c r="H245" s="8">
        <v>0.33500000000000002</v>
      </c>
      <c r="I245" s="8">
        <v>0.38</v>
      </c>
      <c r="J245" s="139">
        <v>40.5</v>
      </c>
      <c r="K245" s="139">
        <v>28.258875000000003</v>
      </c>
      <c r="L245" s="139">
        <v>69.775000000000006</v>
      </c>
      <c r="M245" s="8">
        <v>0.22</v>
      </c>
      <c r="N245" s="140">
        <v>74</v>
      </c>
      <c r="O245" s="306" t="s">
        <v>489</v>
      </c>
      <c r="P245" s="140"/>
      <c r="Q245" s="140"/>
      <c r="R245" s="140"/>
      <c r="S245" s="140"/>
      <c r="T245" s="140"/>
      <c r="U245" s="140"/>
      <c r="V245" s="140"/>
      <c r="W245" s="140" t="s">
        <v>522</v>
      </c>
      <c r="X245" s="141"/>
      <c r="Y245" s="141"/>
      <c r="Z245" s="312">
        <v>27</v>
      </c>
      <c r="AA245" s="155">
        <v>237</v>
      </c>
      <c r="AB245" s="28">
        <v>0.10925</v>
      </c>
      <c r="AC245" s="30">
        <v>0.33500000000000002</v>
      </c>
      <c r="AD245" s="30">
        <v>0.36</v>
      </c>
      <c r="AE245" s="385">
        <v>38.75</v>
      </c>
      <c r="AF245" s="385">
        <v>28.25</v>
      </c>
      <c r="AG245" s="385">
        <v>72.908232118758434</v>
      </c>
      <c r="AH245" s="23">
        <v>0.21</v>
      </c>
      <c r="AI245" s="140">
        <v>79</v>
      </c>
      <c r="AJ245" s="141"/>
      <c r="AK245" s="141"/>
      <c r="AL245" s="138">
        <f t="shared" si="19"/>
        <v>0</v>
      </c>
      <c r="AM245" s="8">
        <f t="shared" si="19"/>
        <v>0</v>
      </c>
      <c r="AN245" s="8">
        <f t="shared" si="19"/>
        <v>-2.0000000000000018E-2</v>
      </c>
      <c r="AO245" s="139">
        <f t="shared" si="19"/>
        <v>-1.75</v>
      </c>
      <c r="AP245" s="139">
        <f t="shared" si="19"/>
        <v>-8.8750000000032969E-3</v>
      </c>
      <c r="AQ245" s="139">
        <f t="shared" si="19"/>
        <v>3.1332321187584284</v>
      </c>
      <c r="AR245" s="8">
        <f t="shared" si="19"/>
        <v>-1.0000000000000009E-2</v>
      </c>
      <c r="AS245" s="139">
        <f t="shared" si="19"/>
        <v>5</v>
      </c>
      <c r="AT245" s="200" t="s">
        <v>222</v>
      </c>
      <c r="AU245" s="200" t="s">
        <v>222</v>
      </c>
      <c r="AV245" s="200" t="s">
        <v>222</v>
      </c>
      <c r="AW245" s="200" t="s">
        <v>222</v>
      </c>
      <c r="AX245" s="200" t="s">
        <v>222</v>
      </c>
      <c r="AY245" s="133">
        <v>20</v>
      </c>
      <c r="AZ245" s="312">
        <f t="shared" si="17"/>
        <v>27</v>
      </c>
      <c r="BA245" s="155">
        <f t="shared" si="17"/>
        <v>237</v>
      </c>
      <c r="BB245" s="439" t="s">
        <v>623</v>
      </c>
      <c r="BC245" s="23" t="s">
        <v>458</v>
      </c>
      <c r="BD245" s="23"/>
    </row>
    <row r="246" spans="2:56" ht="15.5">
      <c r="B246" s="141">
        <v>9</v>
      </c>
      <c r="C246" s="156">
        <v>46274</v>
      </c>
      <c r="D246" s="302">
        <v>46275</v>
      </c>
      <c r="E246" s="133">
        <v>31</v>
      </c>
      <c r="F246" s="155">
        <v>241</v>
      </c>
      <c r="G246" s="138">
        <v>2.9249999999999998E-2</v>
      </c>
      <c r="H246" s="8">
        <v>0.34250000000000003</v>
      </c>
      <c r="I246" s="8">
        <v>0.18</v>
      </c>
      <c r="J246" s="139">
        <v>40</v>
      </c>
      <c r="K246" s="139">
        <v>29.8</v>
      </c>
      <c r="L246" s="139">
        <v>74.5</v>
      </c>
      <c r="M246" s="8">
        <v>0.22</v>
      </c>
      <c r="N246" s="140">
        <v>75.5</v>
      </c>
      <c r="O246" s="306"/>
      <c r="P246" s="140"/>
      <c r="Q246" s="140"/>
      <c r="R246" s="140"/>
      <c r="S246" s="140"/>
      <c r="T246" s="140"/>
      <c r="U246" s="140"/>
      <c r="V246" s="140"/>
      <c r="W246" s="140"/>
      <c r="X246" s="141"/>
      <c r="Y246" s="141"/>
      <c r="Z246" s="312">
        <v>27</v>
      </c>
      <c r="AA246" s="155">
        <v>238</v>
      </c>
      <c r="AB246" s="28">
        <v>2.9249999999999998E-2</v>
      </c>
      <c r="AC246" s="30">
        <v>0.34250000000000003</v>
      </c>
      <c r="AD246" s="30">
        <v>0.18</v>
      </c>
      <c r="AE246" s="385">
        <v>36.25</v>
      </c>
      <c r="AF246" s="385">
        <v>27.75</v>
      </c>
      <c r="AG246" s="385">
        <v>76</v>
      </c>
      <c r="AH246" s="23">
        <v>0.21</v>
      </c>
      <c r="AI246" s="140">
        <v>79</v>
      </c>
      <c r="AJ246" s="141"/>
      <c r="AK246" s="141"/>
      <c r="AL246" s="138">
        <f t="shared" si="19"/>
        <v>0</v>
      </c>
      <c r="AM246" s="8">
        <f t="shared" si="19"/>
        <v>0</v>
      </c>
      <c r="AN246" s="8">
        <f t="shared" si="19"/>
        <v>0</v>
      </c>
      <c r="AO246" s="139">
        <f t="shared" si="19"/>
        <v>-3.75</v>
      </c>
      <c r="AP246" s="139">
        <f t="shared" si="19"/>
        <v>-2.0500000000000007</v>
      </c>
      <c r="AQ246" s="139">
        <f t="shared" si="19"/>
        <v>1.5</v>
      </c>
      <c r="AR246" s="8">
        <f t="shared" si="19"/>
        <v>-1.0000000000000009E-2</v>
      </c>
      <c r="AS246" s="139">
        <f t="shared" si="19"/>
        <v>3.5</v>
      </c>
      <c r="AT246" s="200" t="s">
        <v>222</v>
      </c>
      <c r="AU246" s="200" t="s">
        <v>222</v>
      </c>
      <c r="AV246" s="200" t="s">
        <v>222</v>
      </c>
      <c r="AW246" s="200" t="s">
        <v>222</v>
      </c>
      <c r="AX246" s="200" t="s">
        <v>222</v>
      </c>
      <c r="AY246" s="133">
        <v>20</v>
      </c>
      <c r="AZ246" s="312">
        <f t="shared" si="17"/>
        <v>27</v>
      </c>
      <c r="BA246" s="155">
        <f t="shared" si="17"/>
        <v>238</v>
      </c>
      <c r="BB246" s="439" t="s">
        <v>623</v>
      </c>
      <c r="BC246" s="23" t="s">
        <v>458</v>
      </c>
      <c r="BD246" s="23"/>
    </row>
    <row r="247" spans="2:56" ht="15.5">
      <c r="B247" s="141">
        <v>9</v>
      </c>
      <c r="C247" s="156">
        <v>46275</v>
      </c>
      <c r="D247" s="302">
        <v>46276</v>
      </c>
      <c r="E247" s="133">
        <v>31</v>
      </c>
      <c r="F247" s="155">
        <v>243</v>
      </c>
      <c r="G247" s="138">
        <v>5.9249999999999997E-2</v>
      </c>
      <c r="H247" s="8">
        <v>0.26500000000000001</v>
      </c>
      <c r="I247" s="8">
        <v>0.48</v>
      </c>
      <c r="J247" s="139">
        <v>37.25</v>
      </c>
      <c r="K247" s="139">
        <v>27.9375</v>
      </c>
      <c r="L247" s="139">
        <v>75</v>
      </c>
      <c r="M247" s="8">
        <v>0.22</v>
      </c>
      <c r="N247" s="140">
        <v>74.5</v>
      </c>
      <c r="O247" s="306"/>
      <c r="P247" s="140"/>
      <c r="Q247" s="140"/>
      <c r="R247" s="140"/>
      <c r="S247" s="140"/>
      <c r="T247" s="140"/>
      <c r="U247" s="140"/>
      <c r="V247" s="140"/>
      <c r="W247" s="140"/>
      <c r="X247" s="141"/>
      <c r="Y247" s="141"/>
      <c r="Z247" s="312">
        <v>27</v>
      </c>
      <c r="AA247" s="155">
        <v>239</v>
      </c>
      <c r="AB247" s="28">
        <v>5.9249999999999997E-2</v>
      </c>
      <c r="AC247" s="30">
        <v>0.26500000000000001</v>
      </c>
      <c r="AD247" s="30">
        <v>0.48</v>
      </c>
      <c r="AE247" s="385">
        <v>35.25</v>
      </c>
      <c r="AF247" s="385">
        <v>26.25</v>
      </c>
      <c r="AG247" s="385">
        <v>74.5</v>
      </c>
      <c r="AH247" s="23">
        <v>0.21</v>
      </c>
      <c r="AI247" s="140">
        <v>79</v>
      </c>
      <c r="AJ247" s="141"/>
      <c r="AK247" s="141"/>
      <c r="AL247" s="138">
        <f t="shared" si="19"/>
        <v>0</v>
      </c>
      <c r="AM247" s="8">
        <f t="shared" si="19"/>
        <v>0</v>
      </c>
      <c r="AN247" s="8">
        <f t="shared" si="19"/>
        <v>0</v>
      </c>
      <c r="AO247" s="139">
        <f t="shared" si="19"/>
        <v>-2</v>
      </c>
      <c r="AP247" s="139">
        <f t="shared" si="19"/>
        <v>-1.6875</v>
      </c>
      <c r="AQ247" s="139">
        <f t="shared" si="19"/>
        <v>-0.5</v>
      </c>
      <c r="AR247" s="8">
        <f t="shared" si="19"/>
        <v>-1.0000000000000009E-2</v>
      </c>
      <c r="AS247" s="139">
        <f t="shared" si="19"/>
        <v>4.5</v>
      </c>
      <c r="AT247" s="200" t="s">
        <v>222</v>
      </c>
      <c r="AU247" s="200" t="s">
        <v>222</v>
      </c>
      <c r="AV247" s="200" t="s">
        <v>222</v>
      </c>
      <c r="AW247" s="200" t="s">
        <v>222</v>
      </c>
      <c r="AX247" s="200" t="s">
        <v>222</v>
      </c>
      <c r="AY247" s="133">
        <v>20</v>
      </c>
      <c r="AZ247" s="312">
        <f t="shared" si="17"/>
        <v>27</v>
      </c>
      <c r="BA247" s="155">
        <f t="shared" si="17"/>
        <v>239</v>
      </c>
      <c r="BB247" s="439" t="s">
        <v>623</v>
      </c>
      <c r="BC247" s="23" t="s">
        <v>458</v>
      </c>
      <c r="BD247" s="23"/>
    </row>
    <row r="248" spans="2:56" ht="15.5">
      <c r="B248" s="141">
        <v>9</v>
      </c>
      <c r="C248" s="156">
        <v>46275</v>
      </c>
      <c r="D248" s="302">
        <v>46276</v>
      </c>
      <c r="E248" s="133">
        <v>31</v>
      </c>
      <c r="F248" s="155">
        <v>247</v>
      </c>
      <c r="G248" s="138">
        <v>5.3999999999999999E-2</v>
      </c>
      <c r="H248" s="8">
        <v>0.33250000000000002</v>
      </c>
      <c r="I248" s="8">
        <v>0.3</v>
      </c>
      <c r="J248" s="139">
        <v>37.75</v>
      </c>
      <c r="K248" s="139">
        <v>28.3125</v>
      </c>
      <c r="L248" s="139">
        <v>75</v>
      </c>
      <c r="M248" s="8">
        <v>0.22</v>
      </c>
      <c r="N248" s="140">
        <v>74.5</v>
      </c>
      <c r="O248" s="306"/>
      <c r="P248" s="140"/>
      <c r="Q248" s="140"/>
      <c r="R248" s="140"/>
      <c r="S248" s="140"/>
      <c r="T248" s="140"/>
      <c r="U248" s="140"/>
      <c r="V248" s="140"/>
      <c r="W248" s="140"/>
      <c r="X248" s="141"/>
      <c r="Y248" s="141"/>
      <c r="Z248" s="312">
        <v>27</v>
      </c>
      <c r="AA248" s="155">
        <v>240</v>
      </c>
      <c r="AB248" s="28">
        <v>5.3999999999999999E-2</v>
      </c>
      <c r="AC248" s="30">
        <v>0.33250000000000002</v>
      </c>
      <c r="AD248" s="30">
        <v>0.3</v>
      </c>
      <c r="AE248" s="385">
        <v>37.5</v>
      </c>
      <c r="AF248" s="385">
        <v>28.75</v>
      </c>
      <c r="AG248" s="385">
        <v>76.75</v>
      </c>
      <c r="AH248" s="23">
        <v>0.21</v>
      </c>
      <c r="AI248" s="140">
        <v>79</v>
      </c>
      <c r="AJ248" s="141"/>
      <c r="AK248" s="141"/>
      <c r="AL248" s="138">
        <f t="shared" si="19"/>
        <v>0</v>
      </c>
      <c r="AM248" s="8">
        <f t="shared" si="19"/>
        <v>0</v>
      </c>
      <c r="AN248" s="8">
        <f t="shared" si="19"/>
        <v>0</v>
      </c>
      <c r="AO248" s="139">
        <f t="shared" si="19"/>
        <v>-0.25</v>
      </c>
      <c r="AP248" s="139">
        <f t="shared" si="19"/>
        <v>0.4375</v>
      </c>
      <c r="AQ248" s="139">
        <f t="shared" si="19"/>
        <v>1.75</v>
      </c>
      <c r="AR248" s="8">
        <f t="shared" si="19"/>
        <v>-1.0000000000000009E-2</v>
      </c>
      <c r="AS248" s="139">
        <f t="shared" si="19"/>
        <v>4.5</v>
      </c>
      <c r="AT248" s="200" t="s">
        <v>222</v>
      </c>
      <c r="AU248" s="200" t="s">
        <v>222</v>
      </c>
      <c r="AV248" s="200" t="s">
        <v>222</v>
      </c>
      <c r="AW248" s="200" t="s">
        <v>222</v>
      </c>
      <c r="AX248" s="200" t="s">
        <v>222</v>
      </c>
      <c r="AY248" s="133">
        <v>20</v>
      </c>
      <c r="AZ248" s="312">
        <f t="shared" si="17"/>
        <v>27</v>
      </c>
      <c r="BA248" s="155">
        <f t="shared" si="17"/>
        <v>240</v>
      </c>
      <c r="BB248" s="439" t="s">
        <v>623</v>
      </c>
      <c r="BC248" s="23" t="s">
        <v>458</v>
      </c>
      <c r="BD248" s="23"/>
    </row>
    <row r="249" spans="2:56" ht="15.5">
      <c r="B249" s="141">
        <v>9</v>
      </c>
      <c r="C249" s="156">
        <v>46275</v>
      </c>
      <c r="D249" s="302">
        <v>46276</v>
      </c>
      <c r="E249" s="133">
        <v>31</v>
      </c>
      <c r="F249" s="155">
        <v>248</v>
      </c>
      <c r="G249" s="138">
        <v>7.825E-2</v>
      </c>
      <c r="H249" s="8">
        <v>0.34</v>
      </c>
      <c r="I249" s="8">
        <v>0.35</v>
      </c>
      <c r="J249" s="139">
        <v>38</v>
      </c>
      <c r="K249" s="139">
        <v>29.355</v>
      </c>
      <c r="L249" s="139">
        <v>77.25</v>
      </c>
      <c r="M249" s="8">
        <v>0.22</v>
      </c>
      <c r="N249" s="140">
        <v>74.5</v>
      </c>
      <c r="O249" s="306"/>
      <c r="P249" s="140"/>
      <c r="Q249" s="140"/>
      <c r="R249" s="140"/>
      <c r="S249" s="140"/>
      <c r="T249" s="140"/>
      <c r="U249" s="140"/>
      <c r="V249" s="140"/>
      <c r="W249" s="140"/>
      <c r="X249" s="141"/>
      <c r="Y249" s="141"/>
      <c r="Z249" s="312">
        <v>27</v>
      </c>
      <c r="AA249" s="155">
        <v>241</v>
      </c>
      <c r="AB249" s="28">
        <v>7.825E-2</v>
      </c>
      <c r="AC249" s="30">
        <v>0.34</v>
      </c>
      <c r="AD249" s="30">
        <v>0.35</v>
      </c>
      <c r="AE249" s="385">
        <v>36.25</v>
      </c>
      <c r="AF249" s="385">
        <v>27.25</v>
      </c>
      <c r="AG249" s="385">
        <v>75.25</v>
      </c>
      <c r="AH249" s="23">
        <v>0.21</v>
      </c>
      <c r="AI249" s="140">
        <v>79</v>
      </c>
      <c r="AJ249" s="141"/>
      <c r="AK249" s="141"/>
      <c r="AL249" s="138">
        <f t="shared" si="19"/>
        <v>0</v>
      </c>
      <c r="AM249" s="8">
        <f t="shared" si="19"/>
        <v>0</v>
      </c>
      <c r="AN249" s="8">
        <f t="shared" si="19"/>
        <v>0</v>
      </c>
      <c r="AO249" s="139">
        <f t="shared" si="19"/>
        <v>-1.75</v>
      </c>
      <c r="AP249" s="139">
        <f t="shared" si="19"/>
        <v>-2.1050000000000004</v>
      </c>
      <c r="AQ249" s="139">
        <f t="shared" si="19"/>
        <v>-2</v>
      </c>
      <c r="AR249" s="8">
        <f t="shared" si="19"/>
        <v>-1.0000000000000009E-2</v>
      </c>
      <c r="AS249" s="139">
        <f t="shared" si="19"/>
        <v>4.5</v>
      </c>
      <c r="AT249" s="200" t="s">
        <v>222</v>
      </c>
      <c r="AU249" s="200" t="s">
        <v>222</v>
      </c>
      <c r="AV249" s="200" t="s">
        <v>222</v>
      </c>
      <c r="AW249" s="200" t="s">
        <v>222</v>
      </c>
      <c r="AX249" s="200" t="s">
        <v>222</v>
      </c>
      <c r="AY249" s="133">
        <v>20</v>
      </c>
      <c r="AZ249" s="312">
        <f t="shared" si="17"/>
        <v>27</v>
      </c>
      <c r="BA249" s="155">
        <f t="shared" si="17"/>
        <v>241</v>
      </c>
      <c r="BB249" s="439" t="s">
        <v>623</v>
      </c>
      <c r="BC249" s="23" t="s">
        <v>458</v>
      </c>
      <c r="BD249" s="23"/>
    </row>
    <row r="250" spans="2:56" ht="15.5">
      <c r="B250" s="141">
        <v>9</v>
      </c>
      <c r="C250" s="156">
        <v>46276</v>
      </c>
      <c r="D250" s="302">
        <v>46277</v>
      </c>
      <c r="E250" s="133">
        <v>32</v>
      </c>
      <c r="F250" s="155">
        <v>249</v>
      </c>
      <c r="G250" s="138">
        <v>8.6749999999999994E-2</v>
      </c>
      <c r="H250" s="8">
        <v>0.29499999999999998</v>
      </c>
      <c r="I250" s="8">
        <v>0.43</v>
      </c>
      <c r="J250" s="139">
        <v>41.25</v>
      </c>
      <c r="K250" s="139">
        <v>31.762499999999999</v>
      </c>
      <c r="L250" s="139">
        <v>77</v>
      </c>
      <c r="M250" s="8">
        <v>0.22</v>
      </c>
      <c r="N250" s="140">
        <v>71.5</v>
      </c>
      <c r="O250" s="306"/>
      <c r="P250" s="140"/>
      <c r="Q250" s="140"/>
      <c r="R250" s="140"/>
      <c r="S250" s="140"/>
      <c r="T250" s="140"/>
      <c r="U250" s="140"/>
      <c r="V250" s="140"/>
      <c r="W250" s="140"/>
      <c r="X250" s="141"/>
      <c r="Y250" s="141"/>
      <c r="Z250" s="312">
        <v>28</v>
      </c>
      <c r="AA250" s="155">
        <v>242</v>
      </c>
      <c r="AB250" s="28">
        <v>8.6749999999999994E-2</v>
      </c>
      <c r="AC250" s="30">
        <v>0.29499999999999998</v>
      </c>
      <c r="AD250" s="30">
        <v>0.43</v>
      </c>
      <c r="AE250" s="385">
        <v>37.25</v>
      </c>
      <c r="AF250" s="385">
        <v>28.5</v>
      </c>
      <c r="AG250" s="385">
        <v>76.5</v>
      </c>
      <c r="AH250" s="23">
        <v>0.22</v>
      </c>
      <c r="AI250" s="140">
        <v>71</v>
      </c>
      <c r="AJ250" s="141"/>
      <c r="AK250" s="141"/>
      <c r="AL250" s="138">
        <f t="shared" si="19"/>
        <v>0</v>
      </c>
      <c r="AM250" s="8">
        <f t="shared" si="19"/>
        <v>0</v>
      </c>
      <c r="AN250" s="8">
        <f t="shared" si="19"/>
        <v>0</v>
      </c>
      <c r="AO250" s="139">
        <f t="shared" si="19"/>
        <v>-4</v>
      </c>
      <c r="AP250" s="139">
        <f t="shared" si="19"/>
        <v>-3.2624999999999993</v>
      </c>
      <c r="AQ250" s="139">
        <f t="shared" si="19"/>
        <v>-0.5</v>
      </c>
      <c r="AR250" s="8">
        <f t="shared" si="19"/>
        <v>0</v>
      </c>
      <c r="AS250" s="139">
        <f t="shared" si="19"/>
        <v>-0.5</v>
      </c>
      <c r="AT250" s="200" t="s">
        <v>222</v>
      </c>
      <c r="AU250" s="200" t="s">
        <v>222</v>
      </c>
      <c r="AV250" s="200" t="s">
        <v>222</v>
      </c>
      <c r="AW250" s="200" t="s">
        <v>222</v>
      </c>
      <c r="AX250" s="200" t="s">
        <v>222</v>
      </c>
      <c r="AY250" s="133">
        <v>20</v>
      </c>
      <c r="AZ250" s="312">
        <f t="shared" si="17"/>
        <v>28</v>
      </c>
      <c r="BA250" s="155">
        <f t="shared" si="17"/>
        <v>242</v>
      </c>
      <c r="BB250" s="439" t="s">
        <v>623</v>
      </c>
      <c r="BC250" s="23" t="s">
        <v>458</v>
      </c>
      <c r="BD250" s="23"/>
    </row>
    <row r="251" spans="2:56" ht="15.5">
      <c r="B251" s="141">
        <v>9</v>
      </c>
      <c r="C251" s="156">
        <v>46276</v>
      </c>
      <c r="D251" s="302">
        <v>46277</v>
      </c>
      <c r="E251" s="133">
        <v>32</v>
      </c>
      <c r="F251" s="155">
        <v>250</v>
      </c>
      <c r="G251" s="138">
        <v>7.3249999999999996E-2</v>
      </c>
      <c r="H251" s="8">
        <v>0.3125</v>
      </c>
      <c r="I251" s="8">
        <v>0.36</v>
      </c>
      <c r="J251" s="139">
        <v>38</v>
      </c>
      <c r="K251" s="139">
        <v>28.215</v>
      </c>
      <c r="L251" s="139">
        <v>74.25</v>
      </c>
      <c r="M251" s="8">
        <v>0.22</v>
      </c>
      <c r="N251" s="140">
        <v>71.5</v>
      </c>
      <c r="O251" s="306"/>
      <c r="P251" s="140"/>
      <c r="Q251" s="140"/>
      <c r="R251" s="140"/>
      <c r="S251" s="140"/>
      <c r="T251" s="140"/>
      <c r="U251" s="140"/>
      <c r="V251" s="140"/>
      <c r="W251" s="140"/>
      <c r="X251" s="141"/>
      <c r="Y251" s="141"/>
      <c r="Z251" s="312">
        <v>28</v>
      </c>
      <c r="AA251" s="155">
        <v>243</v>
      </c>
      <c r="AB251" s="28">
        <v>7.3249999999999996E-2</v>
      </c>
      <c r="AC251" s="30">
        <v>0.3125</v>
      </c>
      <c r="AD251" s="30">
        <v>0.36</v>
      </c>
      <c r="AE251" s="385">
        <v>36.75</v>
      </c>
      <c r="AF251" s="385">
        <v>27.75</v>
      </c>
      <c r="AG251" s="385">
        <v>75.75</v>
      </c>
      <c r="AH251" s="23">
        <v>0.22</v>
      </c>
      <c r="AI251" s="140">
        <v>71</v>
      </c>
      <c r="AJ251" s="141"/>
      <c r="AK251" s="141"/>
      <c r="AL251" s="138">
        <f t="shared" si="19"/>
        <v>0</v>
      </c>
      <c r="AM251" s="8">
        <f t="shared" si="19"/>
        <v>0</v>
      </c>
      <c r="AN251" s="8">
        <f t="shared" si="19"/>
        <v>0</v>
      </c>
      <c r="AO251" s="139">
        <f t="shared" si="19"/>
        <v>-1.25</v>
      </c>
      <c r="AP251" s="139">
        <f t="shared" si="19"/>
        <v>-0.46499999999999986</v>
      </c>
      <c r="AQ251" s="139">
        <f t="shared" si="19"/>
        <v>1.5</v>
      </c>
      <c r="AR251" s="8">
        <f t="shared" si="19"/>
        <v>0</v>
      </c>
      <c r="AS251" s="139">
        <f t="shared" si="19"/>
        <v>-0.5</v>
      </c>
      <c r="AT251" s="200" t="s">
        <v>222</v>
      </c>
      <c r="AU251" s="200" t="s">
        <v>222</v>
      </c>
      <c r="AV251" s="200" t="s">
        <v>222</v>
      </c>
      <c r="AW251" s="200" t="s">
        <v>222</v>
      </c>
      <c r="AX251" s="200" t="s">
        <v>222</v>
      </c>
      <c r="AY251" s="133">
        <v>20</v>
      </c>
      <c r="AZ251" s="312">
        <f t="shared" si="17"/>
        <v>28</v>
      </c>
      <c r="BA251" s="155">
        <f t="shared" si="17"/>
        <v>243</v>
      </c>
      <c r="BB251" s="439" t="s">
        <v>623</v>
      </c>
      <c r="BC251" s="23" t="s">
        <v>458</v>
      </c>
      <c r="BD251" s="23"/>
    </row>
    <row r="252" spans="2:56" ht="15.5">
      <c r="B252" s="141">
        <v>9</v>
      </c>
      <c r="C252" s="156">
        <v>46276</v>
      </c>
      <c r="D252" s="302">
        <v>46277</v>
      </c>
      <c r="E252" s="133">
        <v>32</v>
      </c>
      <c r="F252" s="155">
        <v>251</v>
      </c>
      <c r="G252" s="138">
        <v>8.4999999999999992E-2</v>
      </c>
      <c r="H252" s="8">
        <v>0.3075</v>
      </c>
      <c r="I252" s="8">
        <v>0.43</v>
      </c>
      <c r="J252" s="139">
        <v>40</v>
      </c>
      <c r="K252" s="139">
        <v>30.1</v>
      </c>
      <c r="L252" s="139">
        <v>75.25</v>
      </c>
      <c r="M252" s="8">
        <v>0.22</v>
      </c>
      <c r="N252" s="140">
        <v>71.5</v>
      </c>
      <c r="O252" s="306"/>
      <c r="P252" s="140"/>
      <c r="Q252" s="140"/>
      <c r="R252" s="140"/>
      <c r="S252" s="140"/>
      <c r="T252" s="140"/>
      <c r="U252" s="140"/>
      <c r="V252" s="140"/>
      <c r="W252" s="140"/>
      <c r="X252" s="141"/>
      <c r="Y252" s="141"/>
      <c r="Z252" s="312">
        <v>28</v>
      </c>
      <c r="AA252" s="155">
        <v>244</v>
      </c>
      <c r="AB252" s="28">
        <v>8.4999999999999992E-2</v>
      </c>
      <c r="AC252" s="30">
        <v>0.3075</v>
      </c>
      <c r="AD252" s="30">
        <v>0.43</v>
      </c>
      <c r="AE252" s="385">
        <v>35.75</v>
      </c>
      <c r="AF252" s="385">
        <v>27.25</v>
      </c>
      <c r="AG252" s="385">
        <v>76.25</v>
      </c>
      <c r="AH252" s="23">
        <v>0.22</v>
      </c>
      <c r="AI252" s="140">
        <v>71</v>
      </c>
      <c r="AJ252" s="141"/>
      <c r="AK252" s="141"/>
      <c r="AL252" s="138">
        <f t="shared" si="19"/>
        <v>0</v>
      </c>
      <c r="AM252" s="8">
        <f t="shared" si="19"/>
        <v>0</v>
      </c>
      <c r="AN252" s="8">
        <f t="shared" si="19"/>
        <v>0</v>
      </c>
      <c r="AO252" s="139">
        <f t="shared" si="19"/>
        <v>-4.25</v>
      </c>
      <c r="AP252" s="139">
        <f t="shared" si="19"/>
        <v>-2.8500000000000014</v>
      </c>
      <c r="AQ252" s="139">
        <f t="shared" si="19"/>
        <v>1</v>
      </c>
      <c r="AR252" s="8">
        <f t="shared" si="19"/>
        <v>0</v>
      </c>
      <c r="AS252" s="139">
        <f t="shared" si="19"/>
        <v>-0.5</v>
      </c>
      <c r="AT252" s="200" t="s">
        <v>222</v>
      </c>
      <c r="AU252" s="200" t="s">
        <v>222</v>
      </c>
      <c r="AV252" s="200" t="s">
        <v>222</v>
      </c>
      <c r="AW252" s="200" t="s">
        <v>222</v>
      </c>
      <c r="AX252" s="200" t="s">
        <v>222</v>
      </c>
      <c r="AY252" s="133">
        <v>20</v>
      </c>
      <c r="AZ252" s="312">
        <f t="shared" si="17"/>
        <v>28</v>
      </c>
      <c r="BA252" s="155">
        <f t="shared" si="17"/>
        <v>244</v>
      </c>
      <c r="BB252" s="439" t="s">
        <v>623</v>
      </c>
      <c r="BC252" s="23" t="s">
        <v>458</v>
      </c>
      <c r="BD252" s="23"/>
    </row>
    <row r="253" spans="2:56" ht="15.5">
      <c r="B253" s="141">
        <v>9</v>
      </c>
      <c r="C253" s="156">
        <v>46276</v>
      </c>
      <c r="D253" s="302">
        <v>46277</v>
      </c>
      <c r="E253" s="133">
        <v>32</v>
      </c>
      <c r="F253" s="155">
        <v>252</v>
      </c>
      <c r="G253" s="138">
        <v>5.3499999999999999E-2</v>
      </c>
      <c r="H253" s="8">
        <v>0.30249999999999999</v>
      </c>
      <c r="I253" s="8">
        <v>0.4</v>
      </c>
      <c r="J253" s="139">
        <v>41</v>
      </c>
      <c r="K253" s="139">
        <v>30.852499999999999</v>
      </c>
      <c r="L253" s="139">
        <v>75.25</v>
      </c>
      <c r="M253" s="8">
        <v>0.22</v>
      </c>
      <c r="N253" s="140">
        <v>71.5</v>
      </c>
      <c r="O253" s="306"/>
      <c r="P253" s="140"/>
      <c r="Q253" s="140"/>
      <c r="R253" s="140"/>
      <c r="S253" s="140"/>
      <c r="T253" s="140"/>
      <c r="U253" s="140"/>
      <c r="V253" s="140"/>
      <c r="W253" s="140"/>
      <c r="X253" s="141"/>
      <c r="Y253" s="141"/>
      <c r="Z253" s="312">
        <v>28</v>
      </c>
      <c r="AA253" s="155">
        <v>245</v>
      </c>
      <c r="AB253" s="28">
        <v>5.3499999999999999E-2</v>
      </c>
      <c r="AC253" s="30">
        <v>0.30249999999999999</v>
      </c>
      <c r="AD253" s="30">
        <v>0.4</v>
      </c>
      <c r="AE253" s="385">
        <v>36</v>
      </c>
      <c r="AF253" s="385">
        <v>27.5</v>
      </c>
      <c r="AG253" s="385">
        <v>75.75</v>
      </c>
      <c r="AH253" s="23">
        <v>0.22</v>
      </c>
      <c r="AI253" s="140">
        <v>71</v>
      </c>
      <c r="AJ253" s="141"/>
      <c r="AK253" s="141"/>
      <c r="AL253" s="138">
        <f t="shared" si="19"/>
        <v>0</v>
      </c>
      <c r="AM253" s="8">
        <f t="shared" si="19"/>
        <v>0</v>
      </c>
      <c r="AN253" s="8">
        <f t="shared" si="19"/>
        <v>0</v>
      </c>
      <c r="AO253" s="139">
        <f t="shared" si="19"/>
        <v>-5</v>
      </c>
      <c r="AP253" s="139">
        <f t="shared" si="19"/>
        <v>-3.3524999999999991</v>
      </c>
      <c r="AQ253" s="139">
        <f t="shared" si="19"/>
        <v>0.5</v>
      </c>
      <c r="AR253" s="8">
        <f t="shared" si="19"/>
        <v>0</v>
      </c>
      <c r="AS253" s="139">
        <f t="shared" si="19"/>
        <v>-0.5</v>
      </c>
      <c r="AT253" s="200" t="s">
        <v>222</v>
      </c>
      <c r="AU253" s="200" t="s">
        <v>222</v>
      </c>
      <c r="AV253" s="200" t="s">
        <v>222</v>
      </c>
      <c r="AW253" s="200" t="s">
        <v>222</v>
      </c>
      <c r="AX253" s="200" t="s">
        <v>222</v>
      </c>
      <c r="AY253" s="133">
        <v>20</v>
      </c>
      <c r="AZ253" s="312">
        <f t="shared" si="17"/>
        <v>28</v>
      </c>
      <c r="BA253" s="155">
        <f t="shared" si="17"/>
        <v>245</v>
      </c>
      <c r="BB253" s="439" t="s">
        <v>623</v>
      </c>
      <c r="BC253" s="23" t="s">
        <v>458</v>
      </c>
      <c r="BD253" s="23"/>
    </row>
    <row r="254" spans="2:56" ht="15.5">
      <c r="B254" s="141">
        <v>9</v>
      </c>
      <c r="C254" s="156">
        <v>46276</v>
      </c>
      <c r="D254" s="302">
        <v>46277</v>
      </c>
      <c r="E254" s="133">
        <v>32</v>
      </c>
      <c r="F254" s="155">
        <v>253</v>
      </c>
      <c r="G254" s="138">
        <v>5.3999999999999999E-2</v>
      </c>
      <c r="H254" s="8">
        <v>0.33</v>
      </c>
      <c r="I254" s="8">
        <v>0.23</v>
      </c>
      <c r="J254" s="139">
        <v>38.75</v>
      </c>
      <c r="K254" s="139">
        <v>29.256250000000001</v>
      </c>
      <c r="L254" s="139">
        <v>75.5</v>
      </c>
      <c r="M254" s="8">
        <v>0.22</v>
      </c>
      <c r="N254" s="140">
        <v>73</v>
      </c>
      <c r="O254" s="306"/>
      <c r="P254" s="140"/>
      <c r="Q254" s="140"/>
      <c r="R254" s="140"/>
      <c r="S254" s="140"/>
      <c r="T254" s="140"/>
      <c r="U254" s="140"/>
      <c r="V254" s="140"/>
      <c r="W254" s="140"/>
      <c r="X254" s="141"/>
      <c r="Y254" s="141"/>
      <c r="Z254" s="312">
        <v>28</v>
      </c>
      <c r="AA254" s="155">
        <v>246</v>
      </c>
      <c r="AB254" s="28">
        <v>5.3999999999999999E-2</v>
      </c>
      <c r="AC254" s="30">
        <v>0.33</v>
      </c>
      <c r="AD254" s="30">
        <v>0.23</v>
      </c>
      <c r="AE254" s="385">
        <v>37.25</v>
      </c>
      <c r="AF254" s="385">
        <v>28.25</v>
      </c>
      <c r="AG254" s="385">
        <v>76</v>
      </c>
      <c r="AH254" s="23">
        <v>0.22</v>
      </c>
      <c r="AI254" s="140">
        <v>71</v>
      </c>
      <c r="AJ254" s="141"/>
      <c r="AK254" s="141"/>
      <c r="AL254" s="138">
        <f t="shared" si="19"/>
        <v>0</v>
      </c>
      <c r="AM254" s="8">
        <f t="shared" ref="AM254:AS290" si="20">AC254-H254</f>
        <v>0</v>
      </c>
      <c r="AN254" s="8">
        <f t="shared" si="20"/>
        <v>0</v>
      </c>
      <c r="AO254" s="139">
        <f t="shared" si="20"/>
        <v>-1.5</v>
      </c>
      <c r="AP254" s="139">
        <f t="shared" si="20"/>
        <v>-1.0062500000000014</v>
      </c>
      <c r="AQ254" s="139">
        <f t="shared" si="20"/>
        <v>0.5</v>
      </c>
      <c r="AR254" s="8">
        <f t="shared" si="20"/>
        <v>0</v>
      </c>
      <c r="AS254" s="139">
        <f t="shared" si="20"/>
        <v>-2</v>
      </c>
      <c r="AT254" s="200" t="s">
        <v>222</v>
      </c>
      <c r="AU254" s="200" t="s">
        <v>222</v>
      </c>
      <c r="AV254" s="200" t="s">
        <v>222</v>
      </c>
      <c r="AW254" s="200" t="s">
        <v>222</v>
      </c>
      <c r="AX254" s="200" t="s">
        <v>222</v>
      </c>
      <c r="AY254" s="133">
        <v>20</v>
      </c>
      <c r="AZ254" s="312">
        <f t="shared" si="17"/>
        <v>28</v>
      </c>
      <c r="BA254" s="155">
        <f t="shared" si="17"/>
        <v>246</v>
      </c>
      <c r="BB254" s="439" t="s">
        <v>623</v>
      </c>
      <c r="BC254" s="23" t="s">
        <v>458</v>
      </c>
      <c r="BD254" s="23"/>
    </row>
    <row r="255" spans="2:56" ht="15.5">
      <c r="B255" s="141">
        <v>9</v>
      </c>
      <c r="C255" s="156">
        <v>46276</v>
      </c>
      <c r="D255" s="302">
        <v>46277</v>
      </c>
      <c r="E255" s="133">
        <v>32</v>
      </c>
      <c r="F255" s="155">
        <v>254</v>
      </c>
      <c r="G255" s="138">
        <v>8.5500000000000007E-2</v>
      </c>
      <c r="H255" s="8">
        <v>0.315</v>
      </c>
      <c r="I255" s="8">
        <v>0.33</v>
      </c>
      <c r="J255" s="139">
        <v>39.25</v>
      </c>
      <c r="K255" s="139">
        <v>29.731874999999999</v>
      </c>
      <c r="L255" s="139">
        <v>75.75</v>
      </c>
      <c r="M255" s="8">
        <v>0.22</v>
      </c>
      <c r="N255" s="140">
        <v>73</v>
      </c>
      <c r="O255" s="306"/>
      <c r="P255" s="140"/>
      <c r="Q255" s="140"/>
      <c r="R255" s="140"/>
      <c r="S255" s="140"/>
      <c r="T255" s="140"/>
      <c r="U255" s="140"/>
      <c r="V255" s="140"/>
      <c r="W255" s="140"/>
      <c r="X255" s="141"/>
      <c r="Y255" s="141"/>
      <c r="Z255" s="312">
        <v>28</v>
      </c>
      <c r="AA255" s="155">
        <v>247</v>
      </c>
      <c r="AB255" s="28">
        <v>8.5500000000000007E-2</v>
      </c>
      <c r="AC255" s="30">
        <v>0.315</v>
      </c>
      <c r="AD255" s="30">
        <v>0.33</v>
      </c>
      <c r="AE255" s="385">
        <v>35.75</v>
      </c>
      <c r="AF255" s="385">
        <v>27.25</v>
      </c>
      <c r="AG255" s="385">
        <v>76.25</v>
      </c>
      <c r="AH255" s="23">
        <v>0.22</v>
      </c>
      <c r="AI255" s="140">
        <v>72</v>
      </c>
      <c r="AJ255" s="141"/>
      <c r="AK255" s="141"/>
      <c r="AL255" s="138">
        <f t="shared" ref="AL255:AO295" si="21">AB255-G255</f>
        <v>0</v>
      </c>
      <c r="AM255" s="8">
        <f t="shared" si="20"/>
        <v>0</v>
      </c>
      <c r="AN255" s="8">
        <f t="shared" si="20"/>
        <v>0</v>
      </c>
      <c r="AO255" s="139">
        <f t="shared" si="20"/>
        <v>-3.5</v>
      </c>
      <c r="AP255" s="139">
        <f t="shared" si="20"/>
        <v>-2.4818749999999987</v>
      </c>
      <c r="AQ255" s="139">
        <f t="shared" si="20"/>
        <v>0.5</v>
      </c>
      <c r="AR255" s="8">
        <f t="shared" si="20"/>
        <v>0</v>
      </c>
      <c r="AS255" s="139">
        <f t="shared" si="20"/>
        <v>-1</v>
      </c>
      <c r="AT255" s="200" t="s">
        <v>222</v>
      </c>
      <c r="AU255" s="200" t="s">
        <v>222</v>
      </c>
      <c r="AV255" s="200" t="s">
        <v>222</v>
      </c>
      <c r="AW255" s="200" t="s">
        <v>222</v>
      </c>
      <c r="AX255" s="200" t="s">
        <v>222</v>
      </c>
      <c r="AY255" s="133">
        <v>20</v>
      </c>
      <c r="AZ255" s="312">
        <f t="shared" si="17"/>
        <v>28</v>
      </c>
      <c r="BA255" s="155">
        <f t="shared" si="17"/>
        <v>247</v>
      </c>
      <c r="BB255" s="439" t="s">
        <v>623</v>
      </c>
      <c r="BC255" s="23" t="s">
        <v>458</v>
      </c>
      <c r="BD255" s="23"/>
    </row>
    <row r="256" spans="2:56" ht="15.5">
      <c r="B256" s="141">
        <v>9</v>
      </c>
      <c r="C256" s="156">
        <v>46276</v>
      </c>
      <c r="D256" s="302">
        <v>46277</v>
      </c>
      <c r="E256" s="133">
        <v>32</v>
      </c>
      <c r="F256" s="155">
        <v>255</v>
      </c>
      <c r="G256" s="138">
        <v>5.3499999999999999E-2</v>
      </c>
      <c r="H256" s="8">
        <v>0.28250000000000003</v>
      </c>
      <c r="I256" s="8">
        <v>0.23</v>
      </c>
      <c r="J256" s="139">
        <v>38.25</v>
      </c>
      <c r="K256" s="139">
        <v>29.452500000000001</v>
      </c>
      <c r="L256" s="139">
        <v>77</v>
      </c>
      <c r="M256" s="8">
        <v>0.22</v>
      </c>
      <c r="N256" s="140">
        <v>73</v>
      </c>
      <c r="O256" s="306"/>
      <c r="P256" s="140"/>
      <c r="Q256" s="140"/>
      <c r="R256" s="140"/>
      <c r="S256" s="140"/>
      <c r="T256" s="140"/>
      <c r="U256" s="140"/>
      <c r="V256" s="140"/>
      <c r="W256" s="140"/>
      <c r="X256" s="141"/>
      <c r="Y256" s="141"/>
      <c r="Z256" s="312">
        <v>28</v>
      </c>
      <c r="AA256" s="155">
        <v>248</v>
      </c>
      <c r="AB256" s="28">
        <v>5.3499999999999999E-2</v>
      </c>
      <c r="AC256" s="30">
        <v>0.28250000000000003</v>
      </c>
      <c r="AD256" s="30">
        <v>0.23</v>
      </c>
      <c r="AE256" s="385">
        <v>35.25</v>
      </c>
      <c r="AF256" s="385">
        <v>26.5</v>
      </c>
      <c r="AG256" s="385">
        <v>75</v>
      </c>
      <c r="AH256" s="23">
        <v>0.22</v>
      </c>
      <c r="AI256" s="140">
        <v>72</v>
      </c>
      <c r="AJ256" s="141"/>
      <c r="AK256" s="141"/>
      <c r="AL256" s="138">
        <f t="shared" si="21"/>
        <v>0</v>
      </c>
      <c r="AM256" s="8">
        <f t="shared" si="20"/>
        <v>0</v>
      </c>
      <c r="AN256" s="8">
        <f t="shared" si="20"/>
        <v>0</v>
      </c>
      <c r="AO256" s="139">
        <f t="shared" si="20"/>
        <v>-3</v>
      </c>
      <c r="AP256" s="139">
        <f t="shared" si="20"/>
        <v>-2.9525000000000006</v>
      </c>
      <c r="AQ256" s="139">
        <f t="shared" si="20"/>
        <v>-2</v>
      </c>
      <c r="AR256" s="8">
        <f t="shared" si="20"/>
        <v>0</v>
      </c>
      <c r="AS256" s="139">
        <f t="shared" si="20"/>
        <v>-1</v>
      </c>
      <c r="AT256" s="200" t="s">
        <v>222</v>
      </c>
      <c r="AU256" s="200" t="s">
        <v>222</v>
      </c>
      <c r="AV256" s="200" t="s">
        <v>222</v>
      </c>
      <c r="AW256" s="200" t="s">
        <v>222</v>
      </c>
      <c r="AX256" s="200" t="s">
        <v>222</v>
      </c>
      <c r="AY256" s="133">
        <v>20</v>
      </c>
      <c r="AZ256" s="312">
        <f t="shared" si="17"/>
        <v>28</v>
      </c>
      <c r="BA256" s="155">
        <f t="shared" si="17"/>
        <v>248</v>
      </c>
      <c r="BB256" s="439" t="s">
        <v>623</v>
      </c>
      <c r="BC256" s="23" t="s">
        <v>458</v>
      </c>
      <c r="BD256" s="23"/>
    </row>
    <row r="257" spans="2:56" ht="15.5">
      <c r="B257" s="141">
        <v>9</v>
      </c>
      <c r="C257" s="156">
        <v>46276</v>
      </c>
      <c r="D257" s="302">
        <v>46277</v>
      </c>
      <c r="E257" s="133">
        <v>32</v>
      </c>
      <c r="F257" s="155">
        <v>256</v>
      </c>
      <c r="G257" s="138">
        <v>5.0750000000000003E-2</v>
      </c>
      <c r="H257" s="8">
        <v>0.28000000000000003</v>
      </c>
      <c r="I257" s="8">
        <v>0.59</v>
      </c>
      <c r="J257" s="139">
        <v>38.75</v>
      </c>
      <c r="K257" s="139">
        <v>29.256250000000001</v>
      </c>
      <c r="L257" s="139">
        <v>75.5</v>
      </c>
      <c r="M257" s="8">
        <v>0.22</v>
      </c>
      <c r="N257" s="140">
        <v>73</v>
      </c>
      <c r="O257" s="306"/>
      <c r="P257" s="140"/>
      <c r="Q257" s="140"/>
      <c r="R257" s="140"/>
      <c r="S257" s="140"/>
      <c r="T257" s="140"/>
      <c r="U257" s="140"/>
      <c r="V257" s="140"/>
      <c r="W257" s="140"/>
      <c r="X257" s="141"/>
      <c r="Y257" s="141"/>
      <c r="Z257" s="312">
        <v>28</v>
      </c>
      <c r="AA257" s="155">
        <v>249</v>
      </c>
      <c r="AB257" s="28">
        <v>5.0750000000000003E-2</v>
      </c>
      <c r="AC257" s="30">
        <v>0.28000000000000003</v>
      </c>
      <c r="AD257" s="30">
        <v>0.59</v>
      </c>
      <c r="AE257" s="385">
        <v>35.75</v>
      </c>
      <c r="AF257" s="385">
        <v>27</v>
      </c>
      <c r="AG257" s="385">
        <v>75.5</v>
      </c>
      <c r="AH257" s="23">
        <v>0.22</v>
      </c>
      <c r="AI257" s="140">
        <v>72</v>
      </c>
      <c r="AJ257" s="141"/>
      <c r="AK257" s="141"/>
      <c r="AL257" s="138">
        <f t="shared" si="21"/>
        <v>0</v>
      </c>
      <c r="AM257" s="8">
        <f t="shared" si="20"/>
        <v>0</v>
      </c>
      <c r="AN257" s="8">
        <f t="shared" si="20"/>
        <v>0</v>
      </c>
      <c r="AO257" s="139">
        <f t="shared" si="20"/>
        <v>-3</v>
      </c>
      <c r="AP257" s="139">
        <f t="shared" si="20"/>
        <v>-2.2562500000000014</v>
      </c>
      <c r="AQ257" s="139">
        <f t="shared" si="20"/>
        <v>0</v>
      </c>
      <c r="AR257" s="8">
        <f t="shared" si="20"/>
        <v>0</v>
      </c>
      <c r="AS257" s="139">
        <f t="shared" si="20"/>
        <v>-1</v>
      </c>
      <c r="AT257" s="200" t="s">
        <v>222</v>
      </c>
      <c r="AU257" s="200" t="s">
        <v>222</v>
      </c>
      <c r="AV257" s="200" t="s">
        <v>222</v>
      </c>
      <c r="AW257" s="200" t="s">
        <v>222</v>
      </c>
      <c r="AX257" s="200" t="s">
        <v>222</v>
      </c>
      <c r="AY257" s="133">
        <v>20</v>
      </c>
      <c r="AZ257" s="312">
        <f t="shared" si="17"/>
        <v>28</v>
      </c>
      <c r="BA257" s="155">
        <f t="shared" si="17"/>
        <v>249</v>
      </c>
      <c r="BB257" s="439" t="s">
        <v>623</v>
      </c>
      <c r="BC257" s="23" t="s">
        <v>458</v>
      </c>
      <c r="BD257" s="23"/>
    </row>
    <row r="258" spans="2:56" ht="15.5">
      <c r="B258" s="141">
        <v>9</v>
      </c>
      <c r="C258" s="156">
        <v>46279</v>
      </c>
      <c r="D258" s="302">
        <v>46280</v>
      </c>
      <c r="E258" s="133">
        <v>33</v>
      </c>
      <c r="F258" s="155">
        <v>259</v>
      </c>
      <c r="G258" s="138">
        <v>7.8E-2</v>
      </c>
      <c r="H258" s="8">
        <v>0.32575000000000004</v>
      </c>
      <c r="I258" s="8">
        <v>0.5</v>
      </c>
      <c r="J258" s="139">
        <v>37.75</v>
      </c>
      <c r="K258" s="139">
        <v>29.445</v>
      </c>
      <c r="L258" s="139">
        <v>78</v>
      </c>
      <c r="M258" s="8">
        <v>0.25</v>
      </c>
      <c r="N258" s="140">
        <v>74.5</v>
      </c>
      <c r="O258" s="306"/>
      <c r="P258" s="140"/>
      <c r="Q258" s="140"/>
      <c r="R258" s="140"/>
      <c r="S258" s="140"/>
      <c r="T258" s="140"/>
      <c r="U258" s="140"/>
      <c r="V258" s="140"/>
      <c r="W258" s="140"/>
      <c r="X258" s="141"/>
      <c r="Y258" s="141"/>
      <c r="Z258" s="312">
        <v>28</v>
      </c>
      <c r="AA258" s="155">
        <v>250</v>
      </c>
      <c r="AB258" s="28">
        <v>7.8E-2</v>
      </c>
      <c r="AC258" s="30">
        <v>0.32575000000000004</v>
      </c>
      <c r="AD258" s="30">
        <v>0.5</v>
      </c>
      <c r="AE258" s="385">
        <v>34.5</v>
      </c>
      <c r="AF258" s="385">
        <v>25.75</v>
      </c>
      <c r="AG258" s="385">
        <v>74.75</v>
      </c>
      <c r="AH258" s="23">
        <v>0.22</v>
      </c>
      <c r="AI258" s="140">
        <v>72</v>
      </c>
      <c r="AJ258" s="141"/>
      <c r="AK258" s="141"/>
      <c r="AL258" s="138">
        <f t="shared" si="21"/>
        <v>0</v>
      </c>
      <c r="AM258" s="8">
        <f t="shared" si="20"/>
        <v>0</v>
      </c>
      <c r="AN258" s="8">
        <f t="shared" si="20"/>
        <v>0</v>
      </c>
      <c r="AO258" s="139">
        <f t="shared" si="20"/>
        <v>-3.25</v>
      </c>
      <c r="AP258" s="139">
        <f t="shared" si="20"/>
        <v>-3.6950000000000003</v>
      </c>
      <c r="AQ258" s="139">
        <f t="shared" si="20"/>
        <v>-3.25</v>
      </c>
      <c r="AR258" s="8">
        <f t="shared" si="20"/>
        <v>-0.03</v>
      </c>
      <c r="AS258" s="139">
        <f t="shared" si="20"/>
        <v>-2.5</v>
      </c>
      <c r="AT258" s="200" t="s">
        <v>222</v>
      </c>
      <c r="AU258" s="200" t="s">
        <v>222</v>
      </c>
      <c r="AV258" s="200" t="s">
        <v>222</v>
      </c>
      <c r="AW258" s="200" t="s">
        <v>222</v>
      </c>
      <c r="AX258" s="200" t="s">
        <v>222</v>
      </c>
      <c r="AY258" s="133">
        <v>20</v>
      </c>
      <c r="AZ258" s="312">
        <f t="shared" si="17"/>
        <v>28</v>
      </c>
      <c r="BA258" s="155">
        <f t="shared" si="17"/>
        <v>250</v>
      </c>
      <c r="BB258" s="439" t="s">
        <v>623</v>
      </c>
      <c r="BC258" s="23" t="s">
        <v>458</v>
      </c>
      <c r="BD258" s="23"/>
    </row>
    <row r="259" spans="2:56" ht="15.5">
      <c r="B259" s="141">
        <v>11</v>
      </c>
      <c r="C259" s="156">
        <v>46279</v>
      </c>
      <c r="D259" s="302">
        <v>46280</v>
      </c>
      <c r="E259" s="133">
        <v>33</v>
      </c>
      <c r="F259" s="155">
        <v>260</v>
      </c>
      <c r="G259" s="138">
        <v>9.6000000000000002E-2</v>
      </c>
      <c r="H259" s="8">
        <v>0.30499999999999999</v>
      </c>
      <c r="I259" s="8">
        <v>0.28999999999999998</v>
      </c>
      <c r="J259" s="139">
        <v>39</v>
      </c>
      <c r="K259" s="139">
        <v>30.127500000000001</v>
      </c>
      <c r="L259" s="139">
        <v>77.25</v>
      </c>
      <c r="M259" s="8">
        <v>0.25</v>
      </c>
      <c r="N259" s="140">
        <v>74.5</v>
      </c>
      <c r="O259" s="306"/>
      <c r="P259" s="140"/>
      <c r="Q259" s="140"/>
      <c r="R259" s="140"/>
      <c r="S259" s="140"/>
      <c r="T259" s="140"/>
      <c r="U259" s="140"/>
      <c r="V259" s="140"/>
      <c r="W259" s="140"/>
      <c r="X259" s="141"/>
      <c r="Y259" s="141"/>
      <c r="Z259" s="312">
        <v>28</v>
      </c>
      <c r="AA259" s="155">
        <v>251</v>
      </c>
      <c r="AB259" s="28">
        <v>9.6000000000000002E-2</v>
      </c>
      <c r="AC259" s="30">
        <v>0.30499999999999999</v>
      </c>
      <c r="AD259" s="30">
        <v>0.28999999999999998</v>
      </c>
      <c r="AE259" s="385">
        <v>36.25</v>
      </c>
      <c r="AF259" s="385">
        <v>27.5</v>
      </c>
      <c r="AG259" s="385">
        <v>76</v>
      </c>
      <c r="AH259" s="23">
        <v>0.22</v>
      </c>
      <c r="AI259" s="140">
        <v>72</v>
      </c>
      <c r="AJ259" s="141"/>
      <c r="AK259" s="141"/>
      <c r="AL259" s="138">
        <f t="shared" si="21"/>
        <v>0</v>
      </c>
      <c r="AM259" s="8">
        <f t="shared" si="20"/>
        <v>0</v>
      </c>
      <c r="AN259" s="8">
        <f t="shared" si="20"/>
        <v>0</v>
      </c>
      <c r="AO259" s="139">
        <f t="shared" si="20"/>
        <v>-2.75</v>
      </c>
      <c r="AP259" s="139">
        <f t="shared" si="20"/>
        <v>-2.6275000000000013</v>
      </c>
      <c r="AQ259" s="139">
        <f t="shared" si="20"/>
        <v>-1.25</v>
      </c>
      <c r="AR259" s="8">
        <f t="shared" si="20"/>
        <v>-0.03</v>
      </c>
      <c r="AS259" s="139">
        <f t="shared" si="20"/>
        <v>-2.5</v>
      </c>
      <c r="AT259" s="200" t="s">
        <v>222</v>
      </c>
      <c r="AU259" s="200" t="s">
        <v>222</v>
      </c>
      <c r="AV259" s="200" t="s">
        <v>222</v>
      </c>
      <c r="AW259" s="200" t="s">
        <v>222</v>
      </c>
      <c r="AX259" s="200" t="s">
        <v>222</v>
      </c>
      <c r="AY259" s="133">
        <v>20</v>
      </c>
      <c r="AZ259" s="312">
        <f t="shared" si="17"/>
        <v>28</v>
      </c>
      <c r="BA259" s="155">
        <f t="shared" si="17"/>
        <v>251</v>
      </c>
      <c r="BB259" s="439" t="s">
        <v>623</v>
      </c>
      <c r="BC259" s="23" t="s">
        <v>458</v>
      </c>
      <c r="BD259" s="23"/>
    </row>
    <row r="260" spans="2:56" ht="15.5">
      <c r="B260" s="141"/>
      <c r="C260" s="156"/>
      <c r="D260" s="302"/>
      <c r="E260" s="133" t="s">
        <v>618</v>
      </c>
      <c r="F260" s="308" t="s">
        <v>319</v>
      </c>
      <c r="G260" s="138"/>
      <c r="H260" s="8"/>
      <c r="I260" s="8"/>
      <c r="J260" s="139"/>
      <c r="K260" s="139"/>
      <c r="L260" s="139"/>
      <c r="M260" s="8"/>
      <c r="N260" s="140"/>
      <c r="O260" s="306"/>
      <c r="P260" s="140"/>
      <c r="Q260" s="140"/>
      <c r="R260" s="140"/>
      <c r="S260" s="140"/>
      <c r="T260" s="140"/>
      <c r="U260" s="140"/>
      <c r="V260" s="140"/>
      <c r="W260" s="140"/>
      <c r="X260" s="141"/>
      <c r="Y260" s="141"/>
      <c r="Z260" s="312">
        <v>29</v>
      </c>
      <c r="AA260" s="155">
        <v>252</v>
      </c>
      <c r="AB260" s="28">
        <v>0.10175000000000001</v>
      </c>
      <c r="AC260" s="30">
        <v>0.33250000000000002</v>
      </c>
      <c r="AD260" s="30">
        <v>0.28000000000000003</v>
      </c>
      <c r="AE260" s="385">
        <v>39.75</v>
      </c>
      <c r="AF260" s="385">
        <v>29</v>
      </c>
      <c r="AG260" s="385">
        <v>72.986405977420105</v>
      </c>
      <c r="AH260" s="23">
        <v>0.21</v>
      </c>
      <c r="AI260" s="140">
        <v>81</v>
      </c>
      <c r="AJ260" s="141"/>
      <c r="AK260" s="141"/>
      <c r="AL260" s="138">
        <f>AB260-G260</f>
        <v>0.10175000000000001</v>
      </c>
      <c r="AM260" s="8">
        <f t="shared" si="20"/>
        <v>0.33250000000000002</v>
      </c>
      <c r="AN260" s="8">
        <f t="shared" si="20"/>
        <v>0.28000000000000003</v>
      </c>
      <c r="AO260" s="139">
        <f t="shared" si="20"/>
        <v>39.75</v>
      </c>
      <c r="AP260" s="139">
        <f t="shared" si="20"/>
        <v>29</v>
      </c>
      <c r="AQ260" s="139">
        <f t="shared" si="20"/>
        <v>72.986405977420105</v>
      </c>
      <c r="AR260" s="8">
        <f t="shared" si="20"/>
        <v>0.21</v>
      </c>
      <c r="AS260" s="139">
        <f t="shared" si="20"/>
        <v>81</v>
      </c>
      <c r="AT260" s="200" t="s">
        <v>222</v>
      </c>
      <c r="AU260" s="200" t="s">
        <v>222</v>
      </c>
      <c r="AV260" s="200" t="s">
        <v>222</v>
      </c>
      <c r="AW260" s="200" t="s">
        <v>222</v>
      </c>
      <c r="AX260" s="200" t="s">
        <v>222</v>
      </c>
      <c r="AY260" s="133">
        <v>21</v>
      </c>
      <c r="AZ260" s="312">
        <f t="shared" si="17"/>
        <v>29</v>
      </c>
      <c r="BA260" s="155">
        <f t="shared" si="17"/>
        <v>252</v>
      </c>
      <c r="BB260" s="440" t="s">
        <v>624</v>
      </c>
      <c r="BC260" s="23" t="s">
        <v>458</v>
      </c>
      <c r="BD260" s="23"/>
    </row>
    <row r="261" spans="2:56" ht="15.5">
      <c r="B261" s="141">
        <v>9</v>
      </c>
      <c r="C261" s="156">
        <v>46276</v>
      </c>
      <c r="D261" s="302">
        <v>46277</v>
      </c>
      <c r="E261" s="133">
        <v>33</v>
      </c>
      <c r="F261" s="155">
        <v>257</v>
      </c>
      <c r="G261" s="138">
        <v>5.6000000000000001E-2</v>
      </c>
      <c r="H261" s="8">
        <v>0.315</v>
      </c>
      <c r="I261" s="8">
        <v>0.24</v>
      </c>
      <c r="J261" s="139">
        <v>38.5</v>
      </c>
      <c r="K261" s="139">
        <v>29.741250000000001</v>
      </c>
      <c r="L261" s="139">
        <v>77.25</v>
      </c>
      <c r="M261" s="8">
        <v>0.25</v>
      </c>
      <c r="N261" s="140">
        <v>74.5</v>
      </c>
      <c r="O261" s="306"/>
      <c r="P261" s="140"/>
      <c r="Q261" s="140"/>
      <c r="R261" s="140"/>
      <c r="S261" s="140"/>
      <c r="T261" s="140"/>
      <c r="U261" s="140"/>
      <c r="V261" s="140"/>
      <c r="W261" s="140"/>
      <c r="X261" s="141"/>
      <c r="Y261" s="141"/>
      <c r="Z261" s="312">
        <v>29</v>
      </c>
      <c r="AA261" s="155">
        <v>253</v>
      </c>
      <c r="AB261" s="28">
        <v>5.6000000000000001E-2</v>
      </c>
      <c r="AC261" s="30">
        <v>0.315</v>
      </c>
      <c r="AD261" s="30">
        <v>0.24</v>
      </c>
      <c r="AE261" s="385">
        <v>35.5</v>
      </c>
      <c r="AF261" s="385">
        <v>27</v>
      </c>
      <c r="AG261" s="385">
        <v>76</v>
      </c>
      <c r="AH261" s="23">
        <v>0.21</v>
      </c>
      <c r="AI261" s="140">
        <v>81</v>
      </c>
      <c r="AJ261" s="141"/>
      <c r="AK261" s="141"/>
      <c r="AL261" s="138">
        <f t="shared" si="21"/>
        <v>0</v>
      </c>
      <c r="AM261" s="8">
        <f t="shared" si="20"/>
        <v>0</v>
      </c>
      <c r="AN261" s="8">
        <f t="shared" si="20"/>
        <v>0</v>
      </c>
      <c r="AO261" s="139">
        <f t="shared" si="20"/>
        <v>-3</v>
      </c>
      <c r="AP261" s="139">
        <f t="shared" si="20"/>
        <v>-2.7412500000000009</v>
      </c>
      <c r="AQ261" s="139">
        <f t="shared" si="20"/>
        <v>-1.25</v>
      </c>
      <c r="AR261" s="8">
        <f t="shared" si="20"/>
        <v>-4.0000000000000008E-2</v>
      </c>
      <c r="AS261" s="139">
        <f t="shared" si="20"/>
        <v>6.5</v>
      </c>
      <c r="AT261" s="200" t="s">
        <v>222</v>
      </c>
      <c r="AU261" s="200" t="s">
        <v>222</v>
      </c>
      <c r="AV261" s="200" t="s">
        <v>222</v>
      </c>
      <c r="AW261" s="200" t="s">
        <v>222</v>
      </c>
      <c r="AX261" s="200" t="s">
        <v>222</v>
      </c>
      <c r="AY261" s="133">
        <v>21</v>
      </c>
      <c r="AZ261" s="312">
        <f t="shared" si="17"/>
        <v>29</v>
      </c>
      <c r="BA261" s="155">
        <f t="shared" si="17"/>
        <v>253</v>
      </c>
      <c r="BB261" s="440" t="s">
        <v>624</v>
      </c>
      <c r="BC261" s="23" t="s">
        <v>458</v>
      </c>
      <c r="BD261" s="23"/>
    </row>
    <row r="262" spans="2:56" ht="15.5">
      <c r="B262" s="141">
        <v>9</v>
      </c>
      <c r="C262" s="156">
        <v>46279</v>
      </c>
      <c r="D262" s="302">
        <v>46280</v>
      </c>
      <c r="E262" s="133">
        <v>33</v>
      </c>
      <c r="F262" s="155">
        <v>258</v>
      </c>
      <c r="G262" s="138">
        <v>7.6499999999999999E-2</v>
      </c>
      <c r="H262" s="8">
        <v>0.31</v>
      </c>
      <c r="I262" s="8">
        <v>0.17</v>
      </c>
      <c r="J262" s="139">
        <v>39.5</v>
      </c>
      <c r="K262" s="139">
        <v>30.02</v>
      </c>
      <c r="L262" s="139">
        <v>76</v>
      </c>
      <c r="M262" s="8">
        <v>0.25</v>
      </c>
      <c r="N262" s="140">
        <v>74.5</v>
      </c>
      <c r="O262" s="306"/>
      <c r="P262" s="140"/>
      <c r="Q262" s="140"/>
      <c r="R262" s="140"/>
      <c r="S262" s="140"/>
      <c r="T262" s="140"/>
      <c r="U262" s="140"/>
      <c r="V262" s="140"/>
      <c r="W262" s="140"/>
      <c r="X262" s="141"/>
      <c r="Y262" s="141"/>
      <c r="Z262" s="312">
        <v>29</v>
      </c>
      <c r="AA262" s="155">
        <v>254</v>
      </c>
      <c r="AB262" s="28">
        <v>7.6499999999999999E-2</v>
      </c>
      <c r="AC262" s="30">
        <v>0.31</v>
      </c>
      <c r="AD262" s="30">
        <v>0.17</v>
      </c>
      <c r="AE262" s="385">
        <v>36.25</v>
      </c>
      <c r="AF262" s="385">
        <v>27.25</v>
      </c>
      <c r="AG262" s="385">
        <v>75.25</v>
      </c>
      <c r="AH262" s="23">
        <v>0.21</v>
      </c>
      <c r="AI262" s="140">
        <v>81</v>
      </c>
      <c r="AJ262" s="141"/>
      <c r="AK262" s="141"/>
      <c r="AL262" s="138">
        <f t="shared" si="21"/>
        <v>0</v>
      </c>
      <c r="AM262" s="8">
        <f t="shared" si="20"/>
        <v>0</v>
      </c>
      <c r="AN262" s="8">
        <f t="shared" si="20"/>
        <v>0</v>
      </c>
      <c r="AO262" s="139">
        <f t="shared" si="20"/>
        <v>-3.25</v>
      </c>
      <c r="AP262" s="139">
        <f t="shared" si="20"/>
        <v>-2.7699999999999996</v>
      </c>
      <c r="AQ262" s="139">
        <f t="shared" si="20"/>
        <v>-0.75</v>
      </c>
      <c r="AR262" s="8">
        <f t="shared" si="20"/>
        <v>-4.0000000000000008E-2</v>
      </c>
      <c r="AS262" s="139">
        <f t="shared" si="20"/>
        <v>6.5</v>
      </c>
      <c r="AT262" s="200" t="s">
        <v>222</v>
      </c>
      <c r="AU262" s="200" t="s">
        <v>222</v>
      </c>
      <c r="AV262" s="200" t="s">
        <v>222</v>
      </c>
      <c r="AW262" s="200" t="s">
        <v>222</v>
      </c>
      <c r="AX262" s="200" t="s">
        <v>222</v>
      </c>
      <c r="AY262" s="133">
        <v>21</v>
      </c>
      <c r="AZ262" s="312">
        <f t="shared" si="17"/>
        <v>29</v>
      </c>
      <c r="BA262" s="155">
        <f t="shared" si="17"/>
        <v>254</v>
      </c>
      <c r="BB262" s="440" t="s">
        <v>624</v>
      </c>
      <c r="BC262" s="23" t="s">
        <v>458</v>
      </c>
      <c r="BD262" s="23"/>
    </row>
    <row r="263" spans="2:56" ht="15.5">
      <c r="B263" s="141">
        <v>11</v>
      </c>
      <c r="C263" s="156">
        <v>46279</v>
      </c>
      <c r="D263" s="302">
        <v>46280</v>
      </c>
      <c r="E263" s="133">
        <v>33</v>
      </c>
      <c r="F263" s="155">
        <v>261</v>
      </c>
      <c r="G263" s="138">
        <v>3.7000000000000005E-2</v>
      </c>
      <c r="H263" s="8">
        <v>0.32250000000000001</v>
      </c>
      <c r="I263" s="8">
        <v>0.35</v>
      </c>
      <c r="J263" s="139">
        <v>40</v>
      </c>
      <c r="K263" s="139">
        <v>30.1</v>
      </c>
      <c r="L263" s="139">
        <v>75.25</v>
      </c>
      <c r="M263" s="8">
        <v>0.25</v>
      </c>
      <c r="N263" s="140">
        <v>74.5</v>
      </c>
      <c r="O263" s="306"/>
      <c r="P263" s="140"/>
      <c r="Q263" s="140"/>
      <c r="R263" s="140"/>
      <c r="S263" s="140"/>
      <c r="T263" s="140"/>
      <c r="U263" s="140"/>
      <c r="V263" s="140"/>
      <c r="W263" s="140"/>
      <c r="X263" s="141"/>
      <c r="Y263" s="141"/>
      <c r="Z263" s="312">
        <v>29</v>
      </c>
      <c r="AA263" s="155">
        <v>255</v>
      </c>
      <c r="AB263" s="28">
        <v>3.7000000000000005E-2</v>
      </c>
      <c r="AC263" s="30">
        <v>0.32250000000000001</v>
      </c>
      <c r="AD263" s="30">
        <v>0.35</v>
      </c>
      <c r="AE263" s="385">
        <v>37.25</v>
      </c>
      <c r="AF263" s="385">
        <v>28.25</v>
      </c>
      <c r="AG263" s="385">
        <v>76</v>
      </c>
      <c r="AH263" s="23">
        <v>0.21</v>
      </c>
      <c r="AI263" s="140">
        <v>81</v>
      </c>
      <c r="AJ263" s="141"/>
      <c r="AK263" s="141"/>
      <c r="AL263" s="138">
        <f t="shared" si="21"/>
        <v>0</v>
      </c>
      <c r="AM263" s="8">
        <f t="shared" si="20"/>
        <v>0</v>
      </c>
      <c r="AN263" s="8">
        <f t="shared" si="20"/>
        <v>0</v>
      </c>
      <c r="AO263" s="139">
        <f t="shared" si="20"/>
        <v>-2.75</v>
      </c>
      <c r="AP263" s="139">
        <f t="shared" si="20"/>
        <v>-1.8500000000000014</v>
      </c>
      <c r="AQ263" s="139">
        <f t="shared" si="20"/>
        <v>0.75</v>
      </c>
      <c r="AR263" s="8">
        <f t="shared" si="20"/>
        <v>-4.0000000000000008E-2</v>
      </c>
      <c r="AS263" s="139">
        <f t="shared" si="20"/>
        <v>6.5</v>
      </c>
      <c r="AT263" s="200" t="s">
        <v>222</v>
      </c>
      <c r="AU263" s="200" t="s">
        <v>222</v>
      </c>
      <c r="AV263" s="200" t="s">
        <v>222</v>
      </c>
      <c r="AW263" s="200" t="s">
        <v>222</v>
      </c>
      <c r="AX263" s="200" t="s">
        <v>222</v>
      </c>
      <c r="AY263" s="133">
        <v>21</v>
      </c>
      <c r="AZ263" s="312">
        <f t="shared" si="17"/>
        <v>29</v>
      </c>
      <c r="BA263" s="155">
        <f t="shared" si="17"/>
        <v>255</v>
      </c>
      <c r="BB263" s="440" t="s">
        <v>624</v>
      </c>
      <c r="BC263" s="23" t="s">
        <v>458</v>
      </c>
      <c r="BD263" s="23"/>
    </row>
    <row r="264" spans="2:56" ht="15.5">
      <c r="B264" s="141">
        <v>11</v>
      </c>
      <c r="C264" s="156">
        <v>46279</v>
      </c>
      <c r="D264" s="302">
        <v>46280</v>
      </c>
      <c r="E264" s="133">
        <v>33</v>
      </c>
      <c r="F264" s="155">
        <v>262</v>
      </c>
      <c r="G264" s="138">
        <v>3.2000000000000001E-2</v>
      </c>
      <c r="H264" s="8">
        <v>0.34</v>
      </c>
      <c r="I264" s="8">
        <v>0.39</v>
      </c>
      <c r="J264" s="139">
        <v>39</v>
      </c>
      <c r="K264" s="139">
        <v>28.664999999999999</v>
      </c>
      <c r="L264" s="139">
        <v>73.5</v>
      </c>
      <c r="M264" s="8">
        <v>0.25</v>
      </c>
      <c r="N264" s="140">
        <v>74.5</v>
      </c>
      <c r="O264" s="306"/>
      <c r="P264" s="140"/>
      <c r="Q264" s="140"/>
      <c r="R264" s="140"/>
      <c r="S264" s="140"/>
      <c r="T264" s="140"/>
      <c r="U264" s="140"/>
      <c r="V264" s="140"/>
      <c r="W264" s="140"/>
      <c r="X264" s="141"/>
      <c r="Y264" s="141"/>
      <c r="Z264" s="312">
        <v>29</v>
      </c>
      <c r="AA264" s="155">
        <v>256</v>
      </c>
      <c r="AB264" s="28">
        <v>3.2000000000000001E-2</v>
      </c>
      <c r="AC264" s="30">
        <v>0.34</v>
      </c>
      <c r="AD264" s="30">
        <v>0.39</v>
      </c>
      <c r="AE264" s="385">
        <v>37</v>
      </c>
      <c r="AF264" s="385">
        <v>27.75</v>
      </c>
      <c r="AG264" s="385">
        <v>75</v>
      </c>
      <c r="AH264" s="23">
        <v>0.21</v>
      </c>
      <c r="AI264" s="140">
        <v>73</v>
      </c>
      <c r="AJ264" s="141"/>
      <c r="AK264" s="141"/>
      <c r="AL264" s="138">
        <f t="shared" si="21"/>
        <v>0</v>
      </c>
      <c r="AM264" s="8">
        <f t="shared" si="20"/>
        <v>0</v>
      </c>
      <c r="AN264" s="8">
        <f t="shared" si="20"/>
        <v>0</v>
      </c>
      <c r="AO264" s="139">
        <f t="shared" si="20"/>
        <v>-2</v>
      </c>
      <c r="AP264" s="139">
        <f t="shared" si="20"/>
        <v>-0.91499999999999915</v>
      </c>
      <c r="AQ264" s="139">
        <f t="shared" si="20"/>
        <v>1.5</v>
      </c>
      <c r="AR264" s="8">
        <f t="shared" si="20"/>
        <v>-4.0000000000000008E-2</v>
      </c>
      <c r="AS264" s="139">
        <f t="shared" si="20"/>
        <v>-1.5</v>
      </c>
      <c r="AT264" s="200" t="s">
        <v>222</v>
      </c>
      <c r="AU264" s="200" t="s">
        <v>222</v>
      </c>
      <c r="AV264" s="200" t="s">
        <v>222</v>
      </c>
      <c r="AW264" s="200" t="s">
        <v>222</v>
      </c>
      <c r="AX264" s="200" t="s">
        <v>222</v>
      </c>
      <c r="AY264" s="133">
        <v>21</v>
      </c>
      <c r="AZ264" s="312">
        <f t="shared" si="17"/>
        <v>29</v>
      </c>
      <c r="BA264" s="155">
        <f t="shared" si="17"/>
        <v>256</v>
      </c>
      <c r="BB264" s="440" t="s">
        <v>624</v>
      </c>
      <c r="BC264" s="23" t="s">
        <v>458</v>
      </c>
      <c r="BD264" s="23"/>
    </row>
    <row r="265" spans="2:56" ht="15.5">
      <c r="B265" s="141">
        <v>11</v>
      </c>
      <c r="C265" s="156">
        <v>46279</v>
      </c>
      <c r="D265" s="302">
        <v>46280</v>
      </c>
      <c r="E265" s="133">
        <v>33</v>
      </c>
      <c r="F265" s="155">
        <v>263</v>
      </c>
      <c r="G265" s="138">
        <v>5.1750000000000004E-2</v>
      </c>
      <c r="H265" s="8">
        <v>0.33500000000000002</v>
      </c>
      <c r="I265" s="8">
        <v>0.41</v>
      </c>
      <c r="J265" s="139">
        <v>41.25</v>
      </c>
      <c r="K265" s="139">
        <v>30.524999999999999</v>
      </c>
      <c r="L265" s="139">
        <v>74</v>
      </c>
      <c r="M265" s="8">
        <v>0.25</v>
      </c>
      <c r="N265" s="140">
        <v>74.5</v>
      </c>
      <c r="O265" s="306"/>
      <c r="P265" s="140"/>
      <c r="Q265" s="140"/>
      <c r="R265" s="140"/>
      <c r="S265" s="140"/>
      <c r="T265" s="140"/>
      <c r="U265" s="140"/>
      <c r="V265" s="140"/>
      <c r="W265" s="140"/>
      <c r="X265" s="141"/>
      <c r="Y265" s="141"/>
      <c r="Z265" s="312">
        <v>29</v>
      </c>
      <c r="AA265" s="155">
        <v>257</v>
      </c>
      <c r="AB265" s="28">
        <v>5.1750000000000004E-2</v>
      </c>
      <c r="AC265" s="30">
        <v>0.33500000000000002</v>
      </c>
      <c r="AD265" s="30">
        <v>0.41</v>
      </c>
      <c r="AE265" s="385">
        <v>36.5</v>
      </c>
      <c r="AF265" s="385">
        <v>27.75</v>
      </c>
      <c r="AG265" s="385">
        <v>76.25</v>
      </c>
      <c r="AH265" s="23">
        <v>0.21</v>
      </c>
      <c r="AI265" s="140">
        <v>73</v>
      </c>
      <c r="AJ265" s="141"/>
      <c r="AK265" s="141"/>
      <c r="AL265" s="138">
        <f t="shared" si="21"/>
        <v>0</v>
      </c>
      <c r="AM265" s="8">
        <f t="shared" si="20"/>
        <v>0</v>
      </c>
      <c r="AN265" s="8">
        <f t="shared" si="20"/>
        <v>0</v>
      </c>
      <c r="AO265" s="139">
        <f t="shared" si="20"/>
        <v>-4.75</v>
      </c>
      <c r="AP265" s="139">
        <f t="shared" si="20"/>
        <v>-2.7749999999999986</v>
      </c>
      <c r="AQ265" s="139">
        <f t="shared" si="20"/>
        <v>2.25</v>
      </c>
      <c r="AR265" s="8">
        <f t="shared" si="20"/>
        <v>-4.0000000000000008E-2</v>
      </c>
      <c r="AS265" s="139">
        <f t="shared" si="20"/>
        <v>-1.5</v>
      </c>
      <c r="AT265" s="200" t="s">
        <v>222</v>
      </c>
      <c r="AU265" s="200" t="s">
        <v>222</v>
      </c>
      <c r="AV265" s="200" t="s">
        <v>222</v>
      </c>
      <c r="AW265" s="200" t="s">
        <v>222</v>
      </c>
      <c r="AX265" s="200" t="s">
        <v>222</v>
      </c>
      <c r="AY265" s="133">
        <v>21</v>
      </c>
      <c r="AZ265" s="312">
        <f t="shared" si="17"/>
        <v>29</v>
      </c>
      <c r="BA265" s="155">
        <f t="shared" si="17"/>
        <v>257</v>
      </c>
      <c r="BB265" s="440" t="s">
        <v>624</v>
      </c>
      <c r="BC265" s="23" t="s">
        <v>458</v>
      </c>
      <c r="BD265" s="23"/>
    </row>
    <row r="266" spans="2:56" ht="15.5">
      <c r="B266" s="141">
        <v>11</v>
      </c>
      <c r="C266" s="156">
        <v>46280</v>
      </c>
      <c r="D266" s="302">
        <v>46281</v>
      </c>
      <c r="E266" s="133">
        <v>33</v>
      </c>
      <c r="F266" s="155">
        <v>264</v>
      </c>
      <c r="G266" s="138">
        <v>6.1249999999999999E-2</v>
      </c>
      <c r="H266" s="8">
        <v>0.34250000000000003</v>
      </c>
      <c r="I266" s="8">
        <v>0.54</v>
      </c>
      <c r="J266" s="139">
        <v>39.5</v>
      </c>
      <c r="K266" s="139">
        <v>29.921250000000001</v>
      </c>
      <c r="L266" s="139">
        <v>75.75</v>
      </c>
      <c r="M266" s="8">
        <v>0.25</v>
      </c>
      <c r="N266" s="140">
        <v>74.5</v>
      </c>
      <c r="O266" s="306"/>
      <c r="P266" s="140"/>
      <c r="Q266" s="140"/>
      <c r="R266" s="140"/>
      <c r="S266" s="140"/>
      <c r="T266" s="140"/>
      <c r="U266" s="140"/>
      <c r="V266" s="140"/>
      <c r="W266" s="140"/>
      <c r="X266" s="141"/>
      <c r="Y266" s="141"/>
      <c r="Z266" s="312">
        <v>29</v>
      </c>
      <c r="AA266" s="155">
        <v>258</v>
      </c>
      <c r="AB266" s="28">
        <v>6.1249999999999999E-2</v>
      </c>
      <c r="AC266" s="30">
        <v>0.34250000000000003</v>
      </c>
      <c r="AD266" s="30">
        <v>0.54</v>
      </c>
      <c r="AE266" s="385">
        <v>35.25</v>
      </c>
      <c r="AF266" s="385">
        <v>26.5</v>
      </c>
      <c r="AG266" s="385">
        <v>75</v>
      </c>
      <c r="AH266" s="23">
        <v>0.21</v>
      </c>
      <c r="AI266" s="140">
        <v>73</v>
      </c>
      <c r="AJ266" s="141"/>
      <c r="AK266" s="141"/>
      <c r="AL266" s="138">
        <f t="shared" si="21"/>
        <v>0</v>
      </c>
      <c r="AM266" s="8">
        <f t="shared" si="20"/>
        <v>0</v>
      </c>
      <c r="AN266" s="8">
        <f t="shared" si="20"/>
        <v>0</v>
      </c>
      <c r="AO266" s="139">
        <f t="shared" si="20"/>
        <v>-4.25</v>
      </c>
      <c r="AP266" s="139">
        <f t="shared" si="20"/>
        <v>-3.4212500000000006</v>
      </c>
      <c r="AQ266" s="139">
        <f t="shared" si="20"/>
        <v>-0.75</v>
      </c>
      <c r="AR266" s="8">
        <f t="shared" si="20"/>
        <v>-4.0000000000000008E-2</v>
      </c>
      <c r="AS266" s="139">
        <f t="shared" si="20"/>
        <v>-1.5</v>
      </c>
      <c r="AT266" s="200" t="s">
        <v>222</v>
      </c>
      <c r="AU266" s="200" t="s">
        <v>222</v>
      </c>
      <c r="AV266" s="200" t="s">
        <v>222</v>
      </c>
      <c r="AW266" s="200" t="s">
        <v>222</v>
      </c>
      <c r="AX266" s="200" t="s">
        <v>222</v>
      </c>
      <c r="AY266" s="133">
        <v>21</v>
      </c>
      <c r="AZ266" s="312">
        <f t="shared" si="17"/>
        <v>29</v>
      </c>
      <c r="BA266" s="155">
        <f t="shared" si="17"/>
        <v>258</v>
      </c>
      <c r="BB266" s="440" t="s">
        <v>624</v>
      </c>
      <c r="BC266" s="23" t="s">
        <v>458</v>
      </c>
      <c r="BD266" s="23"/>
    </row>
    <row r="267" spans="2:56" ht="15.5">
      <c r="B267" s="141">
        <v>11</v>
      </c>
      <c r="C267" s="156">
        <v>46280</v>
      </c>
      <c r="D267" s="302">
        <v>46281</v>
      </c>
      <c r="E267" s="133">
        <v>34</v>
      </c>
      <c r="F267" s="155">
        <v>265</v>
      </c>
      <c r="G267" s="138">
        <v>6.5750000000000003E-2</v>
      </c>
      <c r="H267" s="8">
        <v>0.32250000000000001</v>
      </c>
      <c r="I267" s="8">
        <v>0.49</v>
      </c>
      <c r="J267" s="139">
        <v>38.5</v>
      </c>
      <c r="K267" s="139">
        <v>28.682500000000001</v>
      </c>
      <c r="L267" s="139">
        <v>74.5</v>
      </c>
      <c r="M267" s="8">
        <v>0.24</v>
      </c>
      <c r="N267" s="140">
        <v>71.5</v>
      </c>
      <c r="O267" s="306"/>
      <c r="P267" s="140"/>
      <c r="Q267" s="140"/>
      <c r="R267" s="140"/>
      <c r="S267" s="140"/>
      <c r="T267" s="140"/>
      <c r="U267" s="140"/>
      <c r="V267" s="140"/>
      <c r="W267" s="140"/>
      <c r="X267" s="141"/>
      <c r="Y267" s="141"/>
      <c r="Z267" s="312">
        <v>29</v>
      </c>
      <c r="AA267" s="155">
        <v>259</v>
      </c>
      <c r="AB267" s="28">
        <v>6.5750000000000003E-2</v>
      </c>
      <c r="AC267" s="30">
        <v>0.32250000000000001</v>
      </c>
      <c r="AD267" s="30">
        <v>0.49</v>
      </c>
      <c r="AE267" s="385">
        <v>37.25</v>
      </c>
      <c r="AF267" s="385">
        <v>28.25</v>
      </c>
      <c r="AG267" s="385">
        <v>76</v>
      </c>
      <c r="AH267" s="23">
        <v>0.21</v>
      </c>
      <c r="AI267" s="140">
        <v>73</v>
      </c>
      <c r="AJ267" s="141"/>
      <c r="AK267" s="141"/>
      <c r="AL267" s="138">
        <f t="shared" si="21"/>
        <v>0</v>
      </c>
      <c r="AM267" s="8">
        <f t="shared" si="20"/>
        <v>0</v>
      </c>
      <c r="AN267" s="8">
        <f t="shared" si="20"/>
        <v>0</v>
      </c>
      <c r="AO267" s="139">
        <f t="shared" si="20"/>
        <v>-1.25</v>
      </c>
      <c r="AP267" s="139">
        <f t="shared" si="20"/>
        <v>-0.43250000000000099</v>
      </c>
      <c r="AQ267" s="139">
        <f t="shared" si="20"/>
        <v>1.5</v>
      </c>
      <c r="AR267" s="8">
        <f t="shared" si="20"/>
        <v>-0.03</v>
      </c>
      <c r="AS267" s="139">
        <f t="shared" si="20"/>
        <v>1.5</v>
      </c>
      <c r="AT267" s="200" t="s">
        <v>222</v>
      </c>
      <c r="AU267" s="200" t="s">
        <v>222</v>
      </c>
      <c r="AV267" s="200" t="s">
        <v>222</v>
      </c>
      <c r="AW267" s="200" t="s">
        <v>222</v>
      </c>
      <c r="AX267" s="200" t="s">
        <v>222</v>
      </c>
      <c r="AY267" s="133">
        <v>21</v>
      </c>
      <c r="AZ267" s="312">
        <f t="shared" si="17"/>
        <v>29</v>
      </c>
      <c r="BA267" s="155">
        <f t="shared" si="17"/>
        <v>259</v>
      </c>
      <c r="BB267" s="440" t="s">
        <v>624</v>
      </c>
      <c r="BC267" s="23" t="s">
        <v>458</v>
      </c>
      <c r="BD267" s="23"/>
    </row>
    <row r="268" spans="2:56" ht="15.5">
      <c r="B268" s="141">
        <v>11</v>
      </c>
      <c r="C268" s="156">
        <v>46280</v>
      </c>
      <c r="D268" s="302">
        <v>46281</v>
      </c>
      <c r="E268" s="133">
        <v>34</v>
      </c>
      <c r="F268" s="155">
        <v>266</v>
      </c>
      <c r="G268" s="138">
        <v>7.0250000000000007E-2</v>
      </c>
      <c r="H268" s="8">
        <v>0.36250000000000004</v>
      </c>
      <c r="I268" s="8">
        <v>0.44</v>
      </c>
      <c r="J268" s="139">
        <v>35.75</v>
      </c>
      <c r="K268" s="139">
        <v>27.974374999999998</v>
      </c>
      <c r="L268" s="139">
        <v>78.25</v>
      </c>
      <c r="M268" s="8">
        <v>0.24</v>
      </c>
      <c r="N268" s="140">
        <v>71.5</v>
      </c>
      <c r="O268" s="306"/>
      <c r="P268" s="140"/>
      <c r="Q268" s="140"/>
      <c r="R268" s="140"/>
      <c r="S268" s="140"/>
      <c r="T268" s="140"/>
      <c r="U268" s="140"/>
      <c r="V268" s="140"/>
      <c r="W268" s="140"/>
      <c r="X268" s="141"/>
      <c r="Y268" s="141"/>
      <c r="Z268" s="312">
        <v>30</v>
      </c>
      <c r="AA268" s="155">
        <v>260</v>
      </c>
      <c r="AB268" s="28">
        <v>7.0250000000000007E-2</v>
      </c>
      <c r="AC268" s="30">
        <v>0.36250000000000004</v>
      </c>
      <c r="AD268" s="30">
        <v>0.44</v>
      </c>
      <c r="AE268" s="385">
        <v>35.75</v>
      </c>
      <c r="AF268" s="385">
        <v>26.5</v>
      </c>
      <c r="AG268" s="385">
        <v>74</v>
      </c>
      <c r="AH268" s="23">
        <v>0.24</v>
      </c>
      <c r="AI268" s="140">
        <v>71</v>
      </c>
      <c r="AJ268" s="141"/>
      <c r="AK268" s="141"/>
      <c r="AL268" s="138">
        <f t="shared" si="21"/>
        <v>0</v>
      </c>
      <c r="AM268" s="8">
        <f t="shared" si="20"/>
        <v>0</v>
      </c>
      <c r="AN268" s="8">
        <f t="shared" si="20"/>
        <v>0</v>
      </c>
      <c r="AO268" s="139">
        <f t="shared" si="20"/>
        <v>0</v>
      </c>
      <c r="AP268" s="139">
        <f t="shared" si="20"/>
        <v>-1.4743749999999984</v>
      </c>
      <c r="AQ268" s="139">
        <f t="shared" si="20"/>
        <v>-4.25</v>
      </c>
      <c r="AR268" s="8">
        <f t="shared" si="20"/>
        <v>0</v>
      </c>
      <c r="AS268" s="139">
        <f t="shared" si="20"/>
        <v>-0.5</v>
      </c>
      <c r="AT268" s="200" t="s">
        <v>222</v>
      </c>
      <c r="AU268" s="200" t="s">
        <v>222</v>
      </c>
      <c r="AV268" s="200" t="s">
        <v>222</v>
      </c>
      <c r="AW268" s="200" t="s">
        <v>222</v>
      </c>
      <c r="AX268" s="200" t="s">
        <v>222</v>
      </c>
      <c r="AY268" s="133">
        <v>21</v>
      </c>
      <c r="AZ268" s="312">
        <f t="shared" si="17"/>
        <v>30</v>
      </c>
      <c r="BA268" s="155">
        <f t="shared" si="17"/>
        <v>260</v>
      </c>
      <c r="BB268" s="440" t="s">
        <v>624</v>
      </c>
      <c r="BC268" s="23" t="s">
        <v>458</v>
      </c>
      <c r="BD268" s="23"/>
    </row>
    <row r="269" spans="2:56" ht="15.5">
      <c r="B269" s="141">
        <v>11</v>
      </c>
      <c r="C269" s="156">
        <v>46280</v>
      </c>
      <c r="D269" s="302">
        <v>46281</v>
      </c>
      <c r="E269" s="133">
        <v>34</v>
      </c>
      <c r="F269" s="155">
        <v>267</v>
      </c>
      <c r="G269" s="138">
        <v>4.7500000000000001E-2</v>
      </c>
      <c r="H269" s="8">
        <v>0.36249999999999993</v>
      </c>
      <c r="I269" s="8">
        <v>0.43</v>
      </c>
      <c r="J269" s="139">
        <v>35.75</v>
      </c>
      <c r="K269" s="139">
        <v>28.510625000000001</v>
      </c>
      <c r="L269" s="139">
        <v>79.75</v>
      </c>
      <c r="M269" s="8">
        <v>0.24</v>
      </c>
      <c r="N269" s="140">
        <v>71.5</v>
      </c>
      <c r="O269" s="306"/>
      <c r="P269" s="140"/>
      <c r="Q269" s="140"/>
      <c r="R269" s="140"/>
      <c r="S269" s="140"/>
      <c r="T269" s="140"/>
      <c r="U269" s="140"/>
      <c r="V269" s="140"/>
      <c r="W269" s="140"/>
      <c r="X269" s="141"/>
      <c r="Y269" s="141"/>
      <c r="Z269" s="312">
        <v>30</v>
      </c>
      <c r="AA269" s="155">
        <v>261</v>
      </c>
      <c r="AB269" s="28">
        <v>4.7500000000000001E-2</v>
      </c>
      <c r="AC269" s="30">
        <v>0.36249999999999993</v>
      </c>
      <c r="AD269" s="30">
        <v>0.43</v>
      </c>
      <c r="AE269" s="385">
        <v>35.5</v>
      </c>
      <c r="AF269" s="385">
        <v>27</v>
      </c>
      <c r="AG269" s="385">
        <v>76</v>
      </c>
      <c r="AH269" s="23">
        <v>0.24</v>
      </c>
      <c r="AI269" s="140">
        <v>71</v>
      </c>
      <c r="AJ269" s="141"/>
      <c r="AK269" s="141"/>
      <c r="AL269" s="138">
        <f t="shared" si="21"/>
        <v>0</v>
      </c>
      <c r="AM269" s="8">
        <f t="shared" si="20"/>
        <v>0</v>
      </c>
      <c r="AN269" s="8">
        <f t="shared" si="20"/>
        <v>0</v>
      </c>
      <c r="AO269" s="139">
        <f t="shared" si="20"/>
        <v>-0.25</v>
      </c>
      <c r="AP269" s="139">
        <f t="shared" si="20"/>
        <v>-1.510625000000001</v>
      </c>
      <c r="AQ269" s="139">
        <f t="shared" si="20"/>
        <v>-3.75</v>
      </c>
      <c r="AR269" s="8">
        <f t="shared" si="20"/>
        <v>0</v>
      </c>
      <c r="AS269" s="139">
        <f t="shared" si="20"/>
        <v>-0.5</v>
      </c>
      <c r="AT269" s="200" t="s">
        <v>222</v>
      </c>
      <c r="AU269" s="200" t="s">
        <v>222</v>
      </c>
      <c r="AV269" s="200" t="s">
        <v>222</v>
      </c>
      <c r="AW269" s="200" t="s">
        <v>222</v>
      </c>
      <c r="AX269" s="200" t="s">
        <v>222</v>
      </c>
      <c r="AY269" s="133">
        <v>21</v>
      </c>
      <c r="AZ269" s="312">
        <f t="shared" si="17"/>
        <v>30</v>
      </c>
      <c r="BA269" s="155">
        <f t="shared" si="17"/>
        <v>261</v>
      </c>
      <c r="BB269" s="440" t="s">
        <v>624</v>
      </c>
      <c r="BC269" s="23" t="s">
        <v>458</v>
      </c>
      <c r="BD269" s="23"/>
    </row>
    <row r="270" spans="2:56" ht="15.5">
      <c r="B270" s="141">
        <v>11</v>
      </c>
      <c r="C270" s="156">
        <v>46280</v>
      </c>
      <c r="D270" s="302">
        <v>46281</v>
      </c>
      <c r="E270" s="133">
        <v>34</v>
      </c>
      <c r="F270" s="155">
        <v>268</v>
      </c>
      <c r="G270" s="138">
        <v>4.4499999999999998E-2</v>
      </c>
      <c r="H270" s="8">
        <v>0.33250000000000002</v>
      </c>
      <c r="I270" s="8">
        <v>0.33</v>
      </c>
      <c r="J270" s="139">
        <v>36.5</v>
      </c>
      <c r="K270" s="139">
        <v>28.37875</v>
      </c>
      <c r="L270" s="139">
        <v>77.75</v>
      </c>
      <c r="M270" s="8">
        <v>0.24</v>
      </c>
      <c r="N270" s="140">
        <v>71.5</v>
      </c>
      <c r="O270" s="306"/>
      <c r="P270" s="140"/>
      <c r="Q270" s="140"/>
      <c r="R270" s="140"/>
      <c r="S270" s="140"/>
      <c r="T270" s="140"/>
      <c r="U270" s="140"/>
      <c r="V270" s="140"/>
      <c r="W270" s="140"/>
      <c r="X270" s="141"/>
      <c r="Y270" s="141"/>
      <c r="Z270" s="312">
        <v>30</v>
      </c>
      <c r="AA270" s="155">
        <v>262</v>
      </c>
      <c r="AB270" s="28">
        <v>4.4499999999999998E-2</v>
      </c>
      <c r="AC270" s="30">
        <v>0.33250000000000002</v>
      </c>
      <c r="AD270" s="30">
        <v>0.33</v>
      </c>
      <c r="AE270" s="385">
        <v>36.75</v>
      </c>
      <c r="AF270" s="385">
        <v>27.75</v>
      </c>
      <c r="AG270" s="385">
        <v>75.75</v>
      </c>
      <c r="AH270" s="23">
        <v>0.24</v>
      </c>
      <c r="AI270" s="140">
        <v>71</v>
      </c>
      <c r="AJ270" s="141"/>
      <c r="AK270" s="141"/>
      <c r="AL270" s="138">
        <f t="shared" si="21"/>
        <v>0</v>
      </c>
      <c r="AM270" s="8">
        <f t="shared" si="20"/>
        <v>0</v>
      </c>
      <c r="AN270" s="8">
        <f t="shared" si="20"/>
        <v>0</v>
      </c>
      <c r="AO270" s="139">
        <f t="shared" si="20"/>
        <v>0.25</v>
      </c>
      <c r="AP270" s="139">
        <f t="shared" si="20"/>
        <v>-0.62875000000000014</v>
      </c>
      <c r="AQ270" s="139">
        <f t="shared" si="20"/>
        <v>-2</v>
      </c>
      <c r="AR270" s="8">
        <f t="shared" si="20"/>
        <v>0</v>
      </c>
      <c r="AS270" s="139">
        <f t="shared" si="20"/>
        <v>-0.5</v>
      </c>
      <c r="AT270" s="200" t="s">
        <v>222</v>
      </c>
      <c r="AU270" s="200" t="s">
        <v>222</v>
      </c>
      <c r="AV270" s="200" t="s">
        <v>222</v>
      </c>
      <c r="AW270" s="200" t="s">
        <v>222</v>
      </c>
      <c r="AX270" s="200" t="s">
        <v>222</v>
      </c>
      <c r="AY270" s="133">
        <v>21</v>
      </c>
      <c r="AZ270" s="312">
        <f t="shared" si="17"/>
        <v>30</v>
      </c>
      <c r="BA270" s="155">
        <f t="shared" si="17"/>
        <v>262</v>
      </c>
      <c r="BB270" s="440" t="s">
        <v>624</v>
      </c>
      <c r="BC270" s="23" t="s">
        <v>458</v>
      </c>
      <c r="BD270" s="23"/>
    </row>
    <row r="271" spans="2:56" ht="15.5">
      <c r="B271" s="141">
        <v>11</v>
      </c>
      <c r="C271" s="156">
        <v>46280</v>
      </c>
      <c r="D271" s="302">
        <v>46281</v>
      </c>
      <c r="E271" s="133">
        <v>34</v>
      </c>
      <c r="F271" s="155">
        <v>269</v>
      </c>
      <c r="G271" s="138">
        <v>5.2999999999999999E-2</v>
      </c>
      <c r="H271" s="8">
        <v>0.33500000000000002</v>
      </c>
      <c r="I271" s="8">
        <v>0.25</v>
      </c>
      <c r="J271" s="139">
        <v>37.75</v>
      </c>
      <c r="K271" s="139">
        <v>29.728124999999999</v>
      </c>
      <c r="L271" s="139">
        <v>78.75</v>
      </c>
      <c r="M271" s="8">
        <v>0.24</v>
      </c>
      <c r="N271" s="140">
        <v>72</v>
      </c>
      <c r="O271" s="306"/>
      <c r="P271" s="140"/>
      <c r="Q271" s="140"/>
      <c r="R271" s="140"/>
      <c r="S271" s="140"/>
      <c r="T271" s="140"/>
      <c r="U271" s="140"/>
      <c r="V271" s="140"/>
      <c r="W271" s="140"/>
      <c r="X271" s="141"/>
      <c r="Y271" s="141"/>
      <c r="Z271" s="312">
        <v>30</v>
      </c>
      <c r="AA271" s="155">
        <v>263</v>
      </c>
      <c r="AB271" s="28">
        <v>5.2999999999999999E-2</v>
      </c>
      <c r="AC271" s="30">
        <v>0.33500000000000002</v>
      </c>
      <c r="AD271" s="30">
        <v>0.25</v>
      </c>
      <c r="AE271" s="385">
        <v>36.25</v>
      </c>
      <c r="AF271" s="385">
        <v>27.25</v>
      </c>
      <c r="AG271" s="385">
        <v>75.25</v>
      </c>
      <c r="AH271" s="23">
        <v>0.24</v>
      </c>
      <c r="AI271" s="140">
        <v>71</v>
      </c>
      <c r="AJ271" s="141"/>
      <c r="AK271" s="141"/>
      <c r="AL271" s="138">
        <f t="shared" si="21"/>
        <v>0</v>
      </c>
      <c r="AM271" s="8">
        <f t="shared" si="20"/>
        <v>0</v>
      </c>
      <c r="AN271" s="8">
        <f t="shared" si="20"/>
        <v>0</v>
      </c>
      <c r="AO271" s="139">
        <f t="shared" si="20"/>
        <v>-1.5</v>
      </c>
      <c r="AP271" s="139">
        <f t="shared" si="20"/>
        <v>-2.4781249999999986</v>
      </c>
      <c r="AQ271" s="139">
        <f t="shared" si="20"/>
        <v>-3.5</v>
      </c>
      <c r="AR271" s="8">
        <f t="shared" si="20"/>
        <v>0</v>
      </c>
      <c r="AS271" s="139">
        <f t="shared" si="20"/>
        <v>-1</v>
      </c>
      <c r="AT271" s="200" t="s">
        <v>222</v>
      </c>
      <c r="AU271" s="200" t="s">
        <v>222</v>
      </c>
      <c r="AV271" s="200" t="s">
        <v>222</v>
      </c>
      <c r="AW271" s="200" t="s">
        <v>222</v>
      </c>
      <c r="AX271" s="200" t="s">
        <v>222</v>
      </c>
      <c r="AY271" s="133">
        <v>21</v>
      </c>
      <c r="AZ271" s="312">
        <f t="shared" si="17"/>
        <v>30</v>
      </c>
      <c r="BA271" s="155">
        <f t="shared" si="17"/>
        <v>263</v>
      </c>
      <c r="BB271" s="440" t="s">
        <v>624</v>
      </c>
      <c r="BC271" s="23" t="s">
        <v>458</v>
      </c>
      <c r="BD271" s="23"/>
    </row>
    <row r="272" spans="2:56" ht="15.5">
      <c r="B272" s="141">
        <v>11</v>
      </c>
      <c r="C272" s="156">
        <v>46280</v>
      </c>
      <c r="D272" s="302">
        <v>46281</v>
      </c>
      <c r="E272" s="133">
        <v>34</v>
      </c>
      <c r="F272" s="155">
        <v>270</v>
      </c>
      <c r="G272" s="138">
        <v>4.675E-2</v>
      </c>
      <c r="H272" s="8">
        <v>0.34250000000000003</v>
      </c>
      <c r="I272" s="8">
        <v>0.3</v>
      </c>
      <c r="J272" s="139">
        <v>34.75</v>
      </c>
      <c r="K272" s="139">
        <v>27.018125000000001</v>
      </c>
      <c r="L272" s="139">
        <v>77.75</v>
      </c>
      <c r="M272" s="8">
        <v>0.24</v>
      </c>
      <c r="N272" s="140">
        <v>72</v>
      </c>
      <c r="O272" s="306"/>
      <c r="P272" s="140"/>
      <c r="Q272" s="140"/>
      <c r="R272" s="140"/>
      <c r="S272" s="140"/>
      <c r="T272" s="140"/>
      <c r="U272" s="140"/>
      <c r="V272" s="140"/>
      <c r="W272" s="140"/>
      <c r="X272" s="141"/>
      <c r="Y272" s="141"/>
      <c r="Z272" s="312">
        <v>30</v>
      </c>
      <c r="AA272" s="155">
        <v>264</v>
      </c>
      <c r="AB272" s="28">
        <v>4.675E-2</v>
      </c>
      <c r="AC272" s="30">
        <v>0.34250000000000003</v>
      </c>
      <c r="AD272" s="30">
        <v>0.3</v>
      </c>
      <c r="AE272" s="385">
        <v>35.25</v>
      </c>
      <c r="AF272" s="385">
        <v>26.75</v>
      </c>
      <c r="AG272" s="385">
        <v>75.75</v>
      </c>
      <c r="AH272" s="23">
        <v>0.24</v>
      </c>
      <c r="AI272" s="140">
        <v>72</v>
      </c>
      <c r="AJ272" s="141"/>
      <c r="AK272" s="141"/>
      <c r="AL272" s="138">
        <f t="shared" si="21"/>
        <v>0</v>
      </c>
      <c r="AM272" s="8">
        <f t="shared" si="20"/>
        <v>0</v>
      </c>
      <c r="AN272" s="8">
        <f t="shared" si="20"/>
        <v>0</v>
      </c>
      <c r="AO272" s="139">
        <f t="shared" si="20"/>
        <v>0.5</v>
      </c>
      <c r="AP272" s="139">
        <f t="shared" si="20"/>
        <v>-0.26812500000000128</v>
      </c>
      <c r="AQ272" s="139">
        <f t="shared" si="20"/>
        <v>-2</v>
      </c>
      <c r="AR272" s="8">
        <f t="shared" si="20"/>
        <v>0</v>
      </c>
      <c r="AS272" s="139">
        <f t="shared" si="20"/>
        <v>0</v>
      </c>
      <c r="AT272" s="200" t="s">
        <v>222</v>
      </c>
      <c r="AU272" s="200" t="s">
        <v>222</v>
      </c>
      <c r="AV272" s="200" t="s">
        <v>222</v>
      </c>
      <c r="AW272" s="200" t="s">
        <v>222</v>
      </c>
      <c r="AX272" s="200" t="s">
        <v>222</v>
      </c>
      <c r="AY272" s="133">
        <v>21</v>
      </c>
      <c r="AZ272" s="312">
        <f t="shared" si="17"/>
        <v>30</v>
      </c>
      <c r="BA272" s="155">
        <f t="shared" si="17"/>
        <v>264</v>
      </c>
      <c r="BB272" s="440" t="s">
        <v>624</v>
      </c>
      <c r="BC272" s="23" t="s">
        <v>458</v>
      </c>
      <c r="BD272" s="23"/>
    </row>
    <row r="273" spans="2:56" ht="15.5">
      <c r="B273" s="141">
        <v>11</v>
      </c>
      <c r="C273" s="156">
        <v>46280</v>
      </c>
      <c r="D273" s="302">
        <v>46281</v>
      </c>
      <c r="E273" s="133">
        <v>34</v>
      </c>
      <c r="F273" s="155">
        <v>271</v>
      </c>
      <c r="G273" s="138">
        <v>2.9499999999999998E-2</v>
      </c>
      <c r="H273" s="8">
        <v>0.375</v>
      </c>
      <c r="I273" s="8">
        <v>0.26</v>
      </c>
      <c r="J273" s="139">
        <v>33.75</v>
      </c>
      <c r="K273" s="139">
        <v>26.493749999999999</v>
      </c>
      <c r="L273" s="139">
        <v>78.5</v>
      </c>
      <c r="M273" s="8">
        <v>0.24</v>
      </c>
      <c r="N273" s="140">
        <v>72</v>
      </c>
      <c r="O273" s="306"/>
      <c r="P273" s="140"/>
      <c r="Q273" s="140"/>
      <c r="R273" s="140"/>
      <c r="S273" s="140"/>
      <c r="T273" s="140"/>
      <c r="U273" s="140"/>
      <c r="V273" s="140"/>
      <c r="W273" s="140"/>
      <c r="X273" s="141"/>
      <c r="Y273" s="141"/>
      <c r="Z273" s="312">
        <v>30</v>
      </c>
      <c r="AA273" s="155">
        <v>265</v>
      </c>
      <c r="AB273" s="28">
        <v>2.9499999999999998E-2</v>
      </c>
      <c r="AC273" s="30">
        <v>0.375</v>
      </c>
      <c r="AD273" s="30">
        <v>0.26</v>
      </c>
      <c r="AE273" s="385">
        <v>33.75</v>
      </c>
      <c r="AF273" s="385">
        <v>25.5</v>
      </c>
      <c r="AG273" s="385">
        <v>75.5</v>
      </c>
      <c r="AH273" s="23">
        <v>0.24</v>
      </c>
      <c r="AI273" s="140">
        <v>72</v>
      </c>
      <c r="AJ273" s="141"/>
      <c r="AK273" s="141"/>
      <c r="AL273" s="138">
        <f t="shared" si="21"/>
        <v>0</v>
      </c>
      <c r="AM273" s="8">
        <f t="shared" si="20"/>
        <v>0</v>
      </c>
      <c r="AN273" s="8">
        <f t="shared" si="20"/>
        <v>0</v>
      </c>
      <c r="AO273" s="139">
        <f t="shared" si="20"/>
        <v>0</v>
      </c>
      <c r="AP273" s="139">
        <f t="shared" si="20"/>
        <v>-0.99374999999999858</v>
      </c>
      <c r="AQ273" s="139">
        <f t="shared" si="20"/>
        <v>-3</v>
      </c>
      <c r="AR273" s="8">
        <f t="shared" si="20"/>
        <v>0</v>
      </c>
      <c r="AS273" s="139">
        <f t="shared" si="20"/>
        <v>0</v>
      </c>
      <c r="AT273" s="200" t="s">
        <v>222</v>
      </c>
      <c r="AU273" s="200" t="s">
        <v>222</v>
      </c>
      <c r="AV273" s="200" t="s">
        <v>222</v>
      </c>
      <c r="AW273" s="200" t="s">
        <v>222</v>
      </c>
      <c r="AX273" s="200" t="s">
        <v>222</v>
      </c>
      <c r="AY273" s="133">
        <v>21</v>
      </c>
      <c r="AZ273" s="312">
        <f t="shared" si="17"/>
        <v>30</v>
      </c>
      <c r="BA273" s="155">
        <f t="shared" si="17"/>
        <v>265</v>
      </c>
      <c r="BB273" s="440" t="s">
        <v>624</v>
      </c>
      <c r="BC273" s="23" t="s">
        <v>458</v>
      </c>
      <c r="BD273" s="23"/>
    </row>
    <row r="274" spans="2:56" ht="15.5">
      <c r="B274" s="141">
        <v>11</v>
      </c>
      <c r="C274" s="156">
        <v>46280</v>
      </c>
      <c r="D274" s="302">
        <v>46281</v>
      </c>
      <c r="E274" s="133">
        <v>34</v>
      </c>
      <c r="F274" s="155">
        <v>272</v>
      </c>
      <c r="G274" s="138">
        <v>5.2249999999999998E-2</v>
      </c>
      <c r="H274" s="8">
        <v>0.35750000000000004</v>
      </c>
      <c r="I274" s="8">
        <v>0.31</v>
      </c>
      <c r="J274" s="139">
        <v>36.25</v>
      </c>
      <c r="K274" s="139">
        <v>28.003125000000001</v>
      </c>
      <c r="L274" s="139">
        <v>77.25</v>
      </c>
      <c r="M274" s="8">
        <v>0.24</v>
      </c>
      <c r="N274" s="140">
        <v>72</v>
      </c>
      <c r="O274" s="306"/>
      <c r="P274" s="140"/>
      <c r="Q274" s="140"/>
      <c r="R274" s="140"/>
      <c r="S274" s="140"/>
      <c r="T274" s="140"/>
      <c r="U274" s="140"/>
      <c r="V274" s="140"/>
      <c r="W274" s="140"/>
      <c r="X274" s="141"/>
      <c r="Y274" s="141"/>
      <c r="Z274" s="312">
        <v>30</v>
      </c>
      <c r="AA274" s="155">
        <v>266</v>
      </c>
      <c r="AB274" s="28">
        <v>5.2249999999999998E-2</v>
      </c>
      <c r="AC274" s="30">
        <v>0.35750000000000004</v>
      </c>
      <c r="AD274" s="30">
        <v>0.31</v>
      </c>
      <c r="AE274" s="385">
        <v>35</v>
      </c>
      <c r="AF274" s="385">
        <v>26.5</v>
      </c>
      <c r="AG274" s="385">
        <v>75.5</v>
      </c>
      <c r="AH274" s="23">
        <v>0.24</v>
      </c>
      <c r="AI274" s="140">
        <v>72</v>
      </c>
      <c r="AJ274" s="141"/>
      <c r="AK274" s="141"/>
      <c r="AL274" s="138">
        <f t="shared" si="21"/>
        <v>0</v>
      </c>
      <c r="AM274" s="8">
        <f t="shared" si="20"/>
        <v>0</v>
      </c>
      <c r="AN274" s="8">
        <f t="shared" si="20"/>
        <v>0</v>
      </c>
      <c r="AO274" s="139">
        <f t="shared" si="20"/>
        <v>-1.25</v>
      </c>
      <c r="AP274" s="139">
        <f t="shared" si="20"/>
        <v>-1.5031250000000007</v>
      </c>
      <c r="AQ274" s="139">
        <f t="shared" si="20"/>
        <v>-1.75</v>
      </c>
      <c r="AR274" s="8">
        <f t="shared" si="20"/>
        <v>0</v>
      </c>
      <c r="AS274" s="139">
        <f t="shared" si="20"/>
        <v>0</v>
      </c>
      <c r="AT274" s="200" t="s">
        <v>222</v>
      </c>
      <c r="AU274" s="200" t="s">
        <v>222</v>
      </c>
      <c r="AV274" s="200" t="s">
        <v>222</v>
      </c>
      <c r="AW274" s="200" t="s">
        <v>222</v>
      </c>
      <c r="AX274" s="200" t="s">
        <v>222</v>
      </c>
      <c r="AY274" s="133">
        <v>21</v>
      </c>
      <c r="AZ274" s="312">
        <f t="shared" si="17"/>
        <v>30</v>
      </c>
      <c r="BA274" s="155">
        <f t="shared" si="17"/>
        <v>266</v>
      </c>
      <c r="BB274" s="440" t="s">
        <v>624</v>
      </c>
      <c r="BC274" s="23" t="s">
        <v>458</v>
      </c>
      <c r="BD274" s="23"/>
    </row>
    <row r="275" spans="2:56" ht="15.5">
      <c r="B275" s="141">
        <v>11</v>
      </c>
      <c r="C275" s="156">
        <v>46281</v>
      </c>
      <c r="D275" s="302">
        <v>46282</v>
      </c>
      <c r="E275" s="133">
        <v>35</v>
      </c>
      <c r="F275" s="155">
        <v>279</v>
      </c>
      <c r="G275" s="138">
        <v>8.0750000000000002E-2</v>
      </c>
      <c r="H275" s="8">
        <v>0.32250000000000001</v>
      </c>
      <c r="I275" s="8">
        <v>0.27</v>
      </c>
      <c r="J275" s="139">
        <v>38.25</v>
      </c>
      <c r="K275" s="139">
        <v>30.313124999999999</v>
      </c>
      <c r="L275" s="139">
        <v>79.25</v>
      </c>
      <c r="M275" s="8">
        <v>0.22</v>
      </c>
      <c r="N275" s="140">
        <v>74.5</v>
      </c>
      <c r="O275" s="306"/>
      <c r="P275" s="140"/>
      <c r="Q275" s="140"/>
      <c r="R275" s="140"/>
      <c r="S275" s="140"/>
      <c r="T275" s="140"/>
      <c r="U275" s="140"/>
      <c r="V275" s="140"/>
      <c r="W275" s="140"/>
      <c r="X275" s="141"/>
      <c r="Y275" s="141"/>
      <c r="Z275" s="312">
        <v>30</v>
      </c>
      <c r="AA275" s="155">
        <v>267</v>
      </c>
      <c r="AB275" s="28">
        <v>8.0750000000000002E-2</v>
      </c>
      <c r="AC275" s="30">
        <v>0.32250000000000001</v>
      </c>
      <c r="AD275" s="30">
        <v>0.27</v>
      </c>
      <c r="AE275" s="385">
        <v>37.5</v>
      </c>
      <c r="AF275" s="385">
        <v>28.75</v>
      </c>
      <c r="AG275" s="385">
        <v>76.75</v>
      </c>
      <c r="AH275" s="23">
        <v>0.24</v>
      </c>
      <c r="AI275" s="140">
        <v>72</v>
      </c>
      <c r="AJ275" s="141"/>
      <c r="AK275" s="141"/>
      <c r="AL275" s="138">
        <f t="shared" si="21"/>
        <v>0</v>
      </c>
      <c r="AM275" s="8">
        <f t="shared" si="20"/>
        <v>0</v>
      </c>
      <c r="AN275" s="8">
        <f t="shared" si="20"/>
        <v>0</v>
      </c>
      <c r="AO275" s="139">
        <f t="shared" si="20"/>
        <v>-0.75</v>
      </c>
      <c r="AP275" s="139">
        <f t="shared" si="20"/>
        <v>-1.5631249999999994</v>
      </c>
      <c r="AQ275" s="139">
        <f t="shared" si="20"/>
        <v>-2.5</v>
      </c>
      <c r="AR275" s="8">
        <f t="shared" si="20"/>
        <v>1.999999999999999E-2</v>
      </c>
      <c r="AS275" s="139">
        <f t="shared" si="20"/>
        <v>-2.5</v>
      </c>
      <c r="AT275" s="200" t="s">
        <v>222</v>
      </c>
      <c r="AU275" s="200" t="s">
        <v>222</v>
      </c>
      <c r="AV275" s="200" t="s">
        <v>222</v>
      </c>
      <c r="AW275" s="200" t="s">
        <v>222</v>
      </c>
      <c r="AX275" s="200" t="s">
        <v>222</v>
      </c>
      <c r="AY275" s="133">
        <v>21</v>
      </c>
      <c r="AZ275" s="312">
        <f t="shared" si="17"/>
        <v>30</v>
      </c>
      <c r="BA275" s="155">
        <f t="shared" si="17"/>
        <v>267</v>
      </c>
      <c r="BB275" s="440" t="s">
        <v>624</v>
      </c>
      <c r="BC275" s="23" t="s">
        <v>458</v>
      </c>
      <c r="BD275" s="23"/>
    </row>
    <row r="276" spans="2:56" ht="15.5">
      <c r="B276" s="141">
        <v>11</v>
      </c>
      <c r="C276" s="156">
        <v>46281</v>
      </c>
      <c r="D276" s="302">
        <v>46282</v>
      </c>
      <c r="E276" s="133">
        <v>35</v>
      </c>
      <c r="F276" s="155">
        <v>273</v>
      </c>
      <c r="G276" s="138">
        <v>3.1E-2</v>
      </c>
      <c r="H276" s="8">
        <v>0.32</v>
      </c>
      <c r="I276" s="8">
        <v>0.22</v>
      </c>
      <c r="J276" s="139">
        <v>35.75</v>
      </c>
      <c r="K276" s="139">
        <v>28.510625000000001</v>
      </c>
      <c r="L276" s="139">
        <v>79.75</v>
      </c>
      <c r="M276" s="8">
        <v>0.22</v>
      </c>
      <c r="N276" s="140">
        <v>74.5</v>
      </c>
      <c r="O276" s="306"/>
      <c r="P276" s="140"/>
      <c r="Q276" s="140"/>
      <c r="R276" s="140"/>
      <c r="S276" s="140"/>
      <c r="T276" s="140"/>
      <c r="U276" s="140"/>
      <c r="V276" s="140"/>
      <c r="W276" s="140"/>
      <c r="X276" s="141"/>
      <c r="Y276" s="141"/>
      <c r="Z276" s="312">
        <v>31</v>
      </c>
      <c r="AA276" s="155">
        <v>268</v>
      </c>
      <c r="AB276" s="28">
        <v>3.1E-2</v>
      </c>
      <c r="AC276" s="30">
        <v>0.32</v>
      </c>
      <c r="AD276" s="30">
        <v>0.22</v>
      </c>
      <c r="AE276" s="385">
        <v>35.75</v>
      </c>
      <c r="AF276" s="385">
        <v>28.25</v>
      </c>
      <c r="AG276" s="385">
        <v>79.25</v>
      </c>
      <c r="AH276" s="23">
        <v>0.22</v>
      </c>
      <c r="AI276" s="140">
        <v>73</v>
      </c>
      <c r="AJ276" s="141"/>
      <c r="AK276" s="141"/>
      <c r="AL276" s="138">
        <f t="shared" si="21"/>
        <v>0</v>
      </c>
      <c r="AM276" s="8">
        <f t="shared" si="20"/>
        <v>0</v>
      </c>
      <c r="AN276" s="8">
        <f t="shared" si="20"/>
        <v>0</v>
      </c>
      <c r="AO276" s="139">
        <f t="shared" si="20"/>
        <v>0</v>
      </c>
      <c r="AP276" s="139">
        <f t="shared" si="20"/>
        <v>-0.26062500000000099</v>
      </c>
      <c r="AQ276" s="139">
        <f t="shared" si="20"/>
        <v>-0.5</v>
      </c>
      <c r="AR276" s="8">
        <f t="shared" si="20"/>
        <v>0</v>
      </c>
      <c r="AS276" s="139">
        <f t="shared" si="20"/>
        <v>-1.5</v>
      </c>
      <c r="AT276" s="200" t="s">
        <v>222</v>
      </c>
      <c r="AU276" s="200" t="s">
        <v>222</v>
      </c>
      <c r="AV276" s="200" t="s">
        <v>222</v>
      </c>
      <c r="AW276" s="200" t="s">
        <v>222</v>
      </c>
      <c r="AX276" s="200" t="s">
        <v>222</v>
      </c>
      <c r="AY276" s="133">
        <v>22</v>
      </c>
      <c r="AZ276" s="312">
        <f t="shared" si="17"/>
        <v>31</v>
      </c>
      <c r="BA276" s="155">
        <f t="shared" si="17"/>
        <v>268</v>
      </c>
      <c r="BB276" s="439" t="s">
        <v>625</v>
      </c>
      <c r="BC276" s="23" t="s">
        <v>458</v>
      </c>
      <c r="BD276" s="23"/>
    </row>
    <row r="277" spans="2:56" ht="15.5">
      <c r="B277" s="141">
        <v>11</v>
      </c>
      <c r="C277" s="156">
        <v>46281</v>
      </c>
      <c r="D277" s="302">
        <v>46282</v>
      </c>
      <c r="E277" s="133">
        <v>35</v>
      </c>
      <c r="F277" s="155">
        <v>274</v>
      </c>
      <c r="G277" s="138">
        <v>8.1500000000000003E-2</v>
      </c>
      <c r="H277" s="8">
        <v>0.33750000000000002</v>
      </c>
      <c r="I277" s="8">
        <v>0.43</v>
      </c>
      <c r="J277" s="139">
        <v>32.5</v>
      </c>
      <c r="K277" s="139">
        <v>26.324999999999999</v>
      </c>
      <c r="L277" s="139">
        <v>81</v>
      </c>
      <c r="M277" s="8">
        <v>0.22</v>
      </c>
      <c r="N277" s="140">
        <v>74.5</v>
      </c>
      <c r="O277" s="306"/>
      <c r="P277" s="140"/>
      <c r="Q277" s="140"/>
      <c r="R277" s="140"/>
      <c r="S277" s="140"/>
      <c r="T277" s="140"/>
      <c r="U277" s="140"/>
      <c r="V277" s="140"/>
      <c r="W277" s="140"/>
      <c r="X277" s="141"/>
      <c r="Y277" s="141"/>
      <c r="Z277" s="312">
        <v>31</v>
      </c>
      <c r="AA277" s="155">
        <v>269</v>
      </c>
      <c r="AB277" s="28">
        <v>8.1500000000000003E-2</v>
      </c>
      <c r="AC277" s="30">
        <v>0.33750000000000002</v>
      </c>
      <c r="AD277" s="30">
        <v>0.43</v>
      </c>
      <c r="AE277" s="385">
        <v>36.5</v>
      </c>
      <c r="AF277" s="385">
        <v>28</v>
      </c>
      <c r="AG277" s="385">
        <v>76.75</v>
      </c>
      <c r="AH277" s="23">
        <v>0.22</v>
      </c>
      <c r="AI277" s="140">
        <v>73</v>
      </c>
      <c r="AJ277" s="141"/>
      <c r="AK277" s="141"/>
      <c r="AL277" s="138">
        <f t="shared" si="21"/>
        <v>0</v>
      </c>
      <c r="AM277" s="8">
        <f t="shared" si="20"/>
        <v>0</v>
      </c>
      <c r="AN277" s="8">
        <f t="shared" si="20"/>
        <v>0</v>
      </c>
      <c r="AO277" s="139">
        <f t="shared" si="20"/>
        <v>4</v>
      </c>
      <c r="AP277" s="139">
        <f t="shared" si="20"/>
        <v>1.6750000000000007</v>
      </c>
      <c r="AQ277" s="139">
        <f t="shared" si="20"/>
        <v>-4.25</v>
      </c>
      <c r="AR277" s="8">
        <f t="shared" si="20"/>
        <v>0</v>
      </c>
      <c r="AS277" s="139">
        <f t="shared" si="20"/>
        <v>-1.5</v>
      </c>
      <c r="AT277" s="200" t="s">
        <v>222</v>
      </c>
      <c r="AU277" s="200" t="s">
        <v>222</v>
      </c>
      <c r="AV277" s="200" t="s">
        <v>222</v>
      </c>
      <c r="AW277" s="200" t="s">
        <v>222</v>
      </c>
      <c r="AX277" s="200" t="s">
        <v>222</v>
      </c>
      <c r="AY277" s="133">
        <v>22</v>
      </c>
      <c r="AZ277" s="312">
        <f t="shared" si="17"/>
        <v>31</v>
      </c>
      <c r="BA277" s="155">
        <f t="shared" si="17"/>
        <v>269</v>
      </c>
      <c r="BB277" s="439" t="s">
        <v>625</v>
      </c>
      <c r="BC277" s="23" t="s">
        <v>458</v>
      </c>
      <c r="BD277" s="23"/>
    </row>
    <row r="278" spans="2:56" ht="15.5">
      <c r="B278" s="141">
        <v>11</v>
      </c>
      <c r="C278" s="156">
        <v>46281</v>
      </c>
      <c r="D278" s="302">
        <v>46282</v>
      </c>
      <c r="E278" s="133">
        <v>35</v>
      </c>
      <c r="F278" s="155">
        <v>275</v>
      </c>
      <c r="G278" s="138">
        <v>4.5999999999999999E-2</v>
      </c>
      <c r="H278" s="8">
        <v>0.34750000000000003</v>
      </c>
      <c r="I278" s="8">
        <v>0.46</v>
      </c>
      <c r="J278" s="139">
        <v>40.75</v>
      </c>
      <c r="K278" s="139">
        <v>32.396250000000002</v>
      </c>
      <c r="L278" s="139">
        <v>79.5</v>
      </c>
      <c r="M278" s="8">
        <v>0.22</v>
      </c>
      <c r="N278" s="140">
        <v>74.5</v>
      </c>
      <c r="O278" s="306"/>
      <c r="P278" s="140"/>
      <c r="Q278" s="140"/>
      <c r="R278" s="140"/>
      <c r="S278" s="140"/>
      <c r="T278" s="140"/>
      <c r="U278" s="140"/>
      <c r="V278" s="140"/>
      <c r="W278" s="140"/>
      <c r="X278" s="141"/>
      <c r="Y278" s="141"/>
      <c r="Z278" s="312">
        <v>31</v>
      </c>
      <c r="AA278" s="155">
        <v>270</v>
      </c>
      <c r="AB278" s="28">
        <v>4.5999999999999999E-2</v>
      </c>
      <c r="AC278" s="30">
        <v>0.34750000000000003</v>
      </c>
      <c r="AD278" s="30">
        <v>0.46</v>
      </c>
      <c r="AE278" s="385">
        <v>37.25</v>
      </c>
      <c r="AF278" s="385">
        <v>29</v>
      </c>
      <c r="AG278" s="385">
        <v>77.75</v>
      </c>
      <c r="AH278" s="23">
        <v>0.22</v>
      </c>
      <c r="AI278" s="140">
        <v>73</v>
      </c>
      <c r="AJ278" s="141"/>
      <c r="AK278" s="141"/>
      <c r="AL278" s="138">
        <f t="shared" si="21"/>
        <v>0</v>
      </c>
      <c r="AM278" s="8">
        <f t="shared" si="20"/>
        <v>0</v>
      </c>
      <c r="AN278" s="8">
        <f t="shared" si="20"/>
        <v>0</v>
      </c>
      <c r="AO278" s="139">
        <f t="shared" si="20"/>
        <v>-3.5</v>
      </c>
      <c r="AP278" s="139">
        <f t="shared" si="20"/>
        <v>-3.396250000000002</v>
      </c>
      <c r="AQ278" s="139">
        <f t="shared" si="20"/>
        <v>-1.75</v>
      </c>
      <c r="AR278" s="8">
        <f t="shared" si="20"/>
        <v>0</v>
      </c>
      <c r="AS278" s="139">
        <f t="shared" si="20"/>
        <v>-1.5</v>
      </c>
      <c r="AT278" s="200" t="s">
        <v>222</v>
      </c>
      <c r="AU278" s="200" t="s">
        <v>222</v>
      </c>
      <c r="AV278" s="200" t="s">
        <v>222</v>
      </c>
      <c r="AW278" s="200" t="s">
        <v>222</v>
      </c>
      <c r="AX278" s="200" t="s">
        <v>222</v>
      </c>
      <c r="AY278" s="133">
        <v>22</v>
      </c>
      <c r="AZ278" s="312">
        <f t="shared" si="17"/>
        <v>31</v>
      </c>
      <c r="BA278" s="155">
        <f t="shared" si="17"/>
        <v>270</v>
      </c>
      <c r="BB278" s="439" t="s">
        <v>625</v>
      </c>
      <c r="BC278" s="23" t="s">
        <v>458</v>
      </c>
      <c r="BD278" s="23"/>
    </row>
    <row r="279" spans="2:56" ht="15.5">
      <c r="B279" s="141">
        <v>11</v>
      </c>
      <c r="C279" s="156">
        <v>46281</v>
      </c>
      <c r="D279" s="302">
        <v>46282</v>
      </c>
      <c r="E279" s="133">
        <v>35</v>
      </c>
      <c r="F279" s="155">
        <v>276</v>
      </c>
      <c r="G279" s="138">
        <v>4.3749999999999997E-2</v>
      </c>
      <c r="H279" s="8">
        <v>0.37750000000000006</v>
      </c>
      <c r="I279" s="8">
        <v>0.39</v>
      </c>
      <c r="J279" s="139">
        <v>38.25</v>
      </c>
      <c r="K279" s="139">
        <v>32.321249999999999</v>
      </c>
      <c r="L279" s="139">
        <v>84.5</v>
      </c>
      <c r="M279" s="8">
        <v>0.22</v>
      </c>
      <c r="N279" s="140">
        <v>74.5</v>
      </c>
      <c r="O279" s="306"/>
      <c r="P279" s="140"/>
      <c r="Q279" s="140"/>
      <c r="R279" s="140"/>
      <c r="S279" s="140"/>
      <c r="T279" s="140"/>
      <c r="U279" s="140"/>
      <c r="V279" s="140"/>
      <c r="W279" s="140"/>
      <c r="X279" s="141"/>
      <c r="Y279" s="141"/>
      <c r="Z279" s="312">
        <v>31</v>
      </c>
      <c r="AA279" s="155">
        <v>271</v>
      </c>
      <c r="AB279" s="28">
        <v>4.3749999999999997E-2</v>
      </c>
      <c r="AC279" s="30">
        <v>0.37750000000000006</v>
      </c>
      <c r="AD279" s="30">
        <v>0.39</v>
      </c>
      <c r="AE279" s="385">
        <v>37</v>
      </c>
      <c r="AF279" s="385">
        <v>28</v>
      </c>
      <c r="AG279" s="385">
        <v>75.75</v>
      </c>
      <c r="AH279" s="23">
        <v>0.22</v>
      </c>
      <c r="AI279" s="140">
        <v>73</v>
      </c>
      <c r="AJ279" s="141"/>
      <c r="AK279" s="141"/>
      <c r="AL279" s="138">
        <f t="shared" si="21"/>
        <v>0</v>
      </c>
      <c r="AM279" s="8">
        <f t="shared" si="20"/>
        <v>0</v>
      </c>
      <c r="AN279" s="8">
        <f t="shared" si="20"/>
        <v>0</v>
      </c>
      <c r="AO279" s="139">
        <f t="shared" si="20"/>
        <v>-1.25</v>
      </c>
      <c r="AP279" s="139">
        <f t="shared" si="20"/>
        <v>-4.3212499999999991</v>
      </c>
      <c r="AQ279" s="139">
        <f t="shared" si="20"/>
        <v>-8.75</v>
      </c>
      <c r="AR279" s="8">
        <f t="shared" si="20"/>
        <v>0</v>
      </c>
      <c r="AS279" s="139">
        <f t="shared" si="20"/>
        <v>-1.5</v>
      </c>
      <c r="AT279" s="200" t="s">
        <v>222</v>
      </c>
      <c r="AU279" s="200" t="s">
        <v>222</v>
      </c>
      <c r="AV279" s="200" t="s">
        <v>222</v>
      </c>
      <c r="AW279" s="200" t="s">
        <v>222</v>
      </c>
      <c r="AX279" s="200" t="s">
        <v>222</v>
      </c>
      <c r="AY279" s="133">
        <v>22</v>
      </c>
      <c r="AZ279" s="312">
        <f t="shared" si="17"/>
        <v>31</v>
      </c>
      <c r="BA279" s="155">
        <f t="shared" si="17"/>
        <v>271</v>
      </c>
      <c r="BB279" s="439" t="s">
        <v>625</v>
      </c>
      <c r="BC279" s="23" t="s">
        <v>458</v>
      </c>
      <c r="BD279" s="23"/>
    </row>
    <row r="280" spans="2:56" ht="15.5">
      <c r="B280" s="141">
        <v>11</v>
      </c>
      <c r="C280" s="156">
        <v>46281</v>
      </c>
      <c r="D280" s="302">
        <v>46282</v>
      </c>
      <c r="E280" s="133">
        <v>35</v>
      </c>
      <c r="F280" s="155">
        <v>277</v>
      </c>
      <c r="G280" s="138">
        <v>4.8750000000000002E-2</v>
      </c>
      <c r="H280" s="8">
        <v>0.38</v>
      </c>
      <c r="I280" s="8">
        <v>0.36</v>
      </c>
      <c r="J280" s="139">
        <v>39.25</v>
      </c>
      <c r="K280" s="139">
        <v>32.577500000000001</v>
      </c>
      <c r="L280" s="139">
        <v>83</v>
      </c>
      <c r="M280" s="8">
        <v>0.22</v>
      </c>
      <c r="N280" s="140">
        <v>74.5</v>
      </c>
      <c r="O280" s="306"/>
      <c r="P280" s="140"/>
      <c r="Q280" s="140"/>
      <c r="R280" s="140"/>
      <c r="S280" s="140"/>
      <c r="T280" s="140"/>
      <c r="U280" s="140"/>
      <c r="V280" s="140"/>
      <c r="W280" s="140"/>
      <c r="X280" s="141"/>
      <c r="Y280" s="141"/>
      <c r="Z280" s="312">
        <v>31</v>
      </c>
      <c r="AA280" s="155">
        <v>272</v>
      </c>
      <c r="AB280" s="28">
        <v>4.8750000000000002E-2</v>
      </c>
      <c r="AC280" s="30">
        <v>0.38</v>
      </c>
      <c r="AD280" s="30">
        <v>0.36</v>
      </c>
      <c r="AE280" s="385">
        <v>35.75</v>
      </c>
      <c r="AF280" s="385">
        <v>26.75</v>
      </c>
      <c r="AG280" s="385">
        <v>74.75</v>
      </c>
      <c r="AH280" s="23">
        <v>0.22</v>
      </c>
      <c r="AI280" s="140">
        <v>73</v>
      </c>
      <c r="AJ280" s="141"/>
      <c r="AK280" s="141"/>
      <c r="AL280" s="138">
        <f t="shared" si="21"/>
        <v>0</v>
      </c>
      <c r="AM280" s="8">
        <f t="shared" si="20"/>
        <v>0</v>
      </c>
      <c r="AN280" s="8">
        <f t="shared" si="20"/>
        <v>0</v>
      </c>
      <c r="AO280" s="139">
        <f t="shared" si="20"/>
        <v>-3.5</v>
      </c>
      <c r="AP280" s="139">
        <f t="shared" si="20"/>
        <v>-5.8275000000000006</v>
      </c>
      <c r="AQ280" s="139">
        <f t="shared" si="20"/>
        <v>-8.25</v>
      </c>
      <c r="AR280" s="8">
        <f t="shared" si="20"/>
        <v>0</v>
      </c>
      <c r="AS280" s="139">
        <f t="shared" si="20"/>
        <v>-1.5</v>
      </c>
      <c r="AT280" s="200" t="s">
        <v>222</v>
      </c>
      <c r="AU280" s="200" t="s">
        <v>222</v>
      </c>
      <c r="AV280" s="200" t="s">
        <v>222</v>
      </c>
      <c r="AW280" s="200" t="s">
        <v>222</v>
      </c>
      <c r="AX280" s="200" t="s">
        <v>222</v>
      </c>
      <c r="AY280" s="133">
        <v>22</v>
      </c>
      <c r="AZ280" s="312">
        <f t="shared" si="17"/>
        <v>31</v>
      </c>
      <c r="BA280" s="155">
        <f t="shared" si="17"/>
        <v>272</v>
      </c>
      <c r="BB280" s="439" t="s">
        <v>625</v>
      </c>
      <c r="BC280" s="23" t="s">
        <v>458</v>
      </c>
      <c r="BD280" s="23"/>
    </row>
    <row r="281" spans="2:56" ht="15.5">
      <c r="B281" s="141">
        <v>11</v>
      </c>
      <c r="C281" s="156">
        <v>46281</v>
      </c>
      <c r="D281" s="302">
        <v>46282</v>
      </c>
      <c r="E281" s="133">
        <v>35</v>
      </c>
      <c r="F281" s="155">
        <v>278</v>
      </c>
      <c r="G281" s="138">
        <v>5.8249999999999996E-2</v>
      </c>
      <c r="H281" s="8">
        <v>0.34500000000000003</v>
      </c>
      <c r="I281" s="8">
        <v>0.26</v>
      </c>
      <c r="J281" s="139">
        <v>40</v>
      </c>
      <c r="K281" s="139">
        <v>32</v>
      </c>
      <c r="L281" s="139">
        <v>80</v>
      </c>
      <c r="M281" s="8">
        <v>0.22</v>
      </c>
      <c r="N281" s="140">
        <v>74.5</v>
      </c>
      <c r="O281" s="306"/>
      <c r="P281" s="140"/>
      <c r="Q281" s="140"/>
      <c r="R281" s="140"/>
      <c r="S281" s="140"/>
      <c r="T281" s="140"/>
      <c r="U281" s="140"/>
      <c r="V281" s="140"/>
      <c r="W281" s="140"/>
      <c r="X281" s="141"/>
      <c r="Y281" s="141"/>
      <c r="Z281" s="312">
        <v>31</v>
      </c>
      <c r="AA281" s="155">
        <v>273</v>
      </c>
      <c r="AB281" s="28">
        <v>5.8249999999999996E-2</v>
      </c>
      <c r="AC281" s="30">
        <v>0.34500000000000003</v>
      </c>
      <c r="AD281" s="30">
        <v>0.26</v>
      </c>
      <c r="AE281" s="385">
        <v>36.75</v>
      </c>
      <c r="AF281" s="385">
        <v>28.25</v>
      </c>
      <c r="AG281" s="385">
        <v>77</v>
      </c>
      <c r="AH281" s="23">
        <v>0.22</v>
      </c>
      <c r="AI281" s="140">
        <v>73</v>
      </c>
      <c r="AJ281" s="141"/>
      <c r="AK281" s="141"/>
      <c r="AL281" s="138">
        <f t="shared" si="21"/>
        <v>0</v>
      </c>
      <c r="AM281" s="8">
        <f t="shared" si="20"/>
        <v>0</v>
      </c>
      <c r="AN281" s="8">
        <f t="shared" si="20"/>
        <v>0</v>
      </c>
      <c r="AO281" s="139">
        <f t="shared" si="20"/>
        <v>-3.25</v>
      </c>
      <c r="AP281" s="139">
        <f t="shared" si="20"/>
        <v>-3.75</v>
      </c>
      <c r="AQ281" s="139">
        <f t="shared" si="20"/>
        <v>-3</v>
      </c>
      <c r="AR281" s="8">
        <f t="shared" si="20"/>
        <v>0</v>
      </c>
      <c r="AS281" s="139">
        <f t="shared" si="20"/>
        <v>-1.5</v>
      </c>
      <c r="AT281" s="200" t="s">
        <v>222</v>
      </c>
      <c r="AU281" s="200" t="s">
        <v>222</v>
      </c>
      <c r="AV281" s="200" t="s">
        <v>222</v>
      </c>
      <c r="AW281" s="200" t="s">
        <v>222</v>
      </c>
      <c r="AX281" s="200" t="s">
        <v>222</v>
      </c>
      <c r="AY281" s="133">
        <v>22</v>
      </c>
      <c r="AZ281" s="312">
        <f t="shared" si="17"/>
        <v>31</v>
      </c>
      <c r="BA281" s="155">
        <f t="shared" si="17"/>
        <v>273</v>
      </c>
      <c r="BB281" s="439" t="s">
        <v>625</v>
      </c>
      <c r="BC281" s="23" t="s">
        <v>458</v>
      </c>
      <c r="BD281" s="23"/>
    </row>
    <row r="282" spans="2:56" ht="15.5">
      <c r="B282" s="141">
        <v>11</v>
      </c>
      <c r="C282" s="156">
        <v>46281</v>
      </c>
      <c r="D282" s="302">
        <v>46282</v>
      </c>
      <c r="E282" s="133">
        <v>35</v>
      </c>
      <c r="F282" s="155">
        <v>280</v>
      </c>
      <c r="G282" s="138">
        <v>9.6750000000000003E-2</v>
      </c>
      <c r="H282" s="8">
        <v>0.315</v>
      </c>
      <c r="I282" s="8">
        <v>0.33</v>
      </c>
      <c r="J282" s="139">
        <v>36</v>
      </c>
      <c r="K282" s="139">
        <v>28.89</v>
      </c>
      <c r="L282" s="139">
        <v>80.25</v>
      </c>
      <c r="M282" s="8">
        <v>0.22</v>
      </c>
      <c r="N282" s="140">
        <v>74.5</v>
      </c>
      <c r="O282" s="306"/>
      <c r="P282" s="140"/>
      <c r="Q282" s="140"/>
      <c r="R282" s="140"/>
      <c r="S282" s="140"/>
      <c r="T282" s="140"/>
      <c r="U282" s="140"/>
      <c r="V282" s="140"/>
      <c r="W282" s="140"/>
      <c r="X282" s="141"/>
      <c r="Y282" s="141"/>
      <c r="Z282" s="312">
        <v>31</v>
      </c>
      <c r="AA282" s="155">
        <v>274</v>
      </c>
      <c r="AB282" s="28">
        <v>9.6750000000000003E-2</v>
      </c>
      <c r="AC282" s="30">
        <v>0.315</v>
      </c>
      <c r="AD282" s="30">
        <v>0.33</v>
      </c>
      <c r="AE282" s="385">
        <v>36</v>
      </c>
      <c r="AF282" s="385">
        <v>27.5</v>
      </c>
      <c r="AG282" s="385">
        <v>77.25</v>
      </c>
      <c r="AH282" s="23">
        <v>0.22</v>
      </c>
      <c r="AI282" s="140">
        <v>73</v>
      </c>
      <c r="AJ282" s="141"/>
      <c r="AK282" s="141"/>
      <c r="AL282" s="138">
        <f t="shared" si="21"/>
        <v>0</v>
      </c>
      <c r="AM282" s="8">
        <f t="shared" si="20"/>
        <v>0</v>
      </c>
      <c r="AN282" s="8">
        <f t="shared" si="20"/>
        <v>0</v>
      </c>
      <c r="AO282" s="139">
        <f t="shared" si="20"/>
        <v>0</v>
      </c>
      <c r="AP282" s="139">
        <f t="shared" si="20"/>
        <v>-1.3900000000000006</v>
      </c>
      <c r="AQ282" s="139">
        <f t="shared" si="20"/>
        <v>-3</v>
      </c>
      <c r="AR282" s="8">
        <f t="shared" si="20"/>
        <v>0</v>
      </c>
      <c r="AS282" s="139">
        <f t="shared" si="20"/>
        <v>-1.5</v>
      </c>
      <c r="AT282" s="200" t="s">
        <v>222</v>
      </c>
      <c r="AU282" s="200" t="s">
        <v>222</v>
      </c>
      <c r="AV282" s="200" t="s">
        <v>222</v>
      </c>
      <c r="AW282" s="200" t="s">
        <v>222</v>
      </c>
      <c r="AX282" s="200" t="s">
        <v>222</v>
      </c>
      <c r="AY282" s="133">
        <v>22</v>
      </c>
      <c r="AZ282" s="312">
        <f t="shared" si="17"/>
        <v>31</v>
      </c>
      <c r="BA282" s="155">
        <f t="shared" si="17"/>
        <v>274</v>
      </c>
      <c r="BB282" s="439" t="s">
        <v>625</v>
      </c>
      <c r="BC282" s="23" t="s">
        <v>458</v>
      </c>
      <c r="BD282" s="23"/>
    </row>
    <row r="283" spans="2:56" ht="15.5">
      <c r="B283" s="141">
        <v>11</v>
      </c>
      <c r="C283" s="156">
        <v>46281</v>
      </c>
      <c r="D283" s="302">
        <v>46282</v>
      </c>
      <c r="E283" s="133">
        <v>36</v>
      </c>
      <c r="F283" s="155">
        <v>281</v>
      </c>
      <c r="G283" s="138">
        <v>8.5250000000000006E-2</v>
      </c>
      <c r="H283" s="8">
        <v>0.28500000000000003</v>
      </c>
      <c r="I283" s="8">
        <v>0.28999999999999998</v>
      </c>
      <c r="J283" s="139">
        <v>35</v>
      </c>
      <c r="K283" s="139">
        <v>26.95</v>
      </c>
      <c r="L283" s="139">
        <v>77</v>
      </c>
      <c r="M283" s="8">
        <v>0.23</v>
      </c>
      <c r="N283" s="140">
        <v>70</v>
      </c>
      <c r="O283" s="306"/>
      <c r="P283" s="140"/>
      <c r="Q283" s="140"/>
      <c r="R283" s="140"/>
      <c r="S283" s="140"/>
      <c r="T283" s="140"/>
      <c r="U283" s="140"/>
      <c r="V283" s="140"/>
      <c r="W283" s="140"/>
      <c r="X283" s="141"/>
      <c r="Y283" s="141"/>
      <c r="Z283" s="312">
        <v>31</v>
      </c>
      <c r="AA283" s="155">
        <v>275</v>
      </c>
      <c r="AB283" s="28">
        <v>8.5250000000000006E-2</v>
      </c>
      <c r="AC283" s="30">
        <v>0.28500000000000003</v>
      </c>
      <c r="AD283" s="30">
        <v>0.28999999999999998</v>
      </c>
      <c r="AE283" s="385">
        <v>35.25</v>
      </c>
      <c r="AF283" s="385">
        <v>27</v>
      </c>
      <c r="AG283" s="385">
        <v>76.5</v>
      </c>
      <c r="AH283" s="23">
        <v>0.22</v>
      </c>
      <c r="AI283" s="140">
        <v>73</v>
      </c>
      <c r="AJ283" s="141"/>
      <c r="AK283" s="141"/>
      <c r="AL283" s="138">
        <f t="shared" si="21"/>
        <v>0</v>
      </c>
      <c r="AM283" s="8">
        <f t="shared" si="20"/>
        <v>0</v>
      </c>
      <c r="AN283" s="8">
        <f t="shared" si="20"/>
        <v>0</v>
      </c>
      <c r="AO283" s="139">
        <f t="shared" si="20"/>
        <v>0.25</v>
      </c>
      <c r="AP283" s="139">
        <f t="shared" si="20"/>
        <v>5.0000000000000711E-2</v>
      </c>
      <c r="AQ283" s="139">
        <f t="shared" si="20"/>
        <v>-0.5</v>
      </c>
      <c r="AR283" s="8">
        <f t="shared" si="20"/>
        <v>-1.0000000000000009E-2</v>
      </c>
      <c r="AS283" s="139">
        <f t="shared" si="20"/>
        <v>3</v>
      </c>
      <c r="AT283" s="200" t="s">
        <v>222</v>
      </c>
      <c r="AU283" s="200" t="s">
        <v>222</v>
      </c>
      <c r="AV283" s="200" t="s">
        <v>222</v>
      </c>
      <c r="AW283" s="200" t="s">
        <v>222</v>
      </c>
      <c r="AX283" s="200" t="s">
        <v>222</v>
      </c>
      <c r="AY283" s="133">
        <v>22</v>
      </c>
      <c r="AZ283" s="312">
        <f t="shared" si="17"/>
        <v>31</v>
      </c>
      <c r="BA283" s="155">
        <f t="shared" si="17"/>
        <v>275</v>
      </c>
      <c r="BB283" s="439" t="s">
        <v>625</v>
      </c>
      <c r="BC283" s="23" t="s">
        <v>458</v>
      </c>
      <c r="BD283" s="23"/>
    </row>
    <row r="284" spans="2:56" ht="15.5">
      <c r="B284" s="141">
        <v>11</v>
      </c>
      <c r="C284" s="156">
        <v>46281</v>
      </c>
      <c r="D284" s="302">
        <v>46282</v>
      </c>
      <c r="E284" s="133">
        <v>36</v>
      </c>
      <c r="F284" s="155">
        <v>283</v>
      </c>
      <c r="G284" s="138">
        <v>9.6250000000000002E-2</v>
      </c>
      <c r="H284" s="8">
        <v>0.32250000000000001</v>
      </c>
      <c r="I284" s="8">
        <v>0.28000000000000003</v>
      </c>
      <c r="J284" s="139">
        <v>35.25</v>
      </c>
      <c r="K284" s="139">
        <v>27.495000000000001</v>
      </c>
      <c r="L284" s="139">
        <v>78</v>
      </c>
      <c r="M284" s="8">
        <v>0.23</v>
      </c>
      <c r="N284" s="140">
        <v>70</v>
      </c>
      <c r="O284" s="306"/>
      <c r="P284" s="140"/>
      <c r="Q284" s="140"/>
      <c r="R284" s="140"/>
      <c r="S284" s="140"/>
      <c r="T284" s="140"/>
      <c r="U284" s="140"/>
      <c r="V284" s="140"/>
      <c r="W284" s="140"/>
      <c r="X284" s="141"/>
      <c r="Y284" s="141"/>
      <c r="Z284" s="312">
        <v>31</v>
      </c>
      <c r="AA284" s="155">
        <v>276</v>
      </c>
      <c r="AB284" s="28">
        <v>9.6250000000000002E-2</v>
      </c>
      <c r="AC284" s="30">
        <v>0.32250000000000001</v>
      </c>
      <c r="AD284" s="30">
        <v>0.28000000000000003</v>
      </c>
      <c r="AE284" s="385">
        <v>35.25</v>
      </c>
      <c r="AF284" s="385">
        <v>27</v>
      </c>
      <c r="AG284" s="385">
        <v>76.5</v>
      </c>
      <c r="AH284" s="23">
        <v>0.22</v>
      </c>
      <c r="AI284" s="140">
        <v>73</v>
      </c>
      <c r="AJ284" s="141"/>
      <c r="AK284" s="141"/>
      <c r="AL284" s="138">
        <f t="shared" si="21"/>
        <v>0</v>
      </c>
      <c r="AM284" s="8">
        <f t="shared" si="20"/>
        <v>0</v>
      </c>
      <c r="AN284" s="8">
        <f t="shared" si="20"/>
        <v>0</v>
      </c>
      <c r="AO284" s="139">
        <f t="shared" si="20"/>
        <v>0</v>
      </c>
      <c r="AP284" s="139">
        <f t="shared" si="20"/>
        <v>-0.49500000000000099</v>
      </c>
      <c r="AQ284" s="139">
        <f t="shared" si="20"/>
        <v>-1.5</v>
      </c>
      <c r="AR284" s="8">
        <f t="shared" si="20"/>
        <v>-1.0000000000000009E-2</v>
      </c>
      <c r="AS284" s="139">
        <f t="shared" si="20"/>
        <v>3</v>
      </c>
      <c r="AT284" s="200" t="s">
        <v>222</v>
      </c>
      <c r="AU284" s="200" t="s">
        <v>222</v>
      </c>
      <c r="AV284" s="200" t="s">
        <v>222</v>
      </c>
      <c r="AW284" s="200" t="s">
        <v>222</v>
      </c>
      <c r="AX284" s="200" t="s">
        <v>222</v>
      </c>
      <c r="AY284" s="133">
        <v>22</v>
      </c>
      <c r="AZ284" s="312">
        <f t="shared" si="17"/>
        <v>31</v>
      </c>
      <c r="BA284" s="155">
        <f t="shared" si="17"/>
        <v>276</v>
      </c>
      <c r="BB284" s="439" t="s">
        <v>625</v>
      </c>
      <c r="BC284" s="23" t="s">
        <v>458</v>
      </c>
      <c r="BD284" s="23"/>
    </row>
    <row r="285" spans="2:56" ht="15.5">
      <c r="B285" s="141">
        <v>11</v>
      </c>
      <c r="C285" s="156">
        <v>46282</v>
      </c>
      <c r="D285" s="302">
        <v>46283</v>
      </c>
      <c r="E285" s="133">
        <v>36</v>
      </c>
      <c r="F285" s="155">
        <v>284</v>
      </c>
      <c r="G285" s="138">
        <v>8.1750000000000003E-2</v>
      </c>
      <c r="H285" s="8">
        <v>0.35499999999999998</v>
      </c>
      <c r="I285" s="8">
        <v>0.28999999999999998</v>
      </c>
      <c r="J285" s="139">
        <v>35.75</v>
      </c>
      <c r="K285" s="139">
        <v>28.331875</v>
      </c>
      <c r="L285" s="139">
        <v>79.25</v>
      </c>
      <c r="M285" s="8">
        <v>0.23</v>
      </c>
      <c r="N285" s="140">
        <v>70</v>
      </c>
      <c r="O285" s="306"/>
      <c r="P285" s="140"/>
      <c r="Q285" s="140"/>
      <c r="R285" s="140"/>
      <c r="S285" s="140"/>
      <c r="T285" s="140"/>
      <c r="U285" s="140"/>
      <c r="V285" s="140"/>
      <c r="W285" s="140"/>
      <c r="X285" s="141"/>
      <c r="Y285" s="141"/>
      <c r="Z285" s="312">
        <v>31</v>
      </c>
      <c r="AA285" s="155">
        <v>277</v>
      </c>
      <c r="AB285" s="28">
        <v>8.1750000000000003E-2</v>
      </c>
      <c r="AC285" s="30">
        <v>0.35499999999999998</v>
      </c>
      <c r="AD285" s="30">
        <v>0.28999999999999998</v>
      </c>
      <c r="AE285" s="385">
        <v>35.75</v>
      </c>
      <c r="AF285" s="385">
        <v>27.5</v>
      </c>
      <c r="AG285" s="385">
        <v>77</v>
      </c>
      <c r="AH285" s="23">
        <v>0.22</v>
      </c>
      <c r="AI285" s="140">
        <v>73</v>
      </c>
      <c r="AJ285" s="141"/>
      <c r="AK285" s="141"/>
      <c r="AL285" s="138">
        <f t="shared" si="21"/>
        <v>0</v>
      </c>
      <c r="AM285" s="8">
        <f t="shared" si="20"/>
        <v>0</v>
      </c>
      <c r="AN285" s="8">
        <f t="shared" si="20"/>
        <v>0</v>
      </c>
      <c r="AO285" s="139">
        <f t="shared" si="20"/>
        <v>0</v>
      </c>
      <c r="AP285" s="139">
        <f t="shared" si="20"/>
        <v>-0.83187500000000014</v>
      </c>
      <c r="AQ285" s="139">
        <f t="shared" si="20"/>
        <v>-2.25</v>
      </c>
      <c r="AR285" s="8">
        <f t="shared" si="20"/>
        <v>-1.0000000000000009E-2</v>
      </c>
      <c r="AS285" s="139">
        <f t="shared" si="20"/>
        <v>3</v>
      </c>
      <c r="AT285" s="200" t="s">
        <v>222</v>
      </c>
      <c r="AU285" s="200" t="s">
        <v>222</v>
      </c>
      <c r="AV285" s="200" t="s">
        <v>222</v>
      </c>
      <c r="AW285" s="200" t="s">
        <v>222</v>
      </c>
      <c r="AX285" s="200" t="s">
        <v>222</v>
      </c>
      <c r="AY285" s="133">
        <v>22</v>
      </c>
      <c r="AZ285" s="312">
        <f t="shared" si="17"/>
        <v>31</v>
      </c>
      <c r="BA285" s="155">
        <f t="shared" si="17"/>
        <v>277</v>
      </c>
      <c r="BB285" s="439" t="s">
        <v>625</v>
      </c>
      <c r="BC285" s="23" t="s">
        <v>458</v>
      </c>
      <c r="BD285" s="23"/>
    </row>
    <row r="286" spans="2:56" ht="15.5">
      <c r="B286" s="141">
        <v>11</v>
      </c>
      <c r="C286" s="156">
        <v>46282</v>
      </c>
      <c r="D286" s="302">
        <v>46283</v>
      </c>
      <c r="E286" s="133">
        <v>36</v>
      </c>
      <c r="F286" s="155">
        <v>285</v>
      </c>
      <c r="G286" s="138">
        <v>3.3750000000000002E-2</v>
      </c>
      <c r="H286" s="8">
        <v>0.315</v>
      </c>
      <c r="I286" s="8">
        <v>0.47</v>
      </c>
      <c r="J286" s="139">
        <v>36.25</v>
      </c>
      <c r="K286" s="139">
        <v>29.453125</v>
      </c>
      <c r="L286" s="139">
        <v>81.25</v>
      </c>
      <c r="M286" s="8">
        <v>0.23</v>
      </c>
      <c r="N286" s="140">
        <v>72.5</v>
      </c>
      <c r="O286" s="306"/>
      <c r="P286" s="140"/>
      <c r="Q286" s="140"/>
      <c r="R286" s="140"/>
      <c r="S286" s="140"/>
      <c r="T286" s="140"/>
      <c r="U286" s="140"/>
      <c r="V286" s="140"/>
      <c r="W286" s="140"/>
      <c r="X286" s="141"/>
      <c r="Y286" s="141"/>
      <c r="Z286" s="312">
        <v>32</v>
      </c>
      <c r="AA286" s="155">
        <v>278</v>
      </c>
      <c r="AB286" s="28">
        <v>3.3750000000000002E-2</v>
      </c>
      <c r="AC286" s="30">
        <v>0.315</v>
      </c>
      <c r="AD286" s="30">
        <v>0.47</v>
      </c>
      <c r="AE286" s="385">
        <v>37.25</v>
      </c>
      <c r="AF286" s="385">
        <v>29</v>
      </c>
      <c r="AG286" s="385">
        <v>77.75</v>
      </c>
      <c r="AH286" s="23">
        <v>0.23</v>
      </c>
      <c r="AI286" s="140">
        <v>72</v>
      </c>
      <c r="AJ286" s="141"/>
      <c r="AK286" s="141"/>
      <c r="AL286" s="138">
        <f t="shared" si="21"/>
        <v>0</v>
      </c>
      <c r="AM286" s="8">
        <f t="shared" si="20"/>
        <v>0</v>
      </c>
      <c r="AN286" s="8">
        <f t="shared" si="20"/>
        <v>0</v>
      </c>
      <c r="AO286" s="139">
        <f t="shared" si="20"/>
        <v>1</v>
      </c>
      <c r="AP286" s="139">
        <f t="shared" si="20"/>
        <v>-0.453125</v>
      </c>
      <c r="AQ286" s="139">
        <f t="shared" si="20"/>
        <v>-3.5</v>
      </c>
      <c r="AR286" s="8">
        <f t="shared" si="20"/>
        <v>0</v>
      </c>
      <c r="AS286" s="139">
        <f t="shared" si="20"/>
        <v>-0.5</v>
      </c>
      <c r="AT286" s="200" t="s">
        <v>222</v>
      </c>
      <c r="AU286" s="200" t="s">
        <v>222</v>
      </c>
      <c r="AV286" s="200" t="s">
        <v>222</v>
      </c>
      <c r="AW286" s="200" t="s">
        <v>222</v>
      </c>
      <c r="AX286" s="200" t="s">
        <v>222</v>
      </c>
      <c r="AY286" s="133">
        <v>22</v>
      </c>
      <c r="AZ286" s="312">
        <f t="shared" si="17"/>
        <v>32</v>
      </c>
      <c r="BA286" s="155">
        <f t="shared" si="17"/>
        <v>278</v>
      </c>
      <c r="BB286" s="439" t="s">
        <v>625</v>
      </c>
      <c r="BC286" s="23" t="s">
        <v>458</v>
      </c>
      <c r="BD286" s="23"/>
    </row>
    <row r="287" spans="2:56" ht="15.5">
      <c r="B287" s="141">
        <v>11</v>
      </c>
      <c r="C287" s="156">
        <v>46282</v>
      </c>
      <c r="D287" s="302">
        <v>46283</v>
      </c>
      <c r="E287" s="133">
        <v>36</v>
      </c>
      <c r="F287" s="155">
        <v>286</v>
      </c>
      <c r="G287" s="138">
        <v>4.2999999999999997E-2</v>
      </c>
      <c r="H287" s="8">
        <v>0.3</v>
      </c>
      <c r="I287" s="8">
        <v>0.35</v>
      </c>
      <c r="J287" s="139">
        <v>37</v>
      </c>
      <c r="K287" s="139">
        <v>30.247499999999999</v>
      </c>
      <c r="L287" s="139">
        <v>81.75</v>
      </c>
      <c r="M287" s="8">
        <v>0.23</v>
      </c>
      <c r="N287" s="140">
        <v>72.5</v>
      </c>
      <c r="O287" s="306"/>
      <c r="P287" s="140"/>
      <c r="Q287" s="140"/>
      <c r="R287" s="140"/>
      <c r="S287" s="140"/>
      <c r="T287" s="140"/>
      <c r="U287" s="140"/>
      <c r="V287" s="140"/>
      <c r="W287" s="140"/>
      <c r="X287" s="141"/>
      <c r="Y287" s="141"/>
      <c r="Z287" s="312">
        <v>32</v>
      </c>
      <c r="AA287" s="155">
        <v>279</v>
      </c>
      <c r="AB287" s="28">
        <v>4.2999999999999997E-2</v>
      </c>
      <c r="AC287" s="30">
        <v>0.3</v>
      </c>
      <c r="AD287" s="30">
        <v>0.35</v>
      </c>
      <c r="AE287" s="385">
        <v>35.5</v>
      </c>
      <c r="AF287" s="385">
        <v>26.75</v>
      </c>
      <c r="AG287" s="385">
        <v>75.25</v>
      </c>
      <c r="AH287" s="23">
        <v>0.23</v>
      </c>
      <c r="AI287" s="140">
        <v>72</v>
      </c>
      <c r="AJ287" s="141"/>
      <c r="AK287" s="141"/>
      <c r="AL287" s="138">
        <f t="shared" si="21"/>
        <v>0</v>
      </c>
      <c r="AM287" s="8">
        <f t="shared" si="20"/>
        <v>0</v>
      </c>
      <c r="AN287" s="8">
        <f t="shared" si="20"/>
        <v>0</v>
      </c>
      <c r="AO287" s="139">
        <f t="shared" si="20"/>
        <v>-1.5</v>
      </c>
      <c r="AP287" s="139">
        <f t="shared" si="20"/>
        <v>-3.4974999999999987</v>
      </c>
      <c r="AQ287" s="139">
        <f t="shared" si="20"/>
        <v>-6.5</v>
      </c>
      <c r="AR287" s="8">
        <f t="shared" si="20"/>
        <v>0</v>
      </c>
      <c r="AS287" s="139">
        <f t="shared" si="20"/>
        <v>-0.5</v>
      </c>
      <c r="AT287" s="200" t="s">
        <v>222</v>
      </c>
      <c r="AU287" s="200" t="s">
        <v>222</v>
      </c>
      <c r="AV287" s="200" t="s">
        <v>222</v>
      </c>
      <c r="AW287" s="200" t="s">
        <v>222</v>
      </c>
      <c r="AX287" s="200" t="s">
        <v>222</v>
      </c>
      <c r="AY287" s="133">
        <v>22</v>
      </c>
      <c r="AZ287" s="312">
        <f t="shared" si="17"/>
        <v>32</v>
      </c>
      <c r="BA287" s="155">
        <f t="shared" si="17"/>
        <v>279</v>
      </c>
      <c r="BB287" s="439" t="s">
        <v>625</v>
      </c>
      <c r="BC287" s="23" t="s">
        <v>458</v>
      </c>
      <c r="BD287" s="23"/>
    </row>
    <row r="288" spans="2:56" ht="15.5">
      <c r="B288" s="141">
        <v>11</v>
      </c>
      <c r="C288" s="156">
        <v>46282</v>
      </c>
      <c r="D288" s="302">
        <v>46283</v>
      </c>
      <c r="E288" s="133">
        <v>36</v>
      </c>
      <c r="F288" s="155">
        <v>288</v>
      </c>
      <c r="G288" s="138">
        <v>2.5750000000000002E-2</v>
      </c>
      <c r="H288" s="8">
        <v>0.34500000000000003</v>
      </c>
      <c r="I288" s="8">
        <v>0.34</v>
      </c>
      <c r="J288" s="139">
        <v>36.5</v>
      </c>
      <c r="K288" s="139">
        <v>30.021249999999998</v>
      </c>
      <c r="L288" s="139">
        <v>82.25</v>
      </c>
      <c r="M288" s="8">
        <v>0.23</v>
      </c>
      <c r="N288" s="140">
        <v>72.5</v>
      </c>
      <c r="O288" s="306"/>
      <c r="P288" s="140"/>
      <c r="Q288" s="140"/>
      <c r="R288" s="140"/>
      <c r="S288" s="140"/>
      <c r="T288" s="140"/>
      <c r="U288" s="140"/>
      <c r="V288" s="140"/>
      <c r="W288" s="140"/>
      <c r="X288" s="141"/>
      <c r="Y288" s="141"/>
      <c r="Z288" s="312">
        <v>32</v>
      </c>
      <c r="AA288" s="155">
        <v>280</v>
      </c>
      <c r="AB288" s="28">
        <v>2.5750000000000002E-2</v>
      </c>
      <c r="AC288" s="30">
        <v>0.34500000000000003</v>
      </c>
      <c r="AD288" s="30">
        <v>0.34</v>
      </c>
      <c r="AE288" s="385">
        <v>36.5</v>
      </c>
      <c r="AF288" s="385">
        <v>27.75</v>
      </c>
      <c r="AG288" s="385">
        <v>76</v>
      </c>
      <c r="AH288" s="23">
        <v>0.23</v>
      </c>
      <c r="AI288" s="140">
        <v>72</v>
      </c>
      <c r="AJ288" s="141"/>
      <c r="AK288" s="141"/>
      <c r="AL288" s="138">
        <f t="shared" si="21"/>
        <v>0</v>
      </c>
      <c r="AM288" s="8">
        <f t="shared" si="20"/>
        <v>0</v>
      </c>
      <c r="AN288" s="8">
        <f t="shared" si="20"/>
        <v>0</v>
      </c>
      <c r="AO288" s="139">
        <f t="shared" si="20"/>
        <v>0</v>
      </c>
      <c r="AP288" s="139">
        <f t="shared" si="20"/>
        <v>-2.2712499999999984</v>
      </c>
      <c r="AQ288" s="139">
        <f t="shared" si="20"/>
        <v>-6.25</v>
      </c>
      <c r="AR288" s="8">
        <f t="shared" si="20"/>
        <v>0</v>
      </c>
      <c r="AS288" s="139">
        <f t="shared" si="20"/>
        <v>-0.5</v>
      </c>
      <c r="AT288" s="200" t="s">
        <v>222</v>
      </c>
      <c r="AU288" s="200" t="s">
        <v>222</v>
      </c>
      <c r="AV288" s="200" t="s">
        <v>222</v>
      </c>
      <c r="AW288" s="200" t="s">
        <v>222</v>
      </c>
      <c r="AX288" s="200" t="s">
        <v>222</v>
      </c>
      <c r="AY288" s="133">
        <v>22</v>
      </c>
      <c r="AZ288" s="312">
        <f t="shared" si="17"/>
        <v>32</v>
      </c>
      <c r="BA288" s="155">
        <f t="shared" si="17"/>
        <v>280</v>
      </c>
      <c r="BB288" s="439" t="s">
        <v>625</v>
      </c>
      <c r="BC288" s="23" t="s">
        <v>458</v>
      </c>
      <c r="BD288" s="23"/>
    </row>
    <row r="289" spans="2:56" ht="15.5">
      <c r="B289" s="141">
        <v>11</v>
      </c>
      <c r="C289" s="156">
        <v>46282</v>
      </c>
      <c r="D289" s="302">
        <v>46283</v>
      </c>
      <c r="E289" s="133">
        <v>37</v>
      </c>
      <c r="F289" s="155">
        <v>289</v>
      </c>
      <c r="G289" s="138">
        <v>4.2250000000000003E-2</v>
      </c>
      <c r="H289" s="8">
        <v>0.34500000000000003</v>
      </c>
      <c r="I289" s="8">
        <v>0.32</v>
      </c>
      <c r="J289" s="139">
        <v>37.75</v>
      </c>
      <c r="K289" s="139">
        <v>29.728124999999999</v>
      </c>
      <c r="L289" s="139">
        <v>78.75</v>
      </c>
      <c r="M289" s="8">
        <v>0.25</v>
      </c>
      <c r="N289" s="140">
        <v>68.5</v>
      </c>
      <c r="O289" s="306"/>
      <c r="P289" s="140"/>
      <c r="Q289" s="140"/>
      <c r="R289" s="140"/>
      <c r="S289" s="140"/>
      <c r="T289" s="140"/>
      <c r="U289" s="140"/>
      <c r="V289" s="140"/>
      <c r="W289" s="140"/>
      <c r="X289" s="141"/>
      <c r="Y289" s="141"/>
      <c r="Z289" s="312">
        <v>32</v>
      </c>
      <c r="AA289" s="155">
        <v>281</v>
      </c>
      <c r="AB289" s="28">
        <v>4.2250000000000003E-2</v>
      </c>
      <c r="AC289" s="30">
        <v>0.34500000000000003</v>
      </c>
      <c r="AD289" s="30">
        <v>0.32</v>
      </c>
      <c r="AE289" s="385">
        <v>37.25</v>
      </c>
      <c r="AF289" s="385">
        <v>29.25</v>
      </c>
      <c r="AG289" s="385">
        <v>78.25</v>
      </c>
      <c r="AH289" s="23">
        <v>0.23</v>
      </c>
      <c r="AI289" s="140">
        <v>72</v>
      </c>
      <c r="AJ289" s="141"/>
      <c r="AK289" s="141"/>
      <c r="AL289" s="138">
        <f t="shared" si="21"/>
        <v>0</v>
      </c>
      <c r="AM289" s="8">
        <f t="shared" si="20"/>
        <v>0</v>
      </c>
      <c r="AN289" s="8">
        <f t="shared" si="20"/>
        <v>0</v>
      </c>
      <c r="AO289" s="139">
        <f t="shared" si="20"/>
        <v>-0.5</v>
      </c>
      <c r="AP289" s="139">
        <f t="shared" si="20"/>
        <v>-0.47812499999999858</v>
      </c>
      <c r="AQ289" s="139">
        <f t="shared" si="20"/>
        <v>-0.5</v>
      </c>
      <c r="AR289" s="8">
        <f t="shared" si="20"/>
        <v>-1.999999999999999E-2</v>
      </c>
      <c r="AS289" s="139">
        <f t="shared" si="20"/>
        <v>3.5</v>
      </c>
      <c r="AT289" s="200" t="s">
        <v>222</v>
      </c>
      <c r="AU289" s="200" t="s">
        <v>222</v>
      </c>
      <c r="AV289" s="200" t="s">
        <v>222</v>
      </c>
      <c r="AW289" s="200" t="s">
        <v>222</v>
      </c>
      <c r="AX289" s="200" t="s">
        <v>222</v>
      </c>
      <c r="AY289" s="133">
        <v>22</v>
      </c>
      <c r="AZ289" s="312">
        <f t="shared" si="17"/>
        <v>32</v>
      </c>
      <c r="BA289" s="155">
        <f t="shared" si="17"/>
        <v>281</v>
      </c>
      <c r="BB289" s="439" t="s">
        <v>625</v>
      </c>
      <c r="BC289" s="23" t="s">
        <v>458</v>
      </c>
      <c r="BD289" s="23"/>
    </row>
    <row r="290" spans="2:56" ht="15.5">
      <c r="B290" s="141">
        <v>11</v>
      </c>
      <c r="C290" s="156">
        <v>46282</v>
      </c>
      <c r="D290" s="302">
        <v>46283</v>
      </c>
      <c r="E290" s="133">
        <v>37</v>
      </c>
      <c r="F290" s="155">
        <v>291</v>
      </c>
      <c r="G290" s="138">
        <v>2.1499999999999998E-2</v>
      </c>
      <c r="H290" s="8">
        <v>0.37</v>
      </c>
      <c r="I290" s="8">
        <v>0.33</v>
      </c>
      <c r="J290" s="139">
        <v>36.75</v>
      </c>
      <c r="K290" s="139">
        <v>28.940625000000001</v>
      </c>
      <c r="L290" s="139">
        <v>78.75</v>
      </c>
      <c r="M290" s="8">
        <v>0.25</v>
      </c>
      <c r="N290" s="140">
        <v>68.5</v>
      </c>
      <c r="O290" s="306"/>
      <c r="P290" s="140"/>
      <c r="Q290" s="140"/>
      <c r="R290" s="140"/>
      <c r="S290" s="140"/>
      <c r="T290" s="140"/>
      <c r="U290" s="140"/>
      <c r="V290" s="140"/>
      <c r="W290" s="140"/>
      <c r="X290" s="141"/>
      <c r="Y290" s="141"/>
      <c r="Z290" s="312">
        <v>32</v>
      </c>
      <c r="AA290" s="155">
        <v>282</v>
      </c>
      <c r="AB290" s="28">
        <v>2.1499999999999998E-2</v>
      </c>
      <c r="AC290" s="30">
        <v>0.37</v>
      </c>
      <c r="AD290" s="30">
        <v>0.33</v>
      </c>
      <c r="AE290" s="385">
        <v>36.75</v>
      </c>
      <c r="AF290" s="385">
        <v>29</v>
      </c>
      <c r="AG290" s="385">
        <v>78.75</v>
      </c>
      <c r="AH290" s="23">
        <v>0.23</v>
      </c>
      <c r="AI290" s="140">
        <v>72</v>
      </c>
      <c r="AJ290" s="141"/>
      <c r="AK290" s="141"/>
      <c r="AL290" s="138">
        <f t="shared" si="21"/>
        <v>0</v>
      </c>
      <c r="AM290" s="8">
        <f t="shared" si="20"/>
        <v>0</v>
      </c>
      <c r="AN290" s="8">
        <f t="shared" si="20"/>
        <v>0</v>
      </c>
      <c r="AO290" s="139">
        <f t="shared" si="20"/>
        <v>0</v>
      </c>
      <c r="AP290" s="139">
        <f t="shared" ref="AP290:AS295" si="22">AF290-K290</f>
        <v>5.9374999999999289E-2</v>
      </c>
      <c r="AQ290" s="139">
        <f t="shared" si="22"/>
        <v>0</v>
      </c>
      <c r="AR290" s="8">
        <f t="shared" si="22"/>
        <v>-1.999999999999999E-2</v>
      </c>
      <c r="AS290" s="139">
        <f t="shared" si="22"/>
        <v>3.5</v>
      </c>
      <c r="AT290" s="200" t="s">
        <v>222</v>
      </c>
      <c r="AU290" s="200" t="s">
        <v>222</v>
      </c>
      <c r="AV290" s="200" t="s">
        <v>222</v>
      </c>
      <c r="AW290" s="200" t="s">
        <v>222</v>
      </c>
      <c r="AX290" s="200" t="s">
        <v>222</v>
      </c>
      <c r="AY290" s="133">
        <v>22</v>
      </c>
      <c r="AZ290" s="312">
        <f t="shared" si="17"/>
        <v>32</v>
      </c>
      <c r="BA290" s="155">
        <f t="shared" si="17"/>
        <v>282</v>
      </c>
      <c r="BB290" s="439" t="s">
        <v>625</v>
      </c>
      <c r="BC290" s="23" t="s">
        <v>458</v>
      </c>
      <c r="BD290" s="23"/>
    </row>
    <row r="291" spans="2:56" ht="15.5">
      <c r="B291" s="141">
        <v>11</v>
      </c>
      <c r="C291" s="156">
        <v>46282</v>
      </c>
      <c r="D291" s="302">
        <v>46283</v>
      </c>
      <c r="E291" s="133">
        <v>37</v>
      </c>
      <c r="F291" s="155">
        <v>293</v>
      </c>
      <c r="G291" s="138">
        <v>5.425E-2</v>
      </c>
      <c r="H291" s="8">
        <v>0.33</v>
      </c>
      <c r="I291" s="8">
        <v>0.22</v>
      </c>
      <c r="J291" s="139">
        <v>35.5</v>
      </c>
      <c r="K291" s="139">
        <v>28.2225</v>
      </c>
      <c r="L291" s="139">
        <v>79.5</v>
      </c>
      <c r="M291" s="8">
        <v>0.25</v>
      </c>
      <c r="N291" s="140">
        <v>68</v>
      </c>
      <c r="O291" s="306"/>
      <c r="P291" s="140"/>
      <c r="Q291" s="140"/>
      <c r="R291" s="140"/>
      <c r="S291" s="140"/>
      <c r="T291" s="140"/>
      <c r="U291" s="140"/>
      <c r="V291" s="140"/>
      <c r="W291" s="140"/>
      <c r="X291" s="141"/>
      <c r="Y291" s="141"/>
      <c r="Z291" s="312">
        <v>32</v>
      </c>
      <c r="AA291" s="155">
        <v>283</v>
      </c>
      <c r="AB291" s="28">
        <v>5.425E-2</v>
      </c>
      <c r="AC291" s="30">
        <v>0.33</v>
      </c>
      <c r="AD291" s="30">
        <v>0.22</v>
      </c>
      <c r="AE291" s="385">
        <v>35.5</v>
      </c>
      <c r="AF291" s="385">
        <v>27.75</v>
      </c>
      <c r="AG291" s="385">
        <v>78</v>
      </c>
      <c r="AH291" s="23">
        <v>0.23</v>
      </c>
      <c r="AI291" s="140">
        <v>68</v>
      </c>
      <c r="AJ291" s="141"/>
      <c r="AK291" s="141"/>
      <c r="AL291" s="138">
        <f t="shared" si="21"/>
        <v>0</v>
      </c>
      <c r="AM291" s="8">
        <f t="shared" si="21"/>
        <v>0</v>
      </c>
      <c r="AN291" s="8">
        <f t="shared" si="21"/>
        <v>0</v>
      </c>
      <c r="AO291" s="139">
        <f t="shared" si="21"/>
        <v>0</v>
      </c>
      <c r="AP291" s="139">
        <f t="shared" si="22"/>
        <v>-0.47250000000000014</v>
      </c>
      <c r="AQ291" s="139">
        <f t="shared" si="22"/>
        <v>-1.5</v>
      </c>
      <c r="AR291" s="8">
        <f t="shared" si="22"/>
        <v>-1.999999999999999E-2</v>
      </c>
      <c r="AS291" s="139">
        <f t="shared" si="22"/>
        <v>0</v>
      </c>
      <c r="AT291" s="200" t="s">
        <v>222</v>
      </c>
      <c r="AU291" s="200" t="s">
        <v>222</v>
      </c>
      <c r="AV291" s="200" t="s">
        <v>222</v>
      </c>
      <c r="AW291" s="200" t="s">
        <v>222</v>
      </c>
      <c r="AX291" s="200" t="s">
        <v>222</v>
      </c>
      <c r="AY291" s="133">
        <v>22</v>
      </c>
      <c r="AZ291" s="312">
        <f t="shared" si="17"/>
        <v>32</v>
      </c>
      <c r="BA291" s="155">
        <f t="shared" si="17"/>
        <v>283</v>
      </c>
      <c r="BB291" s="439" t="s">
        <v>625</v>
      </c>
      <c r="BC291" s="23" t="s">
        <v>458</v>
      </c>
      <c r="BD291" s="23"/>
    </row>
    <row r="292" spans="2:56" ht="15.5">
      <c r="B292" s="141">
        <v>11</v>
      </c>
      <c r="C292" s="156">
        <v>46283</v>
      </c>
      <c r="D292" s="302">
        <v>46284</v>
      </c>
      <c r="E292" s="133">
        <v>37</v>
      </c>
      <c r="F292" s="155">
        <v>295</v>
      </c>
      <c r="G292" s="138">
        <v>3.075E-2</v>
      </c>
      <c r="H292" s="8">
        <v>0.3075</v>
      </c>
      <c r="I292" s="8">
        <v>0.25</v>
      </c>
      <c r="J292" s="139">
        <v>37</v>
      </c>
      <c r="K292" s="139">
        <v>29.692499999999999</v>
      </c>
      <c r="L292" s="139">
        <v>80.25</v>
      </c>
      <c r="M292" s="8">
        <v>0.25</v>
      </c>
      <c r="N292" s="140">
        <v>68</v>
      </c>
      <c r="O292" s="306"/>
      <c r="P292" s="140"/>
      <c r="Q292" s="140"/>
      <c r="R292" s="140"/>
      <c r="S292" s="140"/>
      <c r="T292" s="140"/>
      <c r="U292" s="140"/>
      <c r="V292" s="140"/>
      <c r="W292" s="140"/>
      <c r="X292" s="141"/>
      <c r="Y292" s="141"/>
      <c r="Z292" s="312">
        <v>32</v>
      </c>
      <c r="AA292" s="155">
        <v>284</v>
      </c>
      <c r="AB292" s="28">
        <v>3.075E-2</v>
      </c>
      <c r="AC292" s="30">
        <v>0.3075</v>
      </c>
      <c r="AD292" s="30">
        <v>0.25</v>
      </c>
      <c r="AE292" s="385">
        <v>37</v>
      </c>
      <c r="AF292" s="385">
        <v>29</v>
      </c>
      <c r="AG292" s="385">
        <v>78.25</v>
      </c>
      <c r="AH292" s="23">
        <v>0.23</v>
      </c>
      <c r="AI292" s="140">
        <v>68</v>
      </c>
      <c r="AJ292" s="141"/>
      <c r="AK292" s="141"/>
      <c r="AL292" s="138">
        <f t="shared" si="21"/>
        <v>0</v>
      </c>
      <c r="AM292" s="8">
        <f t="shared" si="21"/>
        <v>0</v>
      </c>
      <c r="AN292" s="8">
        <f t="shared" si="21"/>
        <v>0</v>
      </c>
      <c r="AO292" s="139">
        <f t="shared" si="21"/>
        <v>0</v>
      </c>
      <c r="AP292" s="139">
        <f t="shared" si="22"/>
        <v>-0.69249999999999901</v>
      </c>
      <c r="AQ292" s="139">
        <f t="shared" si="22"/>
        <v>-2</v>
      </c>
      <c r="AR292" s="8">
        <f t="shared" si="22"/>
        <v>-1.999999999999999E-2</v>
      </c>
      <c r="AS292" s="139">
        <f t="shared" si="22"/>
        <v>0</v>
      </c>
      <c r="AT292" s="200" t="s">
        <v>222</v>
      </c>
      <c r="AU292" s="200" t="s">
        <v>222</v>
      </c>
      <c r="AV292" s="200" t="s">
        <v>222</v>
      </c>
      <c r="AW292" s="200" t="s">
        <v>222</v>
      </c>
      <c r="AX292" s="200" t="s">
        <v>222</v>
      </c>
      <c r="AY292" s="133">
        <v>22</v>
      </c>
      <c r="AZ292" s="312">
        <f t="shared" si="17"/>
        <v>32</v>
      </c>
      <c r="BA292" s="155">
        <f t="shared" si="17"/>
        <v>284</v>
      </c>
      <c r="BB292" s="439" t="s">
        <v>625</v>
      </c>
      <c r="BC292" s="23" t="s">
        <v>458</v>
      </c>
      <c r="BD292" s="23"/>
    </row>
    <row r="293" spans="2:56" ht="15.5">
      <c r="B293" s="141">
        <v>11</v>
      </c>
      <c r="C293" s="156">
        <v>46283</v>
      </c>
      <c r="D293" s="302">
        <v>46284</v>
      </c>
      <c r="E293" s="133">
        <v>38</v>
      </c>
      <c r="F293" s="155">
        <v>297</v>
      </c>
      <c r="G293" s="138">
        <v>8.2500000000000004E-2</v>
      </c>
      <c r="H293" s="8">
        <v>0.3175</v>
      </c>
      <c r="I293" s="8">
        <v>0.19</v>
      </c>
      <c r="J293" s="139">
        <v>36.5</v>
      </c>
      <c r="K293" s="139">
        <v>28.743749999999999</v>
      </c>
      <c r="L293" s="139">
        <v>78.75</v>
      </c>
      <c r="M293" s="8">
        <v>0.2</v>
      </c>
      <c r="N293" s="140">
        <v>72</v>
      </c>
      <c r="O293" s="306"/>
      <c r="P293" s="140"/>
      <c r="Q293" s="140"/>
      <c r="R293" s="140"/>
      <c r="S293" s="140"/>
      <c r="T293" s="140"/>
      <c r="U293" s="140"/>
      <c r="V293" s="140"/>
      <c r="W293" s="140"/>
      <c r="X293" s="141"/>
      <c r="Y293" s="141"/>
      <c r="Z293" s="312">
        <v>32</v>
      </c>
      <c r="AA293" s="155">
        <v>285</v>
      </c>
      <c r="AB293" s="28">
        <v>8.2500000000000004E-2</v>
      </c>
      <c r="AC293" s="30">
        <v>0.3175</v>
      </c>
      <c r="AD293" s="30">
        <v>0.19</v>
      </c>
      <c r="AE293" s="385">
        <v>36.75</v>
      </c>
      <c r="AF293" s="385">
        <v>28.5</v>
      </c>
      <c r="AG293" s="385">
        <v>77.5</v>
      </c>
      <c r="AH293" s="23">
        <v>0.23</v>
      </c>
      <c r="AI293" s="140">
        <v>68</v>
      </c>
      <c r="AJ293" s="141"/>
      <c r="AK293" s="141"/>
      <c r="AL293" s="138">
        <f t="shared" si="21"/>
        <v>0</v>
      </c>
      <c r="AM293" s="8">
        <f t="shared" si="21"/>
        <v>0</v>
      </c>
      <c r="AN293" s="8">
        <f t="shared" si="21"/>
        <v>0</v>
      </c>
      <c r="AO293" s="139">
        <f t="shared" si="21"/>
        <v>0.25</v>
      </c>
      <c r="AP293" s="139">
        <f t="shared" si="22"/>
        <v>-0.24374999999999858</v>
      </c>
      <c r="AQ293" s="139">
        <f t="shared" si="22"/>
        <v>-1.25</v>
      </c>
      <c r="AR293" s="8">
        <f t="shared" si="22"/>
        <v>0.03</v>
      </c>
      <c r="AS293" s="139">
        <f t="shared" si="22"/>
        <v>-4</v>
      </c>
      <c r="AT293" s="200" t="s">
        <v>222</v>
      </c>
      <c r="AU293" s="200" t="s">
        <v>222</v>
      </c>
      <c r="AV293" s="200" t="s">
        <v>222</v>
      </c>
      <c r="AW293" s="200" t="s">
        <v>222</v>
      </c>
      <c r="AX293" s="200" t="s">
        <v>222</v>
      </c>
      <c r="AY293" s="133">
        <v>22</v>
      </c>
      <c r="AZ293" s="312">
        <f t="shared" si="17"/>
        <v>32</v>
      </c>
      <c r="BA293" s="155">
        <f t="shared" si="17"/>
        <v>285</v>
      </c>
      <c r="BB293" s="439" t="s">
        <v>625</v>
      </c>
      <c r="BC293" s="23" t="s">
        <v>458</v>
      </c>
      <c r="BD293" s="23"/>
    </row>
    <row r="294" spans="2:56" ht="15.5">
      <c r="B294" s="141">
        <v>11</v>
      </c>
      <c r="C294" s="156">
        <v>46283</v>
      </c>
      <c r="D294" s="302">
        <v>46284</v>
      </c>
      <c r="E294" s="133">
        <v>38</v>
      </c>
      <c r="F294" s="155">
        <v>298</v>
      </c>
      <c r="G294" s="138">
        <v>5.1249999999999997E-2</v>
      </c>
      <c r="H294" s="8">
        <v>0.3175</v>
      </c>
      <c r="I294" s="8">
        <v>0.23</v>
      </c>
      <c r="J294" s="139">
        <v>36.25</v>
      </c>
      <c r="K294" s="139">
        <v>29.996874999999999</v>
      </c>
      <c r="L294" s="139">
        <v>82.75</v>
      </c>
      <c r="M294" s="8">
        <v>0.2</v>
      </c>
      <c r="N294" s="140">
        <v>72</v>
      </c>
      <c r="O294" s="306"/>
      <c r="P294" s="140"/>
      <c r="Q294" s="140"/>
      <c r="R294" s="140"/>
      <c r="S294" s="140"/>
      <c r="T294" s="140"/>
      <c r="U294" s="140"/>
      <c r="V294" s="140"/>
      <c r="W294" s="140"/>
      <c r="X294" s="141"/>
      <c r="Y294" s="141"/>
      <c r="Z294" s="312">
        <v>32</v>
      </c>
      <c r="AA294" s="155">
        <v>286</v>
      </c>
      <c r="AB294" s="28">
        <v>5.1249999999999997E-2</v>
      </c>
      <c r="AC294" s="30">
        <v>0.3175</v>
      </c>
      <c r="AD294" s="30">
        <v>0.23</v>
      </c>
      <c r="AE294" s="385">
        <v>36.25</v>
      </c>
      <c r="AF294" s="385">
        <v>27.75</v>
      </c>
      <c r="AG294" s="385">
        <v>76.75</v>
      </c>
      <c r="AH294" s="23">
        <v>0.23</v>
      </c>
      <c r="AI294" s="140">
        <v>68</v>
      </c>
      <c r="AJ294" s="141"/>
      <c r="AK294" s="141"/>
      <c r="AL294" s="138">
        <f t="shared" si="21"/>
        <v>0</v>
      </c>
      <c r="AM294" s="8">
        <f t="shared" si="21"/>
        <v>0</v>
      </c>
      <c r="AN294" s="8">
        <f t="shared" si="21"/>
        <v>0</v>
      </c>
      <c r="AO294" s="139">
        <f t="shared" si="21"/>
        <v>0</v>
      </c>
      <c r="AP294" s="139">
        <f t="shared" si="22"/>
        <v>-2.2468749999999993</v>
      </c>
      <c r="AQ294" s="139">
        <f t="shared" si="22"/>
        <v>-6</v>
      </c>
      <c r="AR294" s="8">
        <f t="shared" si="22"/>
        <v>0.03</v>
      </c>
      <c r="AS294" s="139">
        <f t="shared" si="22"/>
        <v>-4</v>
      </c>
      <c r="AT294" s="200" t="s">
        <v>222</v>
      </c>
      <c r="AU294" s="200" t="s">
        <v>222</v>
      </c>
      <c r="AV294" s="200" t="s">
        <v>222</v>
      </c>
      <c r="AW294" s="200" t="s">
        <v>222</v>
      </c>
      <c r="AX294" s="200" t="s">
        <v>222</v>
      </c>
      <c r="AY294" s="133">
        <v>22</v>
      </c>
      <c r="AZ294" s="312">
        <f t="shared" si="17"/>
        <v>32</v>
      </c>
      <c r="BA294" s="155">
        <f t="shared" si="17"/>
        <v>286</v>
      </c>
      <c r="BB294" s="439" t="s">
        <v>625</v>
      </c>
      <c r="BC294" s="23" t="s">
        <v>458</v>
      </c>
      <c r="BD294" s="23"/>
    </row>
    <row r="295" spans="2:56" ht="15.5">
      <c r="B295" s="141">
        <v>11</v>
      </c>
      <c r="C295" s="156">
        <v>46282</v>
      </c>
      <c r="D295" s="302">
        <v>46283</v>
      </c>
      <c r="E295" s="133">
        <v>37</v>
      </c>
      <c r="F295" s="155">
        <v>294</v>
      </c>
      <c r="G295" s="138">
        <v>7.0750000000000007E-2</v>
      </c>
      <c r="H295" s="8">
        <v>0.32</v>
      </c>
      <c r="I295" s="8">
        <v>0.31</v>
      </c>
      <c r="J295" s="139">
        <v>36.25</v>
      </c>
      <c r="K295" s="139">
        <v>29.815625000000001</v>
      </c>
      <c r="L295" s="139">
        <v>82.25</v>
      </c>
      <c r="M295" s="8">
        <v>0.25</v>
      </c>
      <c r="N295" s="140">
        <v>68</v>
      </c>
      <c r="O295" s="306"/>
      <c r="P295" s="140"/>
      <c r="Q295" s="140"/>
      <c r="R295" s="140"/>
      <c r="S295" s="140"/>
      <c r="T295" s="140"/>
      <c r="U295" s="140"/>
      <c r="V295" s="140"/>
      <c r="W295" s="140"/>
      <c r="X295" s="141"/>
      <c r="Y295" s="141"/>
      <c r="Z295" s="312">
        <v>32</v>
      </c>
      <c r="AA295" s="155">
        <v>287</v>
      </c>
      <c r="AB295" s="28">
        <v>7.0750000000000007E-2</v>
      </c>
      <c r="AC295" s="30">
        <v>0.32</v>
      </c>
      <c r="AD295" s="30">
        <v>0.31</v>
      </c>
      <c r="AE295" s="385">
        <v>36.25</v>
      </c>
      <c r="AF295" s="385">
        <v>29</v>
      </c>
      <c r="AG295" s="385">
        <v>80.25</v>
      </c>
      <c r="AH295" s="23">
        <v>0.23</v>
      </c>
      <c r="AI295" s="140">
        <v>68</v>
      </c>
      <c r="AJ295" s="141"/>
      <c r="AK295" s="141"/>
      <c r="AL295" s="138">
        <f t="shared" si="21"/>
        <v>0</v>
      </c>
      <c r="AM295" s="8">
        <f t="shared" si="21"/>
        <v>0</v>
      </c>
      <c r="AN295" s="8">
        <f t="shared" si="21"/>
        <v>0</v>
      </c>
      <c r="AO295" s="139">
        <f t="shared" si="21"/>
        <v>0</v>
      </c>
      <c r="AP295" s="139">
        <f t="shared" si="22"/>
        <v>-0.81562500000000071</v>
      </c>
      <c r="AQ295" s="139">
        <f t="shared" si="22"/>
        <v>-2</v>
      </c>
      <c r="AR295" s="8">
        <f t="shared" si="22"/>
        <v>-1.999999999999999E-2</v>
      </c>
      <c r="AS295" s="139">
        <f t="shared" si="22"/>
        <v>0</v>
      </c>
      <c r="AT295" s="200" t="s">
        <v>222</v>
      </c>
      <c r="AU295" s="200" t="s">
        <v>222</v>
      </c>
      <c r="AV295" s="200" t="s">
        <v>222</v>
      </c>
      <c r="AW295" s="200" t="s">
        <v>222</v>
      </c>
      <c r="AX295" s="200" t="s">
        <v>222</v>
      </c>
      <c r="AY295" s="133">
        <v>22</v>
      </c>
      <c r="AZ295" s="312">
        <f t="shared" si="17"/>
        <v>32</v>
      </c>
      <c r="BA295" s="155">
        <f t="shared" si="17"/>
        <v>287</v>
      </c>
      <c r="BB295" s="439" t="s">
        <v>625</v>
      </c>
      <c r="BC295" s="23" t="s">
        <v>458</v>
      </c>
      <c r="BD295" s="23"/>
    </row>
    <row r="296" spans="2:56" ht="15.5">
      <c r="B296" s="141"/>
      <c r="C296" s="156"/>
      <c r="D296" s="302"/>
      <c r="E296" s="133"/>
      <c r="F296" s="155"/>
      <c r="G296" s="138"/>
      <c r="H296" s="8"/>
      <c r="I296" s="8"/>
      <c r="J296" s="139"/>
      <c r="K296" s="139"/>
      <c r="L296" s="139"/>
      <c r="M296" s="8"/>
      <c r="N296" s="140"/>
      <c r="O296" s="306"/>
      <c r="P296" s="140"/>
      <c r="Q296" s="140"/>
      <c r="R296" s="140"/>
      <c r="S296" s="140"/>
      <c r="T296" s="140"/>
      <c r="U296" s="140"/>
      <c r="V296" s="140"/>
      <c r="W296" s="140"/>
      <c r="X296" s="141"/>
      <c r="Y296" s="141"/>
      <c r="Z296" s="312"/>
      <c r="AA296" s="155"/>
      <c r="AB296" s="23"/>
      <c r="AC296" s="23"/>
      <c r="AD296" s="23"/>
      <c r="AE296" s="23"/>
      <c r="AF296" s="23"/>
      <c r="AG296" s="23"/>
      <c r="AH296" s="23"/>
      <c r="AI296" s="23"/>
      <c r="AJ296" s="141"/>
      <c r="AK296" s="141"/>
      <c r="AL296" s="141"/>
      <c r="AM296" s="141"/>
      <c r="AN296" s="141"/>
      <c r="AO296" s="141"/>
      <c r="AP296" s="141"/>
      <c r="AQ296" s="141"/>
      <c r="AR296" s="141"/>
      <c r="AS296" s="141"/>
      <c r="AT296" s="141"/>
      <c r="AU296" s="141"/>
      <c r="AV296" s="141"/>
      <c r="AW296" s="141"/>
      <c r="AX296" s="141"/>
      <c r="AY296" s="141"/>
      <c r="AZ296" s="312"/>
      <c r="BA296" s="155"/>
      <c r="BB296" s="309"/>
      <c r="BC296" s="23"/>
      <c r="BD296" s="23"/>
    </row>
    <row r="297" spans="2:56" ht="15.5">
      <c r="B297" s="141"/>
      <c r="C297" s="156"/>
      <c r="D297" s="302"/>
      <c r="E297" s="133"/>
      <c r="F297" s="155"/>
      <c r="G297" s="138"/>
      <c r="H297" s="8"/>
      <c r="I297" s="8"/>
      <c r="J297" s="139"/>
      <c r="K297" s="139"/>
      <c r="L297" s="139"/>
      <c r="M297" s="8"/>
      <c r="N297" s="140"/>
      <c r="O297" s="306"/>
      <c r="P297" s="140"/>
      <c r="Q297" s="140"/>
      <c r="R297" s="140"/>
      <c r="S297" s="140"/>
      <c r="T297" s="140"/>
      <c r="U297" s="140"/>
      <c r="V297" s="140"/>
      <c r="W297" s="140"/>
      <c r="X297" s="141"/>
      <c r="Y297" s="141"/>
      <c r="Z297" s="312"/>
      <c r="AA297" s="155"/>
      <c r="AB297" s="23"/>
      <c r="AC297" s="23"/>
      <c r="AD297" s="23"/>
      <c r="AE297" s="23"/>
      <c r="AF297" s="23"/>
      <c r="AG297" s="23"/>
      <c r="AH297" s="23"/>
      <c r="AI297" s="23"/>
      <c r="AJ297" s="141"/>
      <c r="AK297" s="141"/>
      <c r="AL297" s="141"/>
      <c r="AM297" s="141"/>
      <c r="AN297" s="141"/>
      <c r="AO297" s="141"/>
      <c r="AP297" s="141"/>
      <c r="AQ297" s="141"/>
      <c r="AR297" s="141"/>
      <c r="AS297" s="141"/>
      <c r="AT297" s="141"/>
      <c r="AU297" s="141"/>
      <c r="AV297" s="141"/>
      <c r="AW297" s="141"/>
      <c r="AX297" s="141"/>
      <c r="AY297" s="141"/>
      <c r="AZ297" s="312"/>
      <c r="BA297" s="155"/>
      <c r="BB297" s="309"/>
      <c r="BC297" s="23"/>
      <c r="BD297" s="23"/>
    </row>
    <row r="298" spans="2:56" ht="15.5">
      <c r="B298" s="141"/>
      <c r="C298" s="156"/>
      <c r="D298" s="302"/>
      <c r="E298" s="133"/>
      <c r="F298" s="155"/>
      <c r="G298" s="138"/>
      <c r="H298" s="8"/>
      <c r="I298" s="8"/>
      <c r="J298" s="139"/>
      <c r="K298" s="139"/>
      <c r="L298" s="139"/>
      <c r="M298" s="8"/>
      <c r="N298" s="140"/>
      <c r="O298" s="306"/>
      <c r="P298" s="140"/>
      <c r="Q298" s="140"/>
      <c r="R298" s="140"/>
      <c r="S298" s="140"/>
      <c r="T298" s="140"/>
      <c r="U298" s="140"/>
      <c r="V298" s="140"/>
      <c r="W298" s="140"/>
      <c r="X298" s="141"/>
      <c r="Y298" s="141"/>
      <c r="Z298" s="312"/>
      <c r="AA298" s="155"/>
      <c r="AB298" s="23"/>
      <c r="AC298" s="23"/>
      <c r="AD298" s="23"/>
      <c r="AE298" s="23"/>
      <c r="AF298" s="23"/>
      <c r="AG298" s="23"/>
      <c r="AH298" s="23"/>
      <c r="AI298" s="23"/>
      <c r="AJ298" s="141"/>
      <c r="AK298" s="141"/>
      <c r="AL298" s="141"/>
      <c r="AM298" s="141"/>
      <c r="AN298" s="141"/>
      <c r="AO298" s="141"/>
      <c r="AP298" s="141"/>
      <c r="AQ298" s="141"/>
      <c r="AR298" s="141"/>
      <c r="AS298" s="141"/>
      <c r="AT298" s="141"/>
      <c r="AU298" s="141"/>
      <c r="AV298" s="141"/>
      <c r="AW298" s="141"/>
      <c r="AX298" s="141"/>
      <c r="AY298" s="141"/>
      <c r="AZ298" s="312"/>
      <c r="BA298" s="155"/>
      <c r="BB298" s="309"/>
      <c r="BC298" s="23"/>
      <c r="BD298" s="23"/>
    </row>
    <row r="299" spans="2:56" ht="15.5">
      <c r="B299" s="141"/>
      <c r="C299" s="156"/>
      <c r="D299" s="302"/>
      <c r="E299" s="133"/>
      <c r="F299" s="155"/>
      <c r="G299" s="138"/>
      <c r="H299" s="8"/>
      <c r="I299" s="8"/>
      <c r="J299" s="139"/>
      <c r="K299" s="139"/>
      <c r="L299" s="139"/>
      <c r="M299" s="8"/>
      <c r="N299" s="140"/>
      <c r="O299" s="306"/>
      <c r="P299" s="140"/>
      <c r="Q299" s="140"/>
      <c r="R299" s="140"/>
      <c r="S299" s="140"/>
      <c r="T299" s="140"/>
      <c r="U299" s="140"/>
      <c r="V299" s="140"/>
      <c r="W299" s="140"/>
      <c r="X299" s="141"/>
      <c r="Y299" s="141"/>
      <c r="Z299" s="312"/>
      <c r="AA299" s="155"/>
      <c r="AB299" s="23"/>
      <c r="AC299" s="23"/>
      <c r="AD299" s="23"/>
      <c r="AE299" s="23"/>
      <c r="AF299" s="23"/>
      <c r="AG299" s="23"/>
      <c r="AH299" s="23"/>
      <c r="AI299" s="23"/>
      <c r="AJ299" s="141"/>
      <c r="AK299" s="141"/>
      <c r="AL299" s="141"/>
      <c r="AM299" s="141"/>
      <c r="AN299" s="141"/>
      <c r="AO299" s="141"/>
      <c r="AP299" s="141"/>
      <c r="AQ299" s="141"/>
      <c r="AR299" s="141"/>
      <c r="AS299" s="141"/>
      <c r="AT299" s="141"/>
      <c r="AU299" s="141"/>
      <c r="AV299" s="141"/>
      <c r="AW299" s="141"/>
      <c r="AX299" s="141"/>
      <c r="AY299" s="141"/>
      <c r="AZ299" s="312"/>
      <c r="BA299" s="155"/>
      <c r="BB299" s="309"/>
      <c r="BC299" s="23"/>
      <c r="BD299" s="23"/>
    </row>
    <row r="300" spans="2:56" ht="15.5">
      <c r="B300" s="141"/>
      <c r="C300" s="156"/>
      <c r="D300" s="302"/>
      <c r="E300" s="133"/>
      <c r="F300" s="155"/>
      <c r="G300" s="138"/>
      <c r="H300" s="8"/>
      <c r="I300" s="8"/>
      <c r="J300" s="139"/>
      <c r="K300" s="139"/>
      <c r="L300" s="139"/>
      <c r="M300" s="8"/>
      <c r="N300" s="140"/>
      <c r="O300" s="306"/>
      <c r="P300" s="140"/>
      <c r="Q300" s="140"/>
      <c r="R300" s="140"/>
      <c r="S300" s="140"/>
      <c r="T300" s="140"/>
      <c r="U300" s="140"/>
      <c r="V300" s="140"/>
      <c r="W300" s="140"/>
      <c r="X300" s="141"/>
      <c r="Y300" s="141"/>
      <c r="Z300" s="312"/>
      <c r="AA300" s="155"/>
      <c r="AB300" s="23"/>
      <c r="AC300" s="23"/>
      <c r="AD300" s="23"/>
      <c r="AE300" s="23"/>
      <c r="AF300" s="23"/>
      <c r="AG300" s="23"/>
      <c r="AH300" s="23"/>
      <c r="AI300" s="23"/>
      <c r="AJ300" s="141"/>
      <c r="AK300" s="141"/>
      <c r="AL300" s="141"/>
      <c r="AM300" s="141"/>
      <c r="AN300" s="141"/>
      <c r="AO300" s="141"/>
      <c r="AP300" s="141"/>
      <c r="AQ300" s="141"/>
      <c r="AR300" s="141"/>
      <c r="AS300" s="141"/>
      <c r="AT300" s="141"/>
      <c r="AU300" s="141"/>
      <c r="AV300" s="141"/>
      <c r="AW300" s="141"/>
      <c r="AX300" s="141"/>
      <c r="AY300" s="141"/>
      <c r="AZ300" s="312"/>
      <c r="BA300" s="155"/>
      <c r="BB300" s="309"/>
      <c r="BC300" s="23"/>
      <c r="BD300" s="23"/>
    </row>
    <row r="301" spans="2:56" ht="15.5">
      <c r="B301" s="141"/>
      <c r="C301" s="156"/>
      <c r="D301" s="302"/>
      <c r="E301" s="133"/>
      <c r="F301" s="155"/>
      <c r="G301" s="138"/>
      <c r="H301" s="8"/>
      <c r="I301" s="8"/>
      <c r="J301" s="139"/>
      <c r="K301" s="139"/>
      <c r="L301" s="139"/>
      <c r="M301" s="8"/>
      <c r="N301" s="140"/>
      <c r="O301" s="306"/>
      <c r="P301" s="140"/>
      <c r="Q301" s="140"/>
      <c r="R301" s="140"/>
      <c r="S301" s="140"/>
      <c r="T301" s="140"/>
      <c r="U301" s="140"/>
      <c r="V301" s="140"/>
      <c r="W301" s="140"/>
      <c r="X301" s="141"/>
      <c r="Y301" s="141"/>
      <c r="Z301" s="312"/>
      <c r="AA301" s="155"/>
      <c r="AB301" s="23"/>
      <c r="AC301" s="23"/>
      <c r="AD301" s="23"/>
      <c r="AE301" s="23"/>
      <c r="AF301" s="23"/>
      <c r="AG301" s="23"/>
      <c r="AH301" s="23"/>
      <c r="AI301" s="23"/>
      <c r="AJ301" s="141"/>
      <c r="AK301" s="141"/>
      <c r="AL301" s="141"/>
      <c r="AM301" s="141"/>
      <c r="AN301" s="141"/>
      <c r="AO301" s="141"/>
      <c r="AP301" s="141"/>
      <c r="AQ301" s="141"/>
      <c r="AR301" s="141"/>
      <c r="AS301" s="141"/>
      <c r="AT301" s="141"/>
      <c r="AU301" s="141"/>
      <c r="AV301" s="141"/>
      <c r="AW301" s="141"/>
      <c r="AX301" s="141"/>
      <c r="AY301" s="141"/>
      <c r="AZ301" s="312"/>
      <c r="BA301" s="155"/>
      <c r="BB301" s="309"/>
      <c r="BC301" s="23"/>
      <c r="BD301" s="23"/>
    </row>
    <row r="302" spans="2:56" ht="15.5">
      <c r="B302" s="141"/>
      <c r="C302" s="156"/>
      <c r="D302" s="302"/>
      <c r="E302" s="133"/>
      <c r="F302" s="155"/>
      <c r="G302" s="138"/>
      <c r="H302" s="8"/>
      <c r="I302" s="8"/>
      <c r="J302" s="139"/>
      <c r="K302" s="139"/>
      <c r="L302" s="139"/>
      <c r="M302" s="8"/>
      <c r="N302" s="140"/>
      <c r="O302" s="306"/>
      <c r="P302" s="140"/>
      <c r="Q302" s="140"/>
      <c r="R302" s="140"/>
      <c r="S302" s="140"/>
      <c r="T302" s="140"/>
      <c r="U302" s="140"/>
      <c r="V302" s="140"/>
      <c r="W302" s="140"/>
      <c r="X302" s="141"/>
      <c r="Y302" s="141"/>
      <c r="Z302" s="312"/>
      <c r="AA302" s="155"/>
      <c r="AB302" s="23"/>
      <c r="AC302" s="23"/>
      <c r="AD302" s="23"/>
      <c r="AE302" s="23"/>
      <c r="AF302" s="23"/>
      <c r="AG302" s="23"/>
      <c r="AH302" s="23"/>
      <c r="AI302" s="23"/>
      <c r="AJ302" s="141"/>
      <c r="AK302" s="141"/>
      <c r="AL302" s="141"/>
      <c r="AM302" s="141"/>
      <c r="AN302" s="141"/>
      <c r="AO302" s="141"/>
      <c r="AP302" s="141"/>
      <c r="AQ302" s="141"/>
      <c r="AR302" s="141"/>
      <c r="AS302" s="141"/>
      <c r="AT302" s="141"/>
      <c r="AU302" s="141"/>
      <c r="AV302" s="141"/>
      <c r="AW302" s="141"/>
      <c r="AX302" s="141"/>
      <c r="AY302" s="141"/>
      <c r="AZ302" s="312"/>
      <c r="BA302" s="155"/>
      <c r="BB302" s="309"/>
      <c r="BC302" s="23"/>
      <c r="BD302" s="23"/>
    </row>
    <row r="303" spans="2:56" ht="15.5">
      <c r="B303" s="141"/>
      <c r="C303" s="156"/>
      <c r="D303" s="302"/>
      <c r="E303" s="133"/>
      <c r="F303" s="155"/>
      <c r="G303" s="138"/>
      <c r="H303" s="8"/>
      <c r="I303" s="8"/>
      <c r="J303" s="139"/>
      <c r="K303" s="139"/>
      <c r="L303" s="139"/>
      <c r="M303" s="8"/>
      <c r="N303" s="140"/>
      <c r="O303" s="306"/>
      <c r="P303" s="140"/>
      <c r="Q303" s="140"/>
      <c r="R303" s="140"/>
      <c r="S303" s="140"/>
      <c r="T303" s="140"/>
      <c r="U303" s="140"/>
      <c r="V303" s="140"/>
      <c r="W303" s="140"/>
      <c r="X303" s="141"/>
      <c r="Y303" s="141"/>
      <c r="Z303" s="312"/>
      <c r="AA303" s="155"/>
      <c r="AB303" s="23"/>
      <c r="AC303" s="23"/>
      <c r="AD303" s="23"/>
      <c r="AE303" s="23"/>
      <c r="AF303" s="23"/>
      <c r="AG303" s="23"/>
      <c r="AH303" s="23"/>
      <c r="AI303" s="23"/>
      <c r="AJ303" s="141"/>
      <c r="AK303" s="141"/>
      <c r="AL303" s="141"/>
      <c r="AM303" s="141"/>
      <c r="AN303" s="141"/>
      <c r="AO303" s="141"/>
      <c r="AP303" s="141"/>
      <c r="AQ303" s="141"/>
      <c r="AR303" s="141"/>
      <c r="AS303" s="141"/>
      <c r="AT303" s="141"/>
      <c r="AU303" s="141"/>
      <c r="AV303" s="141"/>
      <c r="AW303" s="141"/>
      <c r="AX303" s="141"/>
      <c r="AY303" s="141"/>
      <c r="AZ303" s="312"/>
      <c r="BA303" s="155"/>
      <c r="BB303" s="309"/>
      <c r="BC303" s="23"/>
      <c r="BD303" s="23"/>
    </row>
    <row r="304" spans="2:56" ht="15.5">
      <c r="B304" s="141"/>
      <c r="C304" s="156"/>
      <c r="D304" s="302"/>
      <c r="E304" s="133"/>
      <c r="F304" s="155"/>
      <c r="G304" s="138"/>
      <c r="H304" s="8"/>
      <c r="I304" s="8"/>
      <c r="J304" s="139"/>
      <c r="K304" s="139"/>
      <c r="L304" s="139"/>
      <c r="M304" s="8"/>
      <c r="N304" s="140"/>
      <c r="O304" s="306"/>
      <c r="P304" s="140"/>
      <c r="Q304" s="140"/>
      <c r="R304" s="140"/>
      <c r="S304" s="140"/>
      <c r="T304" s="140"/>
      <c r="U304" s="140"/>
      <c r="V304" s="140"/>
      <c r="W304" s="140"/>
      <c r="X304" s="141"/>
      <c r="Y304" s="141"/>
      <c r="Z304" s="312"/>
      <c r="AA304" s="155"/>
      <c r="AB304" s="23"/>
      <c r="AC304" s="23"/>
      <c r="AD304" s="23"/>
      <c r="AE304" s="23"/>
      <c r="AF304" s="23"/>
      <c r="AG304" s="23"/>
      <c r="AH304" s="23"/>
      <c r="AI304" s="23"/>
      <c r="AJ304" s="141"/>
      <c r="AK304" s="141"/>
      <c r="AL304" s="141"/>
      <c r="AM304" s="141"/>
      <c r="AN304" s="141"/>
      <c r="AO304" s="141"/>
      <c r="AP304" s="141"/>
      <c r="AQ304" s="141"/>
      <c r="AR304" s="141"/>
      <c r="AS304" s="141"/>
      <c r="AT304" s="141"/>
      <c r="AU304" s="141"/>
      <c r="AV304" s="141"/>
      <c r="AW304" s="141"/>
      <c r="AX304" s="141"/>
      <c r="AY304" s="141"/>
      <c r="AZ304" s="312"/>
      <c r="BA304" s="155"/>
      <c r="BB304" s="309"/>
      <c r="BC304" s="23"/>
      <c r="BD304" s="23"/>
    </row>
    <row r="305" spans="2:56" ht="15.5">
      <c r="B305" s="141"/>
      <c r="C305" s="156"/>
      <c r="D305" s="302"/>
      <c r="E305" s="133"/>
      <c r="F305" s="155"/>
      <c r="G305" s="138"/>
      <c r="H305" s="8"/>
      <c r="I305" s="8"/>
      <c r="J305" s="139"/>
      <c r="K305" s="139"/>
      <c r="L305" s="139"/>
      <c r="M305" s="8"/>
      <c r="N305" s="140"/>
      <c r="O305" s="306"/>
      <c r="P305" s="140"/>
      <c r="Q305" s="140"/>
      <c r="R305" s="140"/>
      <c r="S305" s="140"/>
      <c r="T305" s="140"/>
      <c r="U305" s="140"/>
      <c r="V305" s="140"/>
      <c r="W305" s="140"/>
      <c r="X305" s="141"/>
      <c r="Y305" s="141"/>
      <c r="Z305" s="312"/>
      <c r="AA305" s="155"/>
      <c r="AB305" s="23"/>
      <c r="AC305" s="23"/>
      <c r="AD305" s="23"/>
      <c r="AE305" s="23"/>
      <c r="AF305" s="23"/>
      <c r="AG305" s="23"/>
      <c r="AH305" s="23"/>
      <c r="AI305" s="23"/>
      <c r="AJ305" s="141"/>
      <c r="AK305" s="141"/>
      <c r="AL305" s="141"/>
      <c r="AM305" s="141"/>
      <c r="AN305" s="141"/>
      <c r="AO305" s="141"/>
      <c r="AP305" s="141"/>
      <c r="AQ305" s="141"/>
      <c r="AR305" s="141"/>
      <c r="AS305" s="141"/>
      <c r="AT305" s="141"/>
      <c r="AU305" s="141"/>
      <c r="AV305" s="141"/>
      <c r="AW305" s="141"/>
      <c r="AX305" s="141"/>
      <c r="AY305" s="141"/>
      <c r="AZ305" s="312"/>
      <c r="BA305" s="155"/>
      <c r="BB305" s="309"/>
      <c r="BC305" s="23"/>
      <c r="BD305" s="23"/>
    </row>
    <row r="306" spans="2:56" ht="15.5">
      <c r="B306" s="141"/>
      <c r="C306" s="156"/>
      <c r="D306" s="302"/>
      <c r="E306" s="133"/>
      <c r="F306" s="155"/>
      <c r="G306" s="138"/>
      <c r="H306" s="8"/>
      <c r="I306" s="8"/>
      <c r="J306" s="139"/>
      <c r="K306" s="139"/>
      <c r="L306" s="139"/>
      <c r="M306" s="8"/>
      <c r="N306" s="140"/>
      <c r="O306" s="306"/>
      <c r="P306" s="140"/>
      <c r="Q306" s="140"/>
      <c r="R306" s="140"/>
      <c r="S306" s="140"/>
      <c r="T306" s="140"/>
      <c r="U306" s="140"/>
      <c r="V306" s="140"/>
      <c r="W306" s="140"/>
      <c r="X306" s="141"/>
      <c r="Y306" s="141"/>
      <c r="Z306" s="312"/>
      <c r="AA306" s="155"/>
      <c r="AB306" s="23"/>
      <c r="AC306" s="23"/>
      <c r="AD306" s="23"/>
      <c r="AE306" s="23"/>
      <c r="AF306" s="23"/>
      <c r="AG306" s="23"/>
      <c r="AH306" s="23"/>
      <c r="AI306" s="23"/>
      <c r="AJ306" s="141"/>
      <c r="AK306" s="141"/>
      <c r="AL306" s="141"/>
      <c r="AM306" s="141"/>
      <c r="AN306" s="141"/>
      <c r="AO306" s="141"/>
      <c r="AP306" s="141"/>
      <c r="AQ306" s="141"/>
      <c r="AR306" s="141"/>
      <c r="AS306" s="141"/>
      <c r="AT306" s="141"/>
      <c r="AU306" s="141"/>
      <c r="AV306" s="141"/>
      <c r="AW306" s="141"/>
      <c r="AX306" s="141"/>
      <c r="AY306" s="141"/>
      <c r="AZ306" s="312"/>
      <c r="BA306" s="155"/>
      <c r="BB306" s="309"/>
      <c r="BC306" s="23"/>
      <c r="BD306" s="23"/>
    </row>
    <row r="307" spans="2:56" ht="15.5">
      <c r="B307" s="141"/>
      <c r="C307" s="156"/>
      <c r="D307" s="302"/>
      <c r="E307" s="133"/>
      <c r="F307" s="155"/>
      <c r="G307" s="138"/>
      <c r="H307" s="8"/>
      <c r="I307" s="8"/>
      <c r="J307" s="139"/>
      <c r="K307" s="139"/>
      <c r="L307" s="139"/>
      <c r="M307" s="8"/>
      <c r="N307" s="140"/>
      <c r="O307" s="306"/>
      <c r="P307" s="140"/>
      <c r="Q307" s="140"/>
      <c r="R307" s="140"/>
      <c r="S307" s="140"/>
      <c r="T307" s="140"/>
      <c r="U307" s="140"/>
      <c r="V307" s="140"/>
      <c r="W307" s="140"/>
      <c r="X307" s="141"/>
      <c r="Y307" s="141"/>
      <c r="Z307" s="312"/>
      <c r="AA307" s="155"/>
      <c r="AB307" s="23"/>
      <c r="AC307" s="23"/>
      <c r="AD307" s="23"/>
      <c r="AE307" s="23"/>
      <c r="AF307" s="23"/>
      <c r="AG307" s="23"/>
      <c r="AH307" s="23"/>
      <c r="AI307" s="23"/>
      <c r="AJ307" s="141"/>
      <c r="AK307" s="141"/>
      <c r="AL307" s="141"/>
      <c r="AM307" s="141"/>
      <c r="AN307" s="141"/>
      <c r="AO307" s="141"/>
      <c r="AP307" s="141"/>
      <c r="AQ307" s="141"/>
      <c r="AR307" s="141"/>
      <c r="AS307" s="141"/>
      <c r="AT307" s="141"/>
      <c r="AU307" s="141"/>
      <c r="AV307" s="141"/>
      <c r="AW307" s="141"/>
      <c r="AX307" s="141"/>
      <c r="AY307" s="141"/>
      <c r="AZ307" s="312"/>
      <c r="BA307" s="155"/>
      <c r="BB307" s="309"/>
      <c r="BC307" s="23"/>
      <c r="BD307" s="23"/>
    </row>
    <row r="308" spans="2:56" ht="15.5">
      <c r="B308" s="141"/>
      <c r="C308" s="156"/>
      <c r="D308" s="302"/>
      <c r="E308" s="133"/>
      <c r="F308" s="155"/>
      <c r="G308" s="138"/>
      <c r="H308" s="8"/>
      <c r="I308" s="8"/>
      <c r="J308" s="139"/>
      <c r="K308" s="139"/>
      <c r="L308" s="139"/>
      <c r="M308" s="8"/>
      <c r="N308" s="140"/>
      <c r="O308" s="306"/>
      <c r="P308" s="140"/>
      <c r="Q308" s="140"/>
      <c r="R308" s="140"/>
      <c r="S308" s="140"/>
      <c r="T308" s="140"/>
      <c r="U308" s="140"/>
      <c r="V308" s="140"/>
      <c r="W308" s="140"/>
      <c r="X308" s="141"/>
      <c r="Y308" s="141"/>
      <c r="Z308" s="312"/>
      <c r="AA308" s="155"/>
      <c r="AB308" s="23"/>
      <c r="AC308" s="23"/>
      <c r="AD308" s="23"/>
      <c r="AE308" s="23"/>
      <c r="AF308" s="23"/>
      <c r="AG308" s="23"/>
      <c r="AH308" s="23"/>
      <c r="AI308" s="23"/>
      <c r="AJ308" s="141"/>
      <c r="AK308" s="141"/>
      <c r="AL308" s="141"/>
      <c r="AM308" s="141"/>
      <c r="AN308" s="141"/>
      <c r="AO308" s="141"/>
      <c r="AP308" s="141"/>
      <c r="AQ308" s="141"/>
      <c r="AR308" s="141"/>
      <c r="AS308" s="141"/>
      <c r="AT308" s="141"/>
      <c r="AU308" s="141"/>
      <c r="AV308" s="141"/>
      <c r="AW308" s="141"/>
      <c r="AX308" s="141"/>
      <c r="AY308" s="141"/>
      <c r="AZ308" s="312"/>
      <c r="BA308" s="155"/>
      <c r="BB308" s="309"/>
      <c r="BC308" s="23"/>
      <c r="BD308" s="23"/>
    </row>
    <row r="309" spans="2:56" ht="15.5">
      <c r="B309" s="141"/>
      <c r="C309" s="156"/>
      <c r="D309" s="302"/>
      <c r="E309" s="133"/>
      <c r="F309" s="155"/>
      <c r="G309" s="138"/>
      <c r="H309" s="8"/>
      <c r="I309" s="8"/>
      <c r="J309" s="139"/>
      <c r="K309" s="139"/>
      <c r="L309" s="139"/>
      <c r="M309" s="8"/>
      <c r="N309" s="140"/>
      <c r="O309" s="306"/>
      <c r="P309" s="140"/>
      <c r="Q309" s="140"/>
      <c r="R309" s="140"/>
      <c r="S309" s="140"/>
      <c r="T309" s="140"/>
      <c r="U309" s="140"/>
      <c r="V309" s="140"/>
      <c r="W309" s="140"/>
      <c r="X309" s="141"/>
      <c r="Y309" s="141"/>
      <c r="Z309" s="312"/>
      <c r="AA309" s="155"/>
      <c r="AB309" s="23"/>
      <c r="AC309" s="23"/>
      <c r="AD309" s="23"/>
      <c r="AE309" s="23"/>
      <c r="AF309" s="23"/>
      <c r="AG309" s="23"/>
      <c r="AH309" s="23"/>
      <c r="AI309" s="23"/>
      <c r="AJ309" s="141"/>
      <c r="AK309" s="141"/>
      <c r="AL309" s="141"/>
      <c r="AM309" s="141"/>
      <c r="AN309" s="141"/>
      <c r="AO309" s="141"/>
      <c r="AP309" s="141"/>
      <c r="AQ309" s="141"/>
      <c r="AR309" s="141"/>
      <c r="AS309" s="141"/>
      <c r="AT309" s="141"/>
      <c r="AU309" s="141"/>
      <c r="AV309" s="141"/>
      <c r="AW309" s="141"/>
      <c r="AX309" s="141"/>
      <c r="AY309" s="141"/>
      <c r="AZ309" s="312"/>
      <c r="BA309" s="155"/>
      <c r="BB309" s="309"/>
      <c r="BC309" s="23"/>
      <c r="BD309" s="23"/>
    </row>
    <row r="310" spans="2:56" ht="15.5">
      <c r="B310" s="141"/>
      <c r="C310" s="156"/>
      <c r="D310" s="302"/>
      <c r="E310" s="133"/>
      <c r="F310" s="155"/>
      <c r="G310" s="138"/>
      <c r="H310" s="8"/>
      <c r="I310" s="8"/>
      <c r="J310" s="139"/>
      <c r="K310" s="139"/>
      <c r="L310" s="139"/>
      <c r="M310" s="8"/>
      <c r="N310" s="140"/>
      <c r="O310" s="306"/>
      <c r="P310" s="140"/>
      <c r="Q310" s="140"/>
      <c r="R310" s="140"/>
      <c r="S310" s="140"/>
      <c r="T310" s="140"/>
      <c r="U310" s="140"/>
      <c r="V310" s="140"/>
      <c r="W310" s="140"/>
      <c r="X310" s="141"/>
      <c r="Y310" s="141"/>
      <c r="Z310" s="312"/>
      <c r="AA310" s="155"/>
      <c r="AB310" s="23"/>
      <c r="AC310" s="23"/>
      <c r="AD310" s="23"/>
      <c r="AE310" s="23"/>
      <c r="AF310" s="23"/>
      <c r="AG310" s="23"/>
      <c r="AH310" s="23"/>
      <c r="AI310" s="23"/>
      <c r="AJ310" s="141"/>
      <c r="AK310" s="141"/>
      <c r="AL310" s="141"/>
      <c r="AM310" s="141"/>
      <c r="AN310" s="141"/>
      <c r="AO310" s="141"/>
      <c r="AP310" s="141"/>
      <c r="AQ310" s="141"/>
      <c r="AR310" s="141"/>
      <c r="AS310" s="141"/>
      <c r="AT310" s="141"/>
      <c r="AU310" s="141"/>
      <c r="AV310" s="141"/>
      <c r="AW310" s="141"/>
      <c r="AX310" s="141"/>
      <c r="AY310" s="141"/>
      <c r="AZ310" s="312"/>
      <c r="BA310" s="155"/>
      <c r="BB310" s="309"/>
      <c r="BC310" s="23"/>
      <c r="BD310" s="23"/>
    </row>
    <row r="311" spans="2:56" ht="15.5">
      <c r="B311" s="141"/>
      <c r="C311" s="156"/>
      <c r="D311" s="302"/>
      <c r="E311" s="133"/>
      <c r="F311" s="155"/>
      <c r="G311" s="138"/>
      <c r="H311" s="8"/>
      <c r="I311" s="8"/>
      <c r="J311" s="139"/>
      <c r="K311" s="139"/>
      <c r="L311" s="139"/>
      <c r="M311" s="8"/>
      <c r="N311" s="140"/>
      <c r="O311" s="306"/>
      <c r="P311" s="140"/>
      <c r="Q311" s="140"/>
      <c r="R311" s="140"/>
      <c r="S311" s="140"/>
      <c r="T311" s="140"/>
      <c r="U311" s="140"/>
      <c r="V311" s="140"/>
      <c r="W311" s="140"/>
      <c r="X311" s="141"/>
      <c r="Y311" s="141"/>
      <c r="Z311" s="312"/>
      <c r="AA311" s="155"/>
      <c r="AB311" s="23"/>
      <c r="AC311" s="23"/>
      <c r="AD311" s="23"/>
      <c r="AE311" s="23"/>
      <c r="AF311" s="23"/>
      <c r="AG311" s="23"/>
      <c r="AH311" s="23"/>
      <c r="AI311" s="23"/>
      <c r="AJ311" s="141"/>
      <c r="AK311" s="141"/>
      <c r="AL311" s="141"/>
      <c r="AM311" s="141"/>
      <c r="AN311" s="141"/>
      <c r="AO311" s="141"/>
      <c r="AP311" s="141"/>
      <c r="AQ311" s="141"/>
      <c r="AR311" s="141"/>
      <c r="AS311" s="141"/>
      <c r="AT311" s="141"/>
      <c r="AU311" s="141"/>
      <c r="AV311" s="141"/>
      <c r="AW311" s="141"/>
      <c r="AX311" s="141"/>
      <c r="AY311" s="141"/>
      <c r="AZ311" s="312"/>
      <c r="BA311" s="155"/>
      <c r="BB311" s="309"/>
      <c r="BC311" s="23"/>
      <c r="BD311" s="23"/>
    </row>
    <row r="312" spans="2:56" ht="15.5">
      <c r="B312" s="141"/>
      <c r="C312" s="156"/>
      <c r="D312" s="302"/>
      <c r="E312" s="133"/>
      <c r="F312" s="155"/>
      <c r="G312" s="138"/>
      <c r="H312" s="8"/>
      <c r="I312" s="8"/>
      <c r="J312" s="139"/>
      <c r="K312" s="139"/>
      <c r="L312" s="139"/>
      <c r="M312" s="8"/>
      <c r="N312" s="140"/>
      <c r="O312" s="306"/>
      <c r="P312" s="140"/>
      <c r="Q312" s="140"/>
      <c r="R312" s="140"/>
      <c r="S312" s="140"/>
      <c r="T312" s="140"/>
      <c r="U312" s="140"/>
      <c r="V312" s="140"/>
      <c r="W312" s="140"/>
      <c r="X312" s="141"/>
      <c r="Y312" s="141"/>
      <c r="Z312" s="312"/>
      <c r="AA312" s="155"/>
      <c r="AB312" s="23"/>
      <c r="AC312" s="23"/>
      <c r="AD312" s="23"/>
      <c r="AE312" s="23"/>
      <c r="AF312" s="23"/>
      <c r="AG312" s="23"/>
      <c r="AH312" s="23"/>
      <c r="AI312" s="23"/>
      <c r="AJ312" s="141"/>
      <c r="AK312" s="141"/>
      <c r="AL312" s="141"/>
      <c r="AM312" s="141"/>
      <c r="AN312" s="141"/>
      <c r="AO312" s="141"/>
      <c r="AP312" s="141"/>
      <c r="AQ312" s="141"/>
      <c r="AR312" s="141"/>
      <c r="AS312" s="141"/>
      <c r="AT312" s="141"/>
      <c r="AU312" s="141"/>
      <c r="AV312" s="141"/>
      <c r="AW312" s="141"/>
      <c r="AX312" s="141"/>
      <c r="AY312" s="141"/>
      <c r="AZ312" s="312"/>
      <c r="BA312" s="155"/>
      <c r="BB312" s="309"/>
      <c r="BC312" s="23"/>
      <c r="BD312" s="23"/>
    </row>
    <row r="313" spans="2:56" ht="15.5">
      <c r="B313" s="141"/>
      <c r="C313" s="156"/>
      <c r="D313" s="302"/>
      <c r="E313" s="133"/>
      <c r="F313" s="155"/>
      <c r="G313" s="138"/>
      <c r="H313" s="8"/>
      <c r="I313" s="8"/>
      <c r="J313" s="139"/>
      <c r="K313" s="139"/>
      <c r="L313" s="139"/>
      <c r="M313" s="8"/>
      <c r="N313" s="140"/>
      <c r="O313" s="306"/>
      <c r="P313" s="140"/>
      <c r="Q313" s="140"/>
      <c r="R313" s="140"/>
      <c r="S313" s="140"/>
      <c r="T313" s="140"/>
      <c r="U313" s="140"/>
      <c r="V313" s="140"/>
      <c r="W313" s="140"/>
      <c r="X313" s="141"/>
      <c r="Y313" s="141"/>
      <c r="Z313" s="312"/>
      <c r="AA313" s="155"/>
      <c r="AB313" s="23"/>
      <c r="AC313" s="23"/>
      <c r="AD313" s="23"/>
      <c r="AE313" s="23"/>
      <c r="AF313" s="23"/>
      <c r="AG313" s="23"/>
      <c r="AH313" s="23"/>
      <c r="AI313" s="23"/>
      <c r="AJ313" s="141"/>
      <c r="AK313" s="141"/>
      <c r="AL313" s="141"/>
      <c r="AM313" s="141"/>
      <c r="AN313" s="141"/>
      <c r="AO313" s="141"/>
      <c r="AP313" s="141"/>
      <c r="AQ313" s="141"/>
      <c r="AR313" s="141"/>
      <c r="AS313" s="141"/>
      <c r="AT313" s="141"/>
      <c r="AU313" s="141"/>
      <c r="AV313" s="141"/>
      <c r="AW313" s="141"/>
      <c r="AX313" s="141"/>
      <c r="AY313" s="141"/>
      <c r="AZ313" s="312"/>
      <c r="BA313" s="155"/>
      <c r="BB313" s="309"/>
      <c r="BC313" s="23"/>
      <c r="BD313" s="23"/>
    </row>
    <row r="314" spans="2:56" ht="15.5">
      <c r="B314" s="141"/>
      <c r="C314" s="156"/>
      <c r="D314" s="302"/>
      <c r="E314" s="133"/>
      <c r="F314" s="155"/>
      <c r="G314" s="138"/>
      <c r="H314" s="8"/>
      <c r="I314" s="8"/>
      <c r="J314" s="139"/>
      <c r="K314" s="139"/>
      <c r="L314" s="139"/>
      <c r="M314" s="8"/>
      <c r="N314" s="140"/>
      <c r="O314" s="306"/>
      <c r="P314" s="140"/>
      <c r="Q314" s="140"/>
      <c r="R314" s="140"/>
      <c r="S314" s="140"/>
      <c r="T314" s="140"/>
      <c r="U314" s="140"/>
      <c r="V314" s="140"/>
      <c r="W314" s="140"/>
      <c r="X314" s="141"/>
      <c r="Y314" s="141"/>
      <c r="Z314" s="312"/>
      <c r="AA314" s="155"/>
      <c r="AB314" s="23"/>
      <c r="AC314" s="23"/>
      <c r="AD314" s="23"/>
      <c r="AE314" s="23"/>
      <c r="AF314" s="23"/>
      <c r="AG314" s="23"/>
      <c r="AH314" s="23"/>
      <c r="AI314" s="23"/>
      <c r="AJ314" s="141"/>
      <c r="AK314" s="141"/>
      <c r="AL314" s="141"/>
      <c r="AM314" s="141"/>
      <c r="AN314" s="141"/>
      <c r="AO314" s="141"/>
      <c r="AP314" s="141"/>
      <c r="AQ314" s="141"/>
      <c r="AR314" s="141"/>
      <c r="AS314" s="141"/>
      <c r="AT314" s="141"/>
      <c r="AU314" s="141"/>
      <c r="AV314" s="141"/>
      <c r="AW314" s="141"/>
      <c r="AX314" s="141"/>
      <c r="AY314" s="141"/>
      <c r="AZ314" s="312"/>
      <c r="BA314" s="155"/>
      <c r="BB314" s="309"/>
      <c r="BC314" s="23"/>
      <c r="BD314" s="23"/>
    </row>
    <row r="315" spans="2:56" ht="15.5">
      <c r="B315" s="141"/>
      <c r="C315" s="156"/>
      <c r="D315" s="302"/>
      <c r="E315" s="133"/>
      <c r="F315" s="155"/>
      <c r="G315" s="138"/>
      <c r="H315" s="8"/>
      <c r="I315" s="8"/>
      <c r="J315" s="139"/>
      <c r="K315" s="139"/>
      <c r="L315" s="139"/>
      <c r="M315" s="8"/>
      <c r="N315" s="140"/>
      <c r="O315" s="306"/>
      <c r="P315" s="140"/>
      <c r="Q315" s="140"/>
      <c r="R315" s="140"/>
      <c r="S315" s="140"/>
      <c r="T315" s="140"/>
      <c r="U315" s="140"/>
      <c r="V315" s="140"/>
      <c r="W315" s="140"/>
      <c r="X315" s="141"/>
      <c r="Y315" s="141"/>
      <c r="Z315" s="312"/>
      <c r="AA315" s="155"/>
      <c r="AB315" s="23"/>
      <c r="AC315" s="23"/>
      <c r="AD315" s="23"/>
      <c r="AE315" s="23"/>
      <c r="AF315" s="23"/>
      <c r="AG315" s="23"/>
      <c r="AH315" s="23"/>
      <c r="AI315" s="23"/>
      <c r="AJ315" s="141"/>
      <c r="AK315" s="141"/>
      <c r="AL315" s="141"/>
      <c r="AM315" s="141"/>
      <c r="AN315" s="141"/>
      <c r="AO315" s="141"/>
      <c r="AP315" s="141"/>
      <c r="AQ315" s="141"/>
      <c r="AR315" s="141"/>
      <c r="AS315" s="141"/>
      <c r="AT315" s="141"/>
      <c r="AU315" s="141"/>
      <c r="AV315" s="141"/>
      <c r="AW315" s="141"/>
      <c r="AX315" s="141"/>
      <c r="AY315" s="141"/>
      <c r="AZ315" s="312"/>
      <c r="BA315" s="155"/>
      <c r="BB315" s="309"/>
      <c r="BC315" s="23"/>
      <c r="BD315" s="23"/>
    </row>
    <row r="316" spans="2:56" ht="15.5">
      <c r="B316" s="141"/>
      <c r="C316" s="156"/>
      <c r="D316" s="302"/>
      <c r="E316" s="133"/>
      <c r="F316" s="155"/>
      <c r="G316" s="138"/>
      <c r="H316" s="8"/>
      <c r="I316" s="8"/>
      <c r="J316" s="139"/>
      <c r="K316" s="139"/>
      <c r="L316" s="139"/>
      <c r="M316" s="8"/>
      <c r="N316" s="140"/>
      <c r="O316" s="306"/>
      <c r="P316" s="140"/>
      <c r="Q316" s="140"/>
      <c r="R316" s="140"/>
      <c r="S316" s="140"/>
      <c r="T316" s="140"/>
      <c r="U316" s="140"/>
      <c r="V316" s="140"/>
      <c r="W316" s="140"/>
      <c r="X316" s="141"/>
      <c r="Y316" s="141"/>
      <c r="Z316" s="312"/>
      <c r="AA316" s="155"/>
      <c r="AB316" s="23"/>
      <c r="AC316" s="23"/>
      <c r="AD316" s="23"/>
      <c r="AE316" s="23"/>
      <c r="AF316" s="23"/>
      <c r="AG316" s="23"/>
      <c r="AH316" s="23"/>
      <c r="AI316" s="23"/>
      <c r="AJ316" s="141"/>
      <c r="AK316" s="141"/>
      <c r="AL316" s="141"/>
      <c r="AM316" s="141"/>
      <c r="AN316" s="141"/>
      <c r="AO316" s="141"/>
      <c r="AP316" s="141"/>
      <c r="AQ316" s="141"/>
      <c r="AR316" s="141"/>
      <c r="AS316" s="141"/>
      <c r="AT316" s="141"/>
      <c r="AU316" s="141"/>
      <c r="AV316" s="141"/>
      <c r="AW316" s="141"/>
      <c r="AX316" s="141"/>
      <c r="AY316" s="141"/>
      <c r="AZ316" s="312"/>
      <c r="BA316" s="155"/>
      <c r="BB316" s="309"/>
      <c r="BC316" s="23"/>
      <c r="BD316" s="23"/>
    </row>
    <row r="317" spans="2:56" ht="15.5">
      <c r="B317" s="141"/>
      <c r="C317" s="156"/>
      <c r="D317" s="302"/>
      <c r="E317" s="133"/>
      <c r="F317" s="155"/>
      <c r="G317" s="138"/>
      <c r="H317" s="8"/>
      <c r="I317" s="8"/>
      <c r="J317" s="139"/>
      <c r="K317" s="139"/>
      <c r="L317" s="139"/>
      <c r="M317" s="8"/>
      <c r="N317" s="140"/>
      <c r="O317" s="306"/>
      <c r="P317" s="140"/>
      <c r="Q317" s="140"/>
      <c r="R317" s="140"/>
      <c r="S317" s="140"/>
      <c r="T317" s="140"/>
      <c r="U317" s="140"/>
      <c r="V317" s="140"/>
      <c r="W317" s="140"/>
      <c r="X317" s="141"/>
      <c r="Y317" s="141"/>
      <c r="Z317" s="312"/>
      <c r="AA317" s="155"/>
      <c r="AB317" s="23"/>
      <c r="AC317" s="23"/>
      <c r="AD317" s="23"/>
      <c r="AE317" s="23"/>
      <c r="AF317" s="23"/>
      <c r="AG317" s="23"/>
      <c r="AH317" s="23"/>
      <c r="AI317" s="23"/>
      <c r="AJ317" s="141"/>
      <c r="AK317" s="141"/>
      <c r="AL317" s="141"/>
      <c r="AM317" s="141"/>
      <c r="AN317" s="141"/>
      <c r="AO317" s="141"/>
      <c r="AP317" s="141"/>
      <c r="AQ317" s="141"/>
      <c r="AR317" s="141"/>
      <c r="AS317" s="141"/>
      <c r="AT317" s="141"/>
      <c r="AU317" s="141"/>
      <c r="AV317" s="141"/>
      <c r="AW317" s="141"/>
      <c r="AX317" s="141"/>
      <c r="AY317" s="141"/>
      <c r="AZ317" s="312"/>
      <c r="BA317" s="155"/>
      <c r="BB317" s="309"/>
      <c r="BC317" s="23"/>
      <c r="BD317" s="23"/>
    </row>
    <row r="318" spans="2:56" ht="15.5">
      <c r="B318" s="141"/>
      <c r="C318" s="156"/>
      <c r="D318" s="302"/>
      <c r="E318" s="133"/>
      <c r="F318" s="155"/>
      <c r="G318" s="138"/>
      <c r="H318" s="8"/>
      <c r="I318" s="8"/>
      <c r="J318" s="139"/>
      <c r="K318" s="139"/>
      <c r="L318" s="139"/>
      <c r="M318" s="8"/>
      <c r="N318" s="140"/>
      <c r="O318" s="306"/>
      <c r="P318" s="140"/>
      <c r="Q318" s="140"/>
      <c r="R318" s="140"/>
      <c r="S318" s="140"/>
      <c r="T318" s="140"/>
      <c r="U318" s="140"/>
      <c r="V318" s="140"/>
      <c r="W318" s="140"/>
      <c r="X318" s="141"/>
      <c r="Y318" s="141"/>
      <c r="Z318" s="312"/>
      <c r="AA318" s="155"/>
      <c r="AB318" s="23"/>
      <c r="AC318" s="23"/>
      <c r="AD318" s="23"/>
      <c r="AE318" s="23"/>
      <c r="AF318" s="23"/>
      <c r="AG318" s="23"/>
      <c r="AH318" s="23"/>
      <c r="AI318" s="23"/>
      <c r="AJ318" s="141"/>
      <c r="AK318" s="141"/>
      <c r="AL318" s="141"/>
      <c r="AM318" s="141"/>
      <c r="AN318" s="141"/>
      <c r="AO318" s="141"/>
      <c r="AP318" s="141"/>
      <c r="AQ318" s="141"/>
      <c r="AR318" s="141"/>
      <c r="AS318" s="141"/>
      <c r="AT318" s="141"/>
      <c r="AU318" s="141"/>
      <c r="AV318" s="141"/>
      <c r="AW318" s="141"/>
      <c r="AX318" s="141"/>
      <c r="AY318" s="141"/>
      <c r="AZ318" s="312"/>
      <c r="BA318" s="155"/>
      <c r="BB318" s="309"/>
      <c r="BC318" s="23"/>
      <c r="BD318" s="23"/>
    </row>
    <row r="319" spans="2:56" ht="15.5">
      <c r="B319" s="141"/>
      <c r="C319" s="156"/>
      <c r="D319" s="302"/>
      <c r="E319" s="133"/>
      <c r="F319" s="155"/>
      <c r="G319" s="138"/>
      <c r="H319" s="8"/>
      <c r="I319" s="8"/>
      <c r="J319" s="139"/>
      <c r="K319" s="139"/>
      <c r="L319" s="139"/>
      <c r="M319" s="8"/>
      <c r="N319" s="140"/>
      <c r="O319" s="306"/>
      <c r="P319" s="140"/>
      <c r="Q319" s="140"/>
      <c r="R319" s="140"/>
      <c r="S319" s="140"/>
      <c r="T319" s="140"/>
      <c r="U319" s="140"/>
      <c r="V319" s="140"/>
      <c r="W319" s="140"/>
      <c r="X319" s="141"/>
      <c r="Y319" s="141"/>
      <c r="Z319" s="312"/>
      <c r="AA319" s="155"/>
      <c r="AB319" s="23"/>
      <c r="AC319" s="23"/>
      <c r="AD319" s="23"/>
      <c r="AE319" s="23"/>
      <c r="AF319" s="23"/>
      <c r="AG319" s="23"/>
      <c r="AH319" s="23"/>
      <c r="AI319" s="23"/>
      <c r="AJ319" s="141"/>
      <c r="AK319" s="141"/>
      <c r="AL319" s="141"/>
      <c r="AM319" s="141"/>
      <c r="AN319" s="141"/>
      <c r="AO319" s="141"/>
      <c r="AP319" s="141"/>
      <c r="AQ319" s="141"/>
      <c r="AR319" s="141"/>
      <c r="AS319" s="141"/>
      <c r="AT319" s="141"/>
      <c r="AU319" s="141"/>
      <c r="AV319" s="141"/>
      <c r="AW319" s="141"/>
      <c r="AX319" s="141"/>
      <c r="AY319" s="141"/>
      <c r="AZ319" s="312"/>
      <c r="BA319" s="155"/>
      <c r="BB319" s="309"/>
      <c r="BC319" s="23"/>
      <c r="BD319" s="23"/>
    </row>
    <row r="320" spans="2:56" ht="15.5">
      <c r="B320" s="141"/>
      <c r="C320" s="156"/>
      <c r="D320" s="302"/>
      <c r="E320" s="133"/>
      <c r="F320" s="155"/>
      <c r="G320" s="138"/>
      <c r="H320" s="8"/>
      <c r="I320" s="8"/>
      <c r="J320" s="139"/>
      <c r="K320" s="139"/>
      <c r="L320" s="139"/>
      <c r="M320" s="8"/>
      <c r="N320" s="140"/>
      <c r="O320" s="306"/>
      <c r="P320" s="140"/>
      <c r="Q320" s="140"/>
      <c r="R320" s="140"/>
      <c r="S320" s="140"/>
      <c r="T320" s="140"/>
      <c r="U320" s="140"/>
      <c r="V320" s="140"/>
      <c r="W320" s="140"/>
      <c r="X320" s="141"/>
      <c r="Y320" s="141"/>
      <c r="Z320" s="312"/>
      <c r="AA320" s="155"/>
      <c r="AB320" s="23"/>
      <c r="AC320" s="23"/>
      <c r="AD320" s="23"/>
      <c r="AE320" s="23"/>
      <c r="AF320" s="23"/>
      <c r="AG320" s="23"/>
      <c r="AH320" s="23"/>
      <c r="AI320" s="23"/>
      <c r="AJ320" s="141"/>
      <c r="AK320" s="141"/>
      <c r="AL320" s="141"/>
      <c r="AM320" s="141"/>
      <c r="AN320" s="141"/>
      <c r="AO320" s="141"/>
      <c r="AP320" s="141"/>
      <c r="AQ320" s="141"/>
      <c r="AR320" s="141"/>
      <c r="AS320" s="141"/>
      <c r="AT320" s="141"/>
      <c r="AU320" s="141"/>
      <c r="AV320" s="141"/>
      <c r="AW320" s="141"/>
      <c r="AX320" s="141"/>
      <c r="AY320" s="141"/>
      <c r="AZ320" s="312"/>
      <c r="BA320" s="155"/>
      <c r="BB320" s="309"/>
      <c r="BC320" s="23"/>
      <c r="BD320" s="23"/>
    </row>
    <row r="321" spans="2:56" ht="15.5">
      <c r="B321" s="141"/>
      <c r="C321" s="156"/>
      <c r="D321" s="302"/>
      <c r="E321" s="133"/>
      <c r="F321" s="155"/>
      <c r="G321" s="138"/>
      <c r="H321" s="8"/>
      <c r="I321" s="8"/>
      <c r="J321" s="139"/>
      <c r="K321" s="139"/>
      <c r="L321" s="139"/>
      <c r="M321" s="8"/>
      <c r="N321" s="140"/>
      <c r="O321" s="306"/>
      <c r="P321" s="140"/>
      <c r="Q321" s="140"/>
      <c r="R321" s="140"/>
      <c r="S321" s="140"/>
      <c r="T321" s="140"/>
      <c r="U321" s="140"/>
      <c r="V321" s="140"/>
      <c r="W321" s="140"/>
      <c r="X321" s="141"/>
      <c r="Y321" s="141"/>
      <c r="Z321" s="312"/>
      <c r="AA321" s="155"/>
      <c r="AB321" s="23"/>
      <c r="AC321" s="23"/>
      <c r="AD321" s="23"/>
      <c r="AE321" s="23"/>
      <c r="AF321" s="23"/>
      <c r="AG321" s="23"/>
      <c r="AH321" s="23"/>
      <c r="AI321" s="23"/>
      <c r="AJ321" s="141"/>
      <c r="AK321" s="141"/>
      <c r="AL321" s="141"/>
      <c r="AM321" s="141"/>
      <c r="AN321" s="141"/>
      <c r="AO321" s="141"/>
      <c r="AP321" s="141"/>
      <c r="AQ321" s="141"/>
      <c r="AR321" s="141"/>
      <c r="AS321" s="141"/>
      <c r="AT321" s="141"/>
      <c r="AU321" s="141"/>
      <c r="AV321" s="141"/>
      <c r="AW321" s="141"/>
      <c r="AX321" s="141"/>
      <c r="AY321" s="141"/>
      <c r="AZ321" s="312"/>
      <c r="BA321" s="155"/>
      <c r="BB321" s="309"/>
      <c r="BC321" s="23"/>
      <c r="BD321" s="23"/>
    </row>
    <row r="322" spans="2:56" ht="15.5">
      <c r="B322" s="141"/>
      <c r="C322" s="156"/>
      <c r="D322" s="302"/>
      <c r="E322" s="133"/>
      <c r="F322" s="155"/>
      <c r="G322" s="138"/>
      <c r="H322" s="8"/>
      <c r="I322" s="8"/>
      <c r="J322" s="139"/>
      <c r="K322" s="139"/>
      <c r="L322" s="139"/>
      <c r="M322" s="8"/>
      <c r="N322" s="140"/>
      <c r="O322" s="306"/>
      <c r="P322" s="140"/>
      <c r="Q322" s="140"/>
      <c r="R322" s="140"/>
      <c r="S322" s="140"/>
      <c r="T322" s="140"/>
      <c r="U322" s="140"/>
      <c r="V322" s="140"/>
      <c r="W322" s="140"/>
      <c r="X322" s="141"/>
      <c r="Y322" s="141"/>
      <c r="Z322" s="312"/>
      <c r="AA322" s="155"/>
      <c r="AB322" s="23"/>
      <c r="AC322" s="23"/>
      <c r="AD322" s="23"/>
      <c r="AE322" s="23"/>
      <c r="AF322" s="23"/>
      <c r="AG322" s="23"/>
      <c r="AH322" s="23"/>
      <c r="AI322" s="23"/>
      <c r="AJ322" s="141"/>
      <c r="AK322" s="141"/>
      <c r="AL322" s="141"/>
      <c r="AM322" s="141"/>
      <c r="AN322" s="141"/>
      <c r="AO322" s="141"/>
      <c r="AP322" s="141"/>
      <c r="AQ322" s="141"/>
      <c r="AR322" s="141"/>
      <c r="AS322" s="141"/>
      <c r="AT322" s="141"/>
      <c r="AU322" s="141"/>
      <c r="AV322" s="141"/>
      <c r="AW322" s="141"/>
      <c r="AX322" s="141"/>
      <c r="AY322" s="141"/>
      <c r="AZ322" s="312"/>
      <c r="BA322" s="155"/>
      <c r="BB322" s="309"/>
      <c r="BC322" s="23"/>
      <c r="BD322" s="23"/>
    </row>
    <row r="323" spans="2:56" ht="15.5">
      <c r="B323" s="141"/>
      <c r="C323" s="156"/>
      <c r="D323" s="302"/>
      <c r="E323" s="133"/>
      <c r="F323" s="155"/>
      <c r="G323" s="138"/>
      <c r="H323" s="8"/>
      <c r="I323" s="8"/>
      <c r="J323" s="139"/>
      <c r="K323" s="139"/>
      <c r="L323" s="139"/>
      <c r="M323" s="8"/>
      <c r="N323" s="140"/>
      <c r="O323" s="306"/>
      <c r="P323" s="140"/>
      <c r="Q323" s="140"/>
      <c r="R323" s="140"/>
      <c r="S323" s="140"/>
      <c r="T323" s="140"/>
      <c r="U323" s="140"/>
      <c r="V323" s="140"/>
      <c r="W323" s="140"/>
      <c r="X323" s="141"/>
      <c r="Y323" s="141"/>
      <c r="Z323" s="312"/>
      <c r="AA323" s="155"/>
      <c r="AB323" s="23"/>
      <c r="AC323" s="23"/>
      <c r="AD323" s="23"/>
      <c r="AE323" s="23"/>
      <c r="AF323" s="23"/>
      <c r="AG323" s="23"/>
      <c r="AH323" s="23"/>
      <c r="AI323" s="23"/>
      <c r="AJ323" s="141"/>
      <c r="AK323" s="141"/>
      <c r="AL323" s="141"/>
      <c r="AM323" s="141"/>
      <c r="AN323" s="141"/>
      <c r="AO323" s="141"/>
      <c r="AP323" s="141"/>
      <c r="AQ323" s="141"/>
      <c r="AR323" s="141"/>
      <c r="AS323" s="141"/>
      <c r="AT323" s="141"/>
      <c r="AU323" s="141"/>
      <c r="AV323" s="141"/>
      <c r="AW323" s="141"/>
      <c r="AX323" s="141"/>
      <c r="AY323" s="141"/>
      <c r="AZ323" s="312"/>
      <c r="BA323" s="155"/>
      <c r="BB323" s="309"/>
      <c r="BC323" s="23"/>
      <c r="BD323" s="23"/>
    </row>
    <row r="324" spans="2:56" ht="15.5">
      <c r="B324" s="141"/>
      <c r="C324" s="156"/>
      <c r="D324" s="302"/>
      <c r="E324" s="133"/>
      <c r="F324" s="155"/>
      <c r="G324" s="138"/>
      <c r="H324" s="8"/>
      <c r="I324" s="8"/>
      <c r="J324" s="139"/>
      <c r="K324" s="139"/>
      <c r="L324" s="139"/>
      <c r="M324" s="8"/>
      <c r="N324" s="140"/>
      <c r="O324" s="306"/>
      <c r="P324" s="140"/>
      <c r="Q324" s="140"/>
      <c r="R324" s="140"/>
      <c r="S324" s="140"/>
      <c r="T324" s="140"/>
      <c r="U324" s="140"/>
      <c r="V324" s="140"/>
      <c r="W324" s="140"/>
      <c r="X324" s="141"/>
      <c r="Y324" s="141"/>
      <c r="Z324" s="312"/>
      <c r="AA324" s="155"/>
      <c r="AB324" s="23"/>
      <c r="AC324" s="23"/>
      <c r="AD324" s="23"/>
      <c r="AE324" s="23"/>
      <c r="AF324" s="23"/>
      <c r="AG324" s="23"/>
      <c r="AH324" s="23"/>
      <c r="AI324" s="23"/>
      <c r="AJ324" s="141"/>
      <c r="AK324" s="141"/>
      <c r="AL324" s="141"/>
      <c r="AM324" s="141"/>
      <c r="AN324" s="141"/>
      <c r="AO324" s="141"/>
      <c r="AP324" s="141"/>
      <c r="AQ324" s="141"/>
      <c r="AR324" s="141"/>
      <c r="AS324" s="141"/>
      <c r="AT324" s="141"/>
      <c r="AU324" s="141"/>
      <c r="AV324" s="141"/>
      <c r="AW324" s="141"/>
      <c r="AX324" s="141"/>
      <c r="AY324" s="141"/>
      <c r="AZ324" s="312"/>
      <c r="BA324" s="155"/>
      <c r="BB324" s="309"/>
      <c r="BC324" s="23"/>
      <c r="BD324" s="23"/>
    </row>
    <row r="325" spans="2:56" ht="15.5">
      <c r="B325" s="141"/>
      <c r="C325" s="156"/>
      <c r="D325" s="302"/>
      <c r="E325" s="133"/>
      <c r="F325" s="155"/>
      <c r="G325" s="138"/>
      <c r="H325" s="8"/>
      <c r="I325" s="8"/>
      <c r="J325" s="139"/>
      <c r="K325" s="139"/>
      <c r="L325" s="139"/>
      <c r="M325" s="8"/>
      <c r="N325" s="140"/>
      <c r="O325" s="306"/>
      <c r="P325" s="140"/>
      <c r="Q325" s="140"/>
      <c r="R325" s="140"/>
      <c r="S325" s="140"/>
      <c r="T325" s="140"/>
      <c r="U325" s="140"/>
      <c r="V325" s="140"/>
      <c r="W325" s="140"/>
      <c r="X325" s="141"/>
      <c r="Y325" s="141"/>
      <c r="Z325" s="312"/>
      <c r="AA325" s="155"/>
      <c r="AB325" s="23"/>
      <c r="AC325" s="23"/>
      <c r="AD325" s="23"/>
      <c r="AE325" s="23"/>
      <c r="AF325" s="23"/>
      <c r="AG325" s="23"/>
      <c r="AH325" s="23"/>
      <c r="AI325" s="23"/>
      <c r="AJ325" s="141"/>
      <c r="AK325" s="141"/>
      <c r="AL325" s="141"/>
      <c r="AM325" s="141"/>
      <c r="AN325" s="141"/>
      <c r="AO325" s="141"/>
      <c r="AP325" s="141"/>
      <c r="AQ325" s="141"/>
      <c r="AR325" s="141"/>
      <c r="AS325" s="141"/>
      <c r="AT325" s="141"/>
      <c r="AU325" s="141"/>
      <c r="AV325" s="141"/>
      <c r="AW325" s="141"/>
      <c r="AX325" s="141"/>
      <c r="AY325" s="141"/>
      <c r="AZ325" s="312"/>
      <c r="BA325" s="155"/>
      <c r="BB325" s="309"/>
      <c r="BC325" s="23"/>
      <c r="BD325" s="23"/>
    </row>
    <row r="326" spans="2:56" ht="15.5">
      <c r="B326" s="141"/>
      <c r="C326" s="156"/>
      <c r="D326" s="302"/>
      <c r="E326" s="133"/>
      <c r="F326" s="155"/>
      <c r="G326" s="138"/>
      <c r="H326" s="8"/>
      <c r="I326" s="8"/>
      <c r="J326" s="139"/>
      <c r="K326" s="139"/>
      <c r="L326" s="139"/>
      <c r="M326" s="8"/>
      <c r="N326" s="140"/>
      <c r="O326" s="306"/>
      <c r="P326" s="140"/>
      <c r="Q326" s="140"/>
      <c r="R326" s="140"/>
      <c r="S326" s="140"/>
      <c r="T326" s="140"/>
      <c r="U326" s="140"/>
      <c r="V326" s="140"/>
      <c r="W326" s="140"/>
      <c r="X326" s="141"/>
      <c r="Y326" s="141"/>
      <c r="Z326" s="312"/>
      <c r="AA326" s="155"/>
      <c r="AB326" s="23"/>
      <c r="AC326" s="23"/>
      <c r="AD326" s="23"/>
      <c r="AE326" s="23"/>
      <c r="AF326" s="23"/>
      <c r="AG326" s="23"/>
      <c r="AH326" s="23"/>
      <c r="AI326" s="23"/>
      <c r="AJ326" s="141"/>
      <c r="AK326" s="141"/>
      <c r="AL326" s="141"/>
      <c r="AM326" s="141"/>
      <c r="AN326" s="141"/>
      <c r="AO326" s="141"/>
      <c r="AP326" s="141"/>
      <c r="AQ326" s="141"/>
      <c r="AR326" s="141"/>
      <c r="AS326" s="141"/>
      <c r="AT326" s="141"/>
      <c r="AU326" s="141"/>
      <c r="AV326" s="141"/>
      <c r="AW326" s="141"/>
      <c r="AX326" s="141"/>
      <c r="AY326" s="141"/>
      <c r="AZ326" s="312"/>
      <c r="BA326" s="155"/>
      <c r="BB326" s="309"/>
      <c r="BC326" s="23"/>
      <c r="BD326" s="23"/>
    </row>
    <row r="327" spans="2:56" ht="15.5">
      <c r="B327" s="141"/>
      <c r="C327" s="156"/>
      <c r="D327" s="302"/>
      <c r="E327" s="133"/>
      <c r="F327" s="155"/>
      <c r="G327" s="138"/>
      <c r="H327" s="8"/>
      <c r="I327" s="8"/>
      <c r="J327" s="139"/>
      <c r="K327" s="139"/>
      <c r="L327" s="139"/>
      <c r="M327" s="8"/>
      <c r="N327" s="140"/>
      <c r="O327" s="306"/>
      <c r="P327" s="140"/>
      <c r="Q327" s="140"/>
      <c r="R327" s="140"/>
      <c r="S327" s="140"/>
      <c r="T327" s="140"/>
      <c r="U327" s="140"/>
      <c r="V327" s="140"/>
      <c r="W327" s="140"/>
      <c r="X327" s="141"/>
      <c r="Y327" s="141"/>
      <c r="Z327" s="312"/>
      <c r="AA327" s="155"/>
      <c r="AB327" s="23"/>
      <c r="AC327" s="23"/>
      <c r="AD327" s="23"/>
      <c r="AE327" s="23"/>
      <c r="AF327" s="23"/>
      <c r="AG327" s="23"/>
      <c r="AH327" s="23"/>
      <c r="AI327" s="23"/>
      <c r="AJ327" s="141"/>
      <c r="AK327" s="141"/>
      <c r="AL327" s="141"/>
      <c r="AM327" s="141"/>
      <c r="AN327" s="141"/>
      <c r="AO327" s="141"/>
      <c r="AP327" s="141"/>
      <c r="AQ327" s="141"/>
      <c r="AR327" s="141"/>
      <c r="AS327" s="141"/>
      <c r="AT327" s="141"/>
      <c r="AU327" s="141"/>
      <c r="AV327" s="141"/>
      <c r="AW327" s="141"/>
      <c r="AX327" s="141"/>
      <c r="AY327" s="141"/>
      <c r="AZ327" s="312"/>
      <c r="BA327" s="155"/>
      <c r="BB327" s="309"/>
      <c r="BC327" s="23"/>
      <c r="BD327" s="23"/>
    </row>
    <row r="328" spans="2:56" ht="15.5">
      <c r="B328" s="141"/>
      <c r="C328" s="156"/>
      <c r="D328" s="302"/>
      <c r="E328" s="133"/>
      <c r="F328" s="155"/>
      <c r="G328" s="138"/>
      <c r="H328" s="8"/>
      <c r="I328" s="8"/>
      <c r="J328" s="139"/>
      <c r="K328" s="139"/>
      <c r="L328" s="139"/>
      <c r="M328" s="8"/>
      <c r="N328" s="140"/>
      <c r="O328" s="306"/>
      <c r="P328" s="140"/>
      <c r="Q328" s="140"/>
      <c r="R328" s="140"/>
      <c r="S328" s="140"/>
      <c r="T328" s="140"/>
      <c r="U328" s="140"/>
      <c r="V328" s="140"/>
      <c r="W328" s="140"/>
      <c r="X328" s="141"/>
      <c r="Y328" s="141"/>
      <c r="Z328" s="312"/>
      <c r="AA328" s="155"/>
      <c r="AB328" s="23"/>
      <c r="AC328" s="23"/>
      <c r="AD328" s="23"/>
      <c r="AE328" s="23"/>
      <c r="AF328" s="23"/>
      <c r="AG328" s="23"/>
      <c r="AH328" s="23"/>
      <c r="AI328" s="23"/>
      <c r="AJ328" s="141"/>
      <c r="AK328" s="141"/>
      <c r="AL328" s="141"/>
      <c r="AM328" s="141"/>
      <c r="AN328" s="141"/>
      <c r="AO328" s="141"/>
      <c r="AP328" s="141"/>
      <c r="AQ328" s="141"/>
      <c r="AR328" s="141"/>
      <c r="AS328" s="141"/>
      <c r="AT328" s="141"/>
      <c r="AU328" s="141"/>
      <c r="AV328" s="141"/>
      <c r="AW328" s="141"/>
      <c r="AX328" s="141"/>
      <c r="AY328" s="141"/>
      <c r="AZ328" s="312"/>
      <c r="BA328" s="155"/>
      <c r="BB328" s="309"/>
      <c r="BC328" s="23"/>
      <c r="BD328" s="23"/>
    </row>
    <row r="329" spans="2:56" ht="15.5">
      <c r="B329" s="141"/>
      <c r="C329" s="156"/>
      <c r="D329" s="302"/>
      <c r="E329" s="133"/>
      <c r="F329" s="155"/>
      <c r="G329" s="138"/>
      <c r="H329" s="8"/>
      <c r="I329" s="8"/>
      <c r="J329" s="139"/>
      <c r="K329" s="139"/>
      <c r="L329" s="139"/>
      <c r="M329" s="8"/>
      <c r="N329" s="140"/>
      <c r="O329" s="306"/>
      <c r="P329" s="140"/>
      <c r="Q329" s="140"/>
      <c r="R329" s="140"/>
      <c r="S329" s="140"/>
      <c r="T329" s="140"/>
      <c r="U329" s="140"/>
      <c r="V329" s="140"/>
      <c r="W329" s="140"/>
      <c r="X329" s="141"/>
      <c r="Y329" s="141"/>
      <c r="Z329" s="312"/>
      <c r="AA329" s="155"/>
      <c r="AB329" s="23"/>
      <c r="AC329" s="23"/>
      <c r="AD329" s="23"/>
      <c r="AE329" s="23"/>
      <c r="AF329" s="23"/>
      <c r="AG329" s="23"/>
      <c r="AH329" s="23"/>
      <c r="AI329" s="23"/>
      <c r="AJ329" s="141"/>
      <c r="AK329" s="141"/>
      <c r="AL329" s="141"/>
      <c r="AM329" s="141"/>
      <c r="AN329" s="141"/>
      <c r="AO329" s="141"/>
      <c r="AP329" s="141"/>
      <c r="AQ329" s="141"/>
      <c r="AR329" s="141"/>
      <c r="AS329" s="141"/>
      <c r="AT329" s="141"/>
      <c r="AU329" s="141"/>
      <c r="AV329" s="141"/>
      <c r="AW329" s="141"/>
      <c r="AX329" s="141"/>
      <c r="AY329" s="141"/>
      <c r="AZ329" s="312"/>
      <c r="BA329" s="155"/>
      <c r="BB329" s="309"/>
      <c r="BC329" s="23"/>
      <c r="BD329" s="23"/>
    </row>
    <row r="330" spans="2:56" ht="15.5">
      <c r="B330" s="141"/>
      <c r="C330" s="156"/>
      <c r="D330" s="302"/>
      <c r="E330" s="133"/>
      <c r="F330" s="155"/>
      <c r="G330" s="138"/>
      <c r="H330" s="8"/>
      <c r="I330" s="8"/>
      <c r="J330" s="139"/>
      <c r="K330" s="139"/>
      <c r="L330" s="139"/>
      <c r="M330" s="8"/>
      <c r="N330" s="140"/>
      <c r="O330" s="306"/>
      <c r="P330" s="140"/>
      <c r="Q330" s="140"/>
      <c r="R330" s="140"/>
      <c r="S330" s="140"/>
      <c r="T330" s="140"/>
      <c r="U330" s="140"/>
      <c r="V330" s="140"/>
      <c r="W330" s="140"/>
      <c r="X330" s="141"/>
      <c r="Y330" s="141"/>
      <c r="Z330" s="312"/>
      <c r="AA330" s="155"/>
      <c r="AB330" s="23"/>
      <c r="AC330" s="23"/>
      <c r="AD330" s="23"/>
      <c r="AE330" s="23"/>
      <c r="AF330" s="23"/>
      <c r="AG330" s="23"/>
      <c r="AH330" s="23"/>
      <c r="AI330" s="23"/>
      <c r="AJ330" s="141"/>
      <c r="AK330" s="141"/>
      <c r="AL330" s="141"/>
      <c r="AM330" s="141"/>
      <c r="AN330" s="141"/>
      <c r="AO330" s="141"/>
      <c r="AP330" s="141"/>
      <c r="AQ330" s="141"/>
      <c r="AR330" s="141"/>
      <c r="AS330" s="141"/>
      <c r="AT330" s="141"/>
      <c r="AU330" s="141"/>
      <c r="AV330" s="141"/>
      <c r="AW330" s="141"/>
      <c r="AX330" s="141"/>
      <c r="AY330" s="141"/>
      <c r="AZ330" s="312"/>
      <c r="BA330" s="155"/>
      <c r="BB330" s="309"/>
      <c r="BC330" s="23"/>
      <c r="BD330" s="23"/>
    </row>
    <row r="331" spans="2:56" ht="15.5">
      <c r="B331" s="141"/>
      <c r="C331" s="156"/>
      <c r="D331" s="302"/>
      <c r="E331" s="133"/>
      <c r="F331" s="155"/>
      <c r="G331" s="138"/>
      <c r="H331" s="8"/>
      <c r="I331" s="8"/>
      <c r="J331" s="139"/>
      <c r="K331" s="139"/>
      <c r="L331" s="139"/>
      <c r="M331" s="8"/>
      <c r="N331" s="140"/>
      <c r="O331" s="306"/>
      <c r="P331" s="140"/>
      <c r="Q331" s="140"/>
      <c r="R331" s="140"/>
      <c r="S331" s="140"/>
      <c r="T331" s="140"/>
      <c r="U331" s="140"/>
      <c r="V331" s="140"/>
      <c r="W331" s="140"/>
      <c r="X331" s="141"/>
      <c r="Y331" s="141"/>
      <c r="Z331" s="312"/>
      <c r="AA331" s="155"/>
      <c r="AB331" s="23"/>
      <c r="AC331" s="23"/>
      <c r="AD331" s="23"/>
      <c r="AE331" s="23"/>
      <c r="AF331" s="23"/>
      <c r="AG331" s="23"/>
      <c r="AH331" s="23"/>
      <c r="AI331" s="23"/>
      <c r="AJ331" s="141"/>
      <c r="AK331" s="141"/>
      <c r="AL331" s="141"/>
      <c r="AM331" s="141"/>
      <c r="AN331" s="141"/>
      <c r="AO331" s="141"/>
      <c r="AP331" s="141"/>
      <c r="AQ331" s="141"/>
      <c r="AR331" s="141"/>
      <c r="AS331" s="141"/>
      <c r="AT331" s="141"/>
      <c r="AU331" s="141"/>
      <c r="AV331" s="141"/>
      <c r="AW331" s="141"/>
      <c r="AX331" s="141"/>
      <c r="AY331" s="141"/>
      <c r="AZ331" s="312"/>
      <c r="BA331" s="155"/>
      <c r="BB331" s="309"/>
      <c r="BC331" s="23"/>
      <c r="BD331" s="23"/>
    </row>
    <row r="332" spans="2:56" ht="15.5">
      <c r="B332" s="141"/>
      <c r="C332" s="156"/>
      <c r="D332" s="302"/>
      <c r="E332" s="133"/>
      <c r="F332" s="155"/>
      <c r="G332" s="138"/>
      <c r="H332" s="8"/>
      <c r="I332" s="8"/>
      <c r="J332" s="139"/>
      <c r="K332" s="139"/>
      <c r="L332" s="139"/>
      <c r="M332" s="8"/>
      <c r="N332" s="140"/>
      <c r="O332" s="306"/>
      <c r="P332" s="140"/>
      <c r="Q332" s="140"/>
      <c r="R332" s="140"/>
      <c r="S332" s="140"/>
      <c r="T332" s="140"/>
      <c r="U332" s="140"/>
      <c r="V332" s="140"/>
      <c r="W332" s="140"/>
      <c r="X332" s="141"/>
      <c r="Y332" s="141"/>
      <c r="Z332" s="312"/>
      <c r="AA332" s="155"/>
      <c r="AB332" s="23"/>
      <c r="AC332" s="23"/>
      <c r="AD332" s="23"/>
      <c r="AE332" s="23"/>
      <c r="AF332" s="23"/>
      <c r="AG332" s="23"/>
      <c r="AH332" s="23"/>
      <c r="AI332" s="23"/>
      <c r="AJ332" s="141"/>
      <c r="AK332" s="141"/>
      <c r="AL332" s="141"/>
      <c r="AM332" s="141"/>
      <c r="AN332" s="141"/>
      <c r="AO332" s="141"/>
      <c r="AP332" s="141"/>
      <c r="AQ332" s="141"/>
      <c r="AR332" s="141"/>
      <c r="AS332" s="141"/>
      <c r="AT332" s="141"/>
      <c r="AU332" s="141"/>
      <c r="AV332" s="141"/>
      <c r="AW332" s="141"/>
      <c r="AX332" s="141"/>
      <c r="AY332" s="141"/>
      <c r="AZ332" s="312"/>
      <c r="BA332" s="155"/>
      <c r="BB332" s="309"/>
      <c r="BC332" s="23"/>
      <c r="BD332" s="23"/>
    </row>
    <row r="333" spans="2:56" ht="15.5">
      <c r="B333" s="141"/>
      <c r="C333" s="156"/>
      <c r="D333" s="302"/>
      <c r="E333" s="133"/>
      <c r="F333" s="155"/>
      <c r="G333" s="138"/>
      <c r="H333" s="8"/>
      <c r="I333" s="8"/>
      <c r="J333" s="139"/>
      <c r="K333" s="139"/>
      <c r="L333" s="139"/>
      <c r="M333" s="8"/>
      <c r="N333" s="140"/>
      <c r="O333" s="306"/>
      <c r="P333" s="140"/>
      <c r="Q333" s="140"/>
      <c r="R333" s="140"/>
      <c r="S333" s="140"/>
      <c r="T333" s="140"/>
      <c r="U333" s="140"/>
      <c r="V333" s="140"/>
      <c r="W333" s="140"/>
      <c r="X333" s="141"/>
      <c r="Y333" s="141"/>
      <c r="Z333" s="312"/>
      <c r="AA333" s="155"/>
      <c r="AB333" s="23"/>
      <c r="AC333" s="23"/>
      <c r="AD333" s="23"/>
      <c r="AE333" s="23"/>
      <c r="AF333" s="23"/>
      <c r="AG333" s="23"/>
      <c r="AH333" s="23"/>
      <c r="AI333" s="23"/>
      <c r="AJ333" s="141"/>
      <c r="AK333" s="141"/>
      <c r="AL333" s="141"/>
      <c r="AM333" s="141"/>
      <c r="AN333" s="141"/>
      <c r="AO333" s="141"/>
      <c r="AP333" s="141"/>
      <c r="AQ333" s="141"/>
      <c r="AR333" s="141"/>
      <c r="AS333" s="141"/>
      <c r="AT333" s="141"/>
      <c r="AU333" s="141"/>
      <c r="AV333" s="141"/>
      <c r="AW333" s="141"/>
      <c r="AX333" s="141"/>
      <c r="AY333" s="141"/>
      <c r="AZ333" s="312"/>
      <c r="BA333" s="155"/>
      <c r="BB333" s="309"/>
      <c r="BC333" s="23"/>
      <c r="BD333" s="23"/>
    </row>
    <row r="334" spans="2:56" ht="15.5">
      <c r="B334" s="141"/>
      <c r="C334" s="156"/>
      <c r="D334" s="302"/>
      <c r="E334" s="133"/>
      <c r="F334" s="155"/>
      <c r="G334" s="138"/>
      <c r="H334" s="8"/>
      <c r="I334" s="8"/>
      <c r="J334" s="139"/>
      <c r="K334" s="139"/>
      <c r="L334" s="139"/>
      <c r="M334" s="8"/>
      <c r="N334" s="140"/>
      <c r="O334" s="306"/>
      <c r="P334" s="140"/>
      <c r="Q334" s="140"/>
      <c r="R334" s="140"/>
      <c r="S334" s="140"/>
      <c r="T334" s="140"/>
      <c r="U334" s="140"/>
      <c r="V334" s="140"/>
      <c r="W334" s="140"/>
      <c r="X334" s="141"/>
      <c r="Y334" s="141"/>
      <c r="Z334" s="312"/>
      <c r="AA334" s="155"/>
      <c r="AB334" s="23"/>
      <c r="AC334" s="23"/>
      <c r="AD334" s="23"/>
      <c r="AE334" s="23"/>
      <c r="AF334" s="23"/>
      <c r="AG334" s="23"/>
      <c r="AH334" s="23"/>
      <c r="AI334" s="23"/>
      <c r="AJ334" s="141"/>
      <c r="AK334" s="141"/>
      <c r="AL334" s="141"/>
      <c r="AM334" s="141"/>
      <c r="AN334" s="141"/>
      <c r="AO334" s="141"/>
      <c r="AP334" s="141"/>
      <c r="AQ334" s="141"/>
      <c r="AR334" s="141"/>
      <c r="AS334" s="141"/>
      <c r="AT334" s="141"/>
      <c r="AU334" s="141"/>
      <c r="AV334" s="141"/>
      <c r="AW334" s="141"/>
      <c r="AX334" s="141"/>
      <c r="AY334" s="141"/>
      <c r="AZ334" s="312"/>
      <c r="BA334" s="155"/>
      <c r="BB334" s="309"/>
      <c r="BC334" s="23"/>
      <c r="BD334" s="23"/>
    </row>
    <row r="335" spans="2:56" ht="15.5">
      <c r="B335" s="141"/>
      <c r="C335" s="156"/>
      <c r="D335" s="302"/>
      <c r="E335" s="133"/>
      <c r="F335" s="155"/>
      <c r="G335" s="138"/>
      <c r="H335" s="8"/>
      <c r="I335" s="8"/>
      <c r="J335" s="139"/>
      <c r="K335" s="139"/>
      <c r="L335" s="139"/>
      <c r="M335" s="8"/>
      <c r="N335" s="140"/>
      <c r="O335" s="306"/>
      <c r="P335" s="140"/>
      <c r="Q335" s="140"/>
      <c r="R335" s="140"/>
      <c r="S335" s="140"/>
      <c r="T335" s="140"/>
      <c r="U335" s="140"/>
      <c r="V335" s="140"/>
      <c r="W335" s="140"/>
      <c r="X335" s="141"/>
      <c r="Y335" s="141"/>
      <c r="Z335" s="312"/>
      <c r="AA335" s="155"/>
      <c r="AB335" s="23"/>
      <c r="AC335" s="23"/>
      <c r="AD335" s="23"/>
      <c r="AE335" s="23"/>
      <c r="AF335" s="23"/>
      <c r="AG335" s="23"/>
      <c r="AH335" s="23"/>
      <c r="AI335" s="23"/>
      <c r="AJ335" s="141"/>
      <c r="AK335" s="141"/>
      <c r="AL335" s="141"/>
      <c r="AM335" s="141"/>
      <c r="AN335" s="141"/>
      <c r="AO335" s="141"/>
      <c r="AP335" s="141"/>
      <c r="AQ335" s="141"/>
      <c r="AR335" s="141"/>
      <c r="AS335" s="141"/>
      <c r="AT335" s="141"/>
      <c r="AU335" s="141"/>
      <c r="AV335" s="141"/>
      <c r="AW335" s="141"/>
      <c r="AX335" s="141"/>
      <c r="AY335" s="141"/>
      <c r="AZ335" s="312"/>
      <c r="BA335" s="155"/>
      <c r="BB335" s="309"/>
      <c r="BC335" s="23"/>
      <c r="BD335" s="23"/>
    </row>
    <row r="336" spans="2:56" ht="15.5">
      <c r="B336" s="141"/>
      <c r="C336" s="156"/>
      <c r="D336" s="302"/>
      <c r="E336" s="133"/>
      <c r="F336" s="155"/>
      <c r="G336" s="138"/>
      <c r="H336" s="8"/>
      <c r="I336" s="8"/>
      <c r="J336" s="139"/>
      <c r="K336" s="139"/>
      <c r="L336" s="139"/>
      <c r="M336" s="8"/>
      <c r="N336" s="140"/>
      <c r="O336" s="306"/>
      <c r="P336" s="140"/>
      <c r="Q336" s="140"/>
      <c r="R336" s="140"/>
      <c r="S336" s="140"/>
      <c r="T336" s="140"/>
      <c r="U336" s="140"/>
      <c r="V336" s="140"/>
      <c r="W336" s="140"/>
      <c r="X336" s="141"/>
      <c r="Y336" s="141"/>
      <c r="Z336" s="312"/>
      <c r="AA336" s="155"/>
      <c r="AB336" s="23"/>
      <c r="AC336" s="23"/>
      <c r="AD336" s="23"/>
      <c r="AE336" s="23"/>
      <c r="AF336" s="23"/>
      <c r="AG336" s="23"/>
      <c r="AH336" s="23"/>
      <c r="AI336" s="23"/>
      <c r="AJ336" s="141"/>
      <c r="AK336" s="141"/>
      <c r="AL336" s="141"/>
      <c r="AM336" s="141"/>
      <c r="AN336" s="141"/>
      <c r="AO336" s="141"/>
      <c r="AP336" s="141"/>
      <c r="AQ336" s="141"/>
      <c r="AR336" s="141"/>
      <c r="AS336" s="141"/>
      <c r="AT336" s="141"/>
      <c r="AU336" s="141"/>
      <c r="AV336" s="141"/>
      <c r="AW336" s="141"/>
      <c r="AX336" s="141"/>
      <c r="AY336" s="141"/>
      <c r="AZ336" s="312"/>
      <c r="BA336" s="155"/>
      <c r="BB336" s="309"/>
      <c r="BC336" s="23"/>
      <c r="BD336" s="23"/>
    </row>
    <row r="337" spans="2:56" ht="15.5">
      <c r="B337" s="141"/>
      <c r="C337" s="156"/>
      <c r="D337" s="302"/>
      <c r="E337" s="133"/>
      <c r="F337" s="155"/>
      <c r="G337" s="138"/>
      <c r="H337" s="8"/>
      <c r="I337" s="8"/>
      <c r="J337" s="139"/>
      <c r="K337" s="139"/>
      <c r="L337" s="139"/>
      <c r="M337" s="8"/>
      <c r="N337" s="140"/>
      <c r="O337" s="306"/>
      <c r="P337" s="140"/>
      <c r="Q337" s="140"/>
      <c r="R337" s="140"/>
      <c r="S337" s="140"/>
      <c r="T337" s="140"/>
      <c r="U337" s="140"/>
      <c r="V337" s="140"/>
      <c r="W337" s="140"/>
      <c r="X337" s="141"/>
      <c r="Y337" s="141"/>
      <c r="Z337" s="312"/>
      <c r="AA337" s="155"/>
      <c r="AB337" s="23"/>
      <c r="AC337" s="23"/>
      <c r="AD337" s="23"/>
      <c r="AE337" s="23"/>
      <c r="AF337" s="23"/>
      <c r="AG337" s="23"/>
      <c r="AH337" s="23"/>
      <c r="AI337" s="23"/>
      <c r="AJ337" s="141"/>
      <c r="AK337" s="141"/>
      <c r="AL337" s="141"/>
      <c r="AM337" s="141"/>
      <c r="AN337" s="141"/>
      <c r="AO337" s="141"/>
      <c r="AP337" s="141"/>
      <c r="AQ337" s="141"/>
      <c r="AR337" s="141"/>
      <c r="AS337" s="141"/>
      <c r="AT337" s="141"/>
      <c r="AU337" s="141"/>
      <c r="AV337" s="141"/>
      <c r="AW337" s="141"/>
      <c r="AX337" s="141"/>
      <c r="AY337" s="141"/>
      <c r="AZ337" s="312"/>
      <c r="BA337" s="155"/>
      <c r="BB337" s="309"/>
      <c r="BC337" s="23"/>
      <c r="BD337" s="23"/>
    </row>
    <row r="338" spans="2:56" ht="15.5">
      <c r="B338" s="141"/>
      <c r="C338" s="156"/>
      <c r="D338" s="302"/>
      <c r="E338" s="133"/>
      <c r="F338" s="155"/>
      <c r="G338" s="138"/>
      <c r="H338" s="8"/>
      <c r="I338" s="8"/>
      <c r="J338" s="139"/>
      <c r="K338" s="139"/>
      <c r="L338" s="139"/>
      <c r="M338" s="8"/>
      <c r="N338" s="140"/>
      <c r="O338" s="306"/>
      <c r="P338" s="140"/>
      <c r="Q338" s="140"/>
      <c r="R338" s="140"/>
      <c r="S338" s="140"/>
      <c r="T338" s="140"/>
      <c r="U338" s="140"/>
      <c r="V338" s="140"/>
      <c r="W338" s="140"/>
      <c r="X338" s="141"/>
      <c r="Y338" s="141"/>
      <c r="Z338" s="312"/>
      <c r="AA338" s="155"/>
      <c r="AB338" s="23"/>
      <c r="AC338" s="23"/>
      <c r="AD338" s="23"/>
      <c r="AE338" s="23"/>
      <c r="AF338" s="23"/>
      <c r="AG338" s="23"/>
      <c r="AH338" s="23"/>
      <c r="AI338" s="23"/>
      <c r="AJ338" s="141"/>
      <c r="AK338" s="141"/>
      <c r="AL338" s="141"/>
      <c r="AM338" s="141"/>
      <c r="AN338" s="141"/>
      <c r="AO338" s="141"/>
      <c r="AP338" s="141"/>
      <c r="AQ338" s="141"/>
      <c r="AR338" s="141"/>
      <c r="AS338" s="141"/>
      <c r="AT338" s="141"/>
      <c r="AU338" s="141"/>
      <c r="AV338" s="141"/>
      <c r="AW338" s="141"/>
      <c r="AX338" s="141"/>
      <c r="AY338" s="141"/>
      <c r="AZ338" s="312"/>
      <c r="BA338" s="155"/>
      <c r="BB338" s="309"/>
      <c r="BC338" s="23"/>
      <c r="BD338" s="23"/>
    </row>
    <row r="339" spans="2:56" ht="15.5">
      <c r="B339" s="141"/>
      <c r="C339" s="156"/>
      <c r="D339" s="302"/>
      <c r="E339" s="133"/>
      <c r="F339" s="155"/>
      <c r="G339" s="138"/>
      <c r="H339" s="8"/>
      <c r="I339" s="8"/>
      <c r="J339" s="139"/>
      <c r="K339" s="139"/>
      <c r="L339" s="139"/>
      <c r="M339" s="8"/>
      <c r="N339" s="140"/>
      <c r="O339" s="306"/>
      <c r="P339" s="140"/>
      <c r="Q339" s="140"/>
      <c r="R339" s="140"/>
      <c r="S339" s="140"/>
      <c r="T339" s="140"/>
      <c r="U339" s="140"/>
      <c r="V339" s="140"/>
      <c r="W339" s="140"/>
      <c r="X339" s="141"/>
      <c r="Y339" s="141"/>
      <c r="Z339" s="312"/>
      <c r="AA339" s="155"/>
      <c r="AB339" s="23"/>
      <c r="AC339" s="23"/>
      <c r="AD339" s="23"/>
      <c r="AE339" s="23"/>
      <c r="AF339" s="23"/>
      <c r="AG339" s="23"/>
      <c r="AH339" s="23"/>
      <c r="AI339" s="23"/>
      <c r="AJ339" s="141"/>
      <c r="AK339" s="141"/>
      <c r="AL339" s="141"/>
      <c r="AM339" s="141"/>
      <c r="AN339" s="141"/>
      <c r="AO339" s="141"/>
      <c r="AP339" s="141"/>
      <c r="AQ339" s="141"/>
      <c r="AR339" s="141"/>
      <c r="AS339" s="141"/>
      <c r="AT339" s="141"/>
      <c r="AU339" s="141"/>
      <c r="AV339" s="141"/>
      <c r="AW339" s="141"/>
      <c r="AX339" s="141"/>
      <c r="AY339" s="141"/>
      <c r="AZ339" s="312"/>
      <c r="BA339" s="155"/>
      <c r="BB339" s="309"/>
      <c r="BC339" s="23"/>
      <c r="BD339" s="23"/>
    </row>
    <row r="340" spans="2:56" ht="15.5">
      <c r="B340" s="141"/>
      <c r="C340" s="156"/>
      <c r="D340" s="302"/>
      <c r="E340" s="133"/>
      <c r="F340" s="155"/>
      <c r="G340" s="138"/>
      <c r="H340" s="8"/>
      <c r="I340" s="8"/>
      <c r="J340" s="139"/>
      <c r="K340" s="139"/>
      <c r="L340" s="139"/>
      <c r="M340" s="8"/>
      <c r="N340" s="140"/>
      <c r="O340" s="306"/>
      <c r="P340" s="140"/>
      <c r="Q340" s="140"/>
      <c r="R340" s="140"/>
      <c r="S340" s="140"/>
      <c r="T340" s="140"/>
      <c r="U340" s="140"/>
      <c r="V340" s="140"/>
      <c r="W340" s="140"/>
      <c r="X340" s="141"/>
      <c r="Y340" s="141"/>
      <c r="Z340" s="312"/>
      <c r="AA340" s="155"/>
      <c r="AB340" s="23"/>
      <c r="AC340" s="23"/>
      <c r="AD340" s="23"/>
      <c r="AE340" s="23"/>
      <c r="AF340" s="23"/>
      <c r="AG340" s="23"/>
      <c r="AH340" s="23"/>
      <c r="AI340" s="23"/>
      <c r="AJ340" s="141"/>
      <c r="AK340" s="141"/>
      <c r="AL340" s="141"/>
      <c r="AM340" s="141"/>
      <c r="AN340" s="141"/>
      <c r="AO340" s="141"/>
      <c r="AP340" s="141"/>
      <c r="AQ340" s="141"/>
      <c r="AR340" s="141"/>
      <c r="AS340" s="141"/>
      <c r="AT340" s="141"/>
      <c r="AU340" s="141"/>
      <c r="AV340" s="141"/>
      <c r="AW340" s="141"/>
      <c r="AX340" s="141"/>
      <c r="AY340" s="141"/>
      <c r="AZ340" s="312"/>
      <c r="BA340" s="155"/>
      <c r="BB340" s="309"/>
      <c r="BC340" s="23"/>
      <c r="BD340" s="23"/>
    </row>
    <row r="341" spans="2:56" ht="15.5">
      <c r="B341" s="141"/>
      <c r="C341" s="156"/>
      <c r="D341" s="302"/>
      <c r="E341" s="133"/>
      <c r="F341" s="155"/>
      <c r="G341" s="138"/>
      <c r="H341" s="8"/>
      <c r="I341" s="8"/>
      <c r="J341" s="139"/>
      <c r="K341" s="139"/>
      <c r="L341" s="139"/>
      <c r="M341" s="8"/>
      <c r="N341" s="140"/>
      <c r="O341" s="306"/>
      <c r="P341" s="140"/>
      <c r="Q341" s="140"/>
      <c r="R341" s="140"/>
      <c r="S341" s="140"/>
      <c r="T341" s="140"/>
      <c r="U341" s="140"/>
      <c r="V341" s="140"/>
      <c r="W341" s="140"/>
      <c r="X341" s="141"/>
      <c r="Y341" s="141"/>
      <c r="Z341" s="312"/>
      <c r="AA341" s="155"/>
      <c r="AB341" s="23"/>
      <c r="AC341" s="23"/>
      <c r="AD341" s="23"/>
      <c r="AE341" s="23"/>
      <c r="AF341" s="23"/>
      <c r="AG341" s="23"/>
      <c r="AH341" s="23"/>
      <c r="AI341" s="23"/>
      <c r="AJ341" s="141"/>
      <c r="AK341" s="141"/>
      <c r="AL341" s="141"/>
      <c r="AM341" s="141"/>
      <c r="AN341" s="141"/>
      <c r="AO341" s="141"/>
      <c r="AP341" s="141"/>
      <c r="AQ341" s="141"/>
      <c r="AR341" s="141"/>
      <c r="AS341" s="141"/>
      <c r="AT341" s="141"/>
      <c r="AU341" s="141"/>
      <c r="AV341" s="141"/>
      <c r="AW341" s="141"/>
      <c r="AX341" s="141"/>
      <c r="AY341" s="141"/>
      <c r="AZ341" s="312"/>
      <c r="BA341" s="155"/>
      <c r="BB341" s="309"/>
      <c r="BC341" s="23"/>
      <c r="BD341" s="23"/>
    </row>
    <row r="342" spans="2:56" ht="15.5">
      <c r="B342" s="141"/>
      <c r="C342" s="156"/>
      <c r="D342" s="302"/>
      <c r="E342" s="133"/>
      <c r="F342" s="155"/>
      <c r="G342" s="138"/>
      <c r="H342" s="8"/>
      <c r="I342" s="8"/>
      <c r="J342" s="139"/>
      <c r="K342" s="139"/>
      <c r="L342" s="139"/>
      <c r="M342" s="8"/>
      <c r="N342" s="140"/>
      <c r="O342" s="306"/>
      <c r="P342" s="140"/>
      <c r="Q342" s="140"/>
      <c r="R342" s="140"/>
      <c r="S342" s="140"/>
      <c r="T342" s="140"/>
      <c r="U342" s="140"/>
      <c r="V342" s="140"/>
      <c r="W342" s="140"/>
      <c r="X342" s="141"/>
      <c r="Y342" s="141"/>
      <c r="Z342" s="312"/>
      <c r="AA342" s="155"/>
      <c r="AB342" s="23"/>
      <c r="AC342" s="23"/>
      <c r="AD342" s="23"/>
      <c r="AE342" s="23"/>
      <c r="AF342" s="23"/>
      <c r="AG342" s="23"/>
      <c r="AH342" s="23"/>
      <c r="AI342" s="23"/>
      <c r="AJ342" s="141"/>
      <c r="AK342" s="141"/>
      <c r="AL342" s="141"/>
      <c r="AM342" s="141"/>
      <c r="AN342" s="141"/>
      <c r="AO342" s="141"/>
      <c r="AP342" s="141"/>
      <c r="AQ342" s="141"/>
      <c r="AR342" s="141"/>
      <c r="AS342" s="141"/>
      <c r="AT342" s="141"/>
      <c r="AU342" s="141"/>
      <c r="AV342" s="141"/>
      <c r="AW342" s="141"/>
      <c r="AX342" s="141"/>
      <c r="AY342" s="141"/>
      <c r="AZ342" s="312"/>
      <c r="BA342" s="155"/>
      <c r="BB342" s="309"/>
      <c r="BC342" s="23"/>
      <c r="BD342" s="23"/>
    </row>
    <row r="343" spans="2:56" ht="15.5">
      <c r="B343" s="141"/>
      <c r="C343" s="156"/>
      <c r="D343" s="302"/>
      <c r="E343" s="133"/>
      <c r="F343" s="155"/>
      <c r="G343" s="138"/>
      <c r="H343" s="8"/>
      <c r="I343" s="8"/>
      <c r="J343" s="139"/>
      <c r="K343" s="139"/>
      <c r="L343" s="139"/>
      <c r="M343" s="8"/>
      <c r="N343" s="140"/>
      <c r="O343" s="306"/>
      <c r="P343" s="140"/>
      <c r="Q343" s="140"/>
      <c r="R343" s="140"/>
      <c r="S343" s="140"/>
      <c r="T343" s="140"/>
      <c r="U343" s="140"/>
      <c r="V343" s="140"/>
      <c r="W343" s="140"/>
      <c r="X343" s="141"/>
      <c r="Y343" s="141"/>
      <c r="Z343" s="312"/>
      <c r="AA343" s="155"/>
      <c r="AB343" s="23"/>
      <c r="AC343" s="23"/>
      <c r="AD343" s="23"/>
      <c r="AE343" s="23"/>
      <c r="AF343" s="23"/>
      <c r="AG343" s="23"/>
      <c r="AH343" s="23"/>
      <c r="AI343" s="23"/>
      <c r="AJ343" s="141"/>
      <c r="AK343" s="141"/>
      <c r="AL343" s="141"/>
      <c r="AM343" s="141"/>
      <c r="AN343" s="141"/>
      <c r="AO343" s="141"/>
      <c r="AP343" s="141"/>
      <c r="AQ343" s="141"/>
      <c r="AR343" s="141"/>
      <c r="AS343" s="141"/>
      <c r="AT343" s="141"/>
      <c r="AU343" s="141"/>
      <c r="AV343" s="141"/>
      <c r="AW343" s="141"/>
      <c r="AX343" s="141"/>
      <c r="AY343" s="141"/>
      <c r="AZ343" s="312"/>
      <c r="BA343" s="155"/>
      <c r="BB343" s="309"/>
      <c r="BC343" s="23"/>
      <c r="BD343" s="23"/>
    </row>
    <row r="344" spans="2:56" ht="15.5">
      <c r="B344" s="141"/>
      <c r="C344" s="156"/>
      <c r="D344" s="302"/>
      <c r="E344" s="133"/>
      <c r="F344" s="155"/>
      <c r="G344" s="138"/>
      <c r="H344" s="8"/>
      <c r="I344" s="8"/>
      <c r="J344" s="139"/>
      <c r="K344" s="139"/>
      <c r="L344" s="139"/>
      <c r="M344" s="8"/>
      <c r="N344" s="140"/>
      <c r="O344" s="306"/>
      <c r="P344" s="140"/>
      <c r="Q344" s="140"/>
      <c r="R344" s="140"/>
      <c r="S344" s="140"/>
      <c r="T344" s="140"/>
      <c r="U344" s="140"/>
      <c r="V344" s="140"/>
      <c r="W344" s="140"/>
      <c r="X344" s="141"/>
      <c r="Y344" s="141"/>
      <c r="Z344" s="312"/>
      <c r="AA344" s="155"/>
      <c r="AB344" s="23"/>
      <c r="AC344" s="23"/>
      <c r="AD344" s="23"/>
      <c r="AE344" s="23"/>
      <c r="AF344" s="23"/>
      <c r="AG344" s="23"/>
      <c r="AH344" s="23"/>
      <c r="AI344" s="23"/>
      <c r="AJ344" s="141"/>
      <c r="AK344" s="141"/>
      <c r="AL344" s="141"/>
      <c r="AM344" s="141"/>
      <c r="AN344" s="141"/>
      <c r="AO344" s="141"/>
      <c r="AP344" s="141"/>
      <c r="AQ344" s="141"/>
      <c r="AR344" s="141"/>
      <c r="AS344" s="141"/>
      <c r="AT344" s="141"/>
      <c r="AU344" s="141"/>
      <c r="AV344" s="141"/>
      <c r="AW344" s="141"/>
      <c r="AX344" s="141"/>
      <c r="AY344" s="141"/>
      <c r="AZ344" s="312"/>
      <c r="BA344" s="155"/>
      <c r="BB344" s="309"/>
      <c r="BC344" s="23"/>
      <c r="BD344" s="23"/>
    </row>
    <row r="345" spans="2:56" ht="15.5">
      <c r="B345" s="141"/>
      <c r="C345" s="156"/>
      <c r="D345" s="302"/>
      <c r="E345" s="133"/>
      <c r="F345" s="155"/>
      <c r="G345" s="138"/>
      <c r="H345" s="8"/>
      <c r="I345" s="8"/>
      <c r="J345" s="139"/>
      <c r="K345" s="139"/>
      <c r="L345" s="139"/>
      <c r="M345" s="8"/>
      <c r="N345" s="140"/>
      <c r="O345" s="306"/>
      <c r="P345" s="140"/>
      <c r="Q345" s="140"/>
      <c r="R345" s="140"/>
      <c r="S345" s="140"/>
      <c r="T345" s="140"/>
      <c r="U345" s="140"/>
      <c r="V345" s="140"/>
      <c r="W345" s="140"/>
      <c r="X345" s="141"/>
      <c r="Y345" s="141"/>
      <c r="Z345" s="312"/>
      <c r="AA345" s="155"/>
      <c r="AB345" s="23"/>
      <c r="AC345" s="23"/>
      <c r="AD345" s="23"/>
      <c r="AE345" s="23"/>
      <c r="AF345" s="23"/>
      <c r="AG345" s="23"/>
      <c r="AH345" s="23"/>
      <c r="AI345" s="23"/>
      <c r="AJ345" s="141"/>
      <c r="AK345" s="141"/>
      <c r="AL345" s="141"/>
      <c r="AM345" s="141"/>
      <c r="AN345" s="141"/>
      <c r="AO345" s="141"/>
      <c r="AP345" s="141"/>
      <c r="AQ345" s="141"/>
      <c r="AR345" s="141"/>
      <c r="AS345" s="141"/>
      <c r="AT345" s="141"/>
      <c r="AU345" s="141"/>
      <c r="AV345" s="141"/>
      <c r="AW345" s="141"/>
      <c r="AX345" s="141"/>
      <c r="AY345" s="141"/>
      <c r="AZ345" s="312"/>
      <c r="BA345" s="155"/>
      <c r="BB345" s="309"/>
      <c r="BC345" s="23"/>
      <c r="BD345" s="23"/>
    </row>
    <row r="346" spans="2:56" ht="15.5">
      <c r="B346" s="141"/>
      <c r="C346" s="156"/>
      <c r="D346" s="302"/>
      <c r="E346" s="133"/>
      <c r="F346" s="155"/>
      <c r="G346" s="138"/>
      <c r="H346" s="8"/>
      <c r="I346" s="8"/>
      <c r="J346" s="139"/>
      <c r="K346" s="139"/>
      <c r="L346" s="139"/>
      <c r="M346" s="8"/>
      <c r="N346" s="140"/>
      <c r="O346" s="306"/>
      <c r="P346" s="140"/>
      <c r="Q346" s="140"/>
      <c r="R346" s="140"/>
      <c r="S346" s="140"/>
      <c r="T346" s="140"/>
      <c r="U346" s="140"/>
      <c r="V346" s="140"/>
      <c r="W346" s="140"/>
      <c r="X346" s="141"/>
      <c r="Y346" s="141"/>
      <c r="Z346" s="312"/>
      <c r="AA346" s="155"/>
      <c r="AB346" s="23"/>
      <c r="AC346" s="23"/>
      <c r="AD346" s="23"/>
      <c r="AE346" s="23"/>
      <c r="AF346" s="23"/>
      <c r="AG346" s="23"/>
      <c r="AH346" s="23"/>
      <c r="AI346" s="23"/>
      <c r="AJ346" s="141"/>
      <c r="AK346" s="141"/>
      <c r="AL346" s="141"/>
      <c r="AM346" s="141"/>
      <c r="AN346" s="141"/>
      <c r="AO346" s="141"/>
      <c r="AP346" s="141"/>
      <c r="AQ346" s="141"/>
      <c r="AR346" s="141"/>
      <c r="AS346" s="141"/>
      <c r="AT346" s="141"/>
      <c r="AU346" s="141"/>
      <c r="AV346" s="141"/>
      <c r="AW346" s="141"/>
      <c r="AX346" s="141"/>
      <c r="AY346" s="141"/>
      <c r="AZ346" s="312"/>
      <c r="BA346" s="155"/>
      <c r="BB346" s="309"/>
      <c r="BC346" s="23"/>
      <c r="BD346" s="23"/>
    </row>
    <row r="347" spans="2:56" ht="15.5">
      <c r="B347" s="141"/>
      <c r="C347" s="156"/>
      <c r="D347" s="302"/>
      <c r="E347" s="133"/>
      <c r="F347" s="155"/>
      <c r="G347" s="138"/>
      <c r="H347" s="8"/>
      <c r="I347" s="8"/>
      <c r="J347" s="139"/>
      <c r="K347" s="139"/>
      <c r="L347" s="139"/>
      <c r="M347" s="8"/>
      <c r="N347" s="140"/>
      <c r="O347" s="306"/>
      <c r="P347" s="140"/>
      <c r="Q347" s="140"/>
      <c r="R347" s="140"/>
      <c r="S347" s="140"/>
      <c r="T347" s="140"/>
      <c r="U347" s="140"/>
      <c r="V347" s="140"/>
      <c r="W347" s="140"/>
      <c r="X347" s="141"/>
      <c r="Y347" s="141"/>
      <c r="Z347" s="312"/>
      <c r="AA347" s="155"/>
      <c r="AB347" s="23"/>
      <c r="AC347" s="23"/>
      <c r="AD347" s="23"/>
      <c r="AE347" s="23"/>
      <c r="AF347" s="23"/>
      <c r="AG347" s="23"/>
      <c r="AH347" s="23"/>
      <c r="AI347" s="23"/>
      <c r="AJ347" s="141"/>
      <c r="AK347" s="141"/>
      <c r="AL347" s="141"/>
      <c r="AM347" s="141"/>
      <c r="AN347" s="141"/>
      <c r="AO347" s="141"/>
      <c r="AP347" s="141"/>
      <c r="AQ347" s="141"/>
      <c r="AR347" s="141"/>
      <c r="AS347" s="141"/>
      <c r="AT347" s="141"/>
      <c r="AU347" s="141"/>
      <c r="AV347" s="141"/>
      <c r="AW347" s="141"/>
      <c r="AX347" s="141"/>
      <c r="AY347" s="141"/>
      <c r="AZ347" s="312"/>
      <c r="BA347" s="155"/>
      <c r="BB347" s="309"/>
      <c r="BC347" s="23"/>
      <c r="BD347" s="23"/>
    </row>
    <row r="348" spans="2:56" ht="15.5">
      <c r="B348" s="141"/>
      <c r="C348" s="156"/>
      <c r="D348" s="302"/>
      <c r="E348" s="133"/>
      <c r="F348" s="155"/>
      <c r="G348" s="138"/>
      <c r="H348" s="8"/>
      <c r="I348" s="8"/>
      <c r="J348" s="139"/>
      <c r="K348" s="139"/>
      <c r="L348" s="139"/>
      <c r="M348" s="8"/>
      <c r="N348" s="140"/>
      <c r="O348" s="306"/>
      <c r="P348" s="140"/>
      <c r="Q348" s="140"/>
      <c r="R348" s="140"/>
      <c r="S348" s="140"/>
      <c r="T348" s="140"/>
      <c r="U348" s="140"/>
      <c r="V348" s="140"/>
      <c r="W348" s="140"/>
      <c r="X348" s="141"/>
      <c r="Y348" s="141"/>
      <c r="Z348" s="312"/>
      <c r="AA348" s="155"/>
      <c r="AB348" s="23"/>
      <c r="AC348" s="23"/>
      <c r="AD348" s="23"/>
      <c r="AE348" s="23"/>
      <c r="AF348" s="23"/>
      <c r="AG348" s="23"/>
      <c r="AH348" s="23"/>
      <c r="AI348" s="23"/>
      <c r="AJ348" s="141"/>
      <c r="AK348" s="141"/>
      <c r="AL348" s="141"/>
      <c r="AM348" s="141"/>
      <c r="AN348" s="141"/>
      <c r="AO348" s="141"/>
      <c r="AP348" s="141"/>
      <c r="AQ348" s="141"/>
      <c r="AR348" s="141"/>
      <c r="AS348" s="141"/>
      <c r="AT348" s="141"/>
      <c r="AU348" s="141"/>
      <c r="AV348" s="141"/>
      <c r="AW348" s="141"/>
      <c r="AX348" s="141"/>
      <c r="AY348" s="141"/>
      <c r="AZ348" s="312"/>
      <c r="BA348" s="155"/>
      <c r="BB348" s="309"/>
      <c r="BC348" s="23"/>
      <c r="BD348" s="23"/>
    </row>
    <row r="349" spans="2:56" ht="15.5">
      <c r="B349" s="141"/>
      <c r="C349" s="156"/>
      <c r="D349" s="302"/>
      <c r="E349" s="133"/>
      <c r="F349" s="155"/>
      <c r="G349" s="138"/>
      <c r="H349" s="8"/>
      <c r="I349" s="8"/>
      <c r="J349" s="139"/>
      <c r="K349" s="139"/>
      <c r="L349" s="139"/>
      <c r="M349" s="8"/>
      <c r="N349" s="140"/>
      <c r="O349" s="306"/>
      <c r="P349" s="140"/>
      <c r="Q349" s="140"/>
      <c r="R349" s="140"/>
      <c r="S349" s="140"/>
      <c r="T349" s="140"/>
      <c r="U349" s="140"/>
      <c r="V349" s="140"/>
      <c r="W349" s="140"/>
      <c r="X349" s="141"/>
      <c r="Y349" s="141"/>
      <c r="Z349" s="312"/>
      <c r="AA349" s="155"/>
      <c r="AB349" s="23"/>
      <c r="AC349" s="23"/>
      <c r="AD349" s="23"/>
      <c r="AE349" s="23"/>
      <c r="AF349" s="23"/>
      <c r="AG349" s="23"/>
      <c r="AH349" s="23"/>
      <c r="AI349" s="23"/>
      <c r="AJ349" s="141"/>
      <c r="AK349" s="141"/>
      <c r="AL349" s="141"/>
      <c r="AM349" s="141"/>
      <c r="AN349" s="141"/>
      <c r="AO349" s="141"/>
      <c r="AP349" s="141"/>
      <c r="AQ349" s="141"/>
      <c r="AR349" s="141"/>
      <c r="AS349" s="141"/>
      <c r="AT349" s="141"/>
      <c r="AU349" s="141"/>
      <c r="AV349" s="141"/>
      <c r="AW349" s="141"/>
      <c r="AX349" s="141"/>
      <c r="AY349" s="141"/>
      <c r="AZ349" s="312"/>
      <c r="BA349" s="155"/>
      <c r="BB349" s="309"/>
      <c r="BC349" s="23"/>
      <c r="BD349" s="23"/>
    </row>
    <row r="350" spans="2:56" ht="15.5">
      <c r="B350" s="141"/>
      <c r="C350" s="156"/>
      <c r="D350" s="302"/>
      <c r="E350" s="133"/>
      <c r="F350" s="155"/>
      <c r="G350" s="138"/>
      <c r="H350" s="8"/>
      <c r="I350" s="8"/>
      <c r="J350" s="139"/>
      <c r="K350" s="139"/>
      <c r="L350" s="139"/>
      <c r="M350" s="8"/>
      <c r="N350" s="140"/>
      <c r="O350" s="306"/>
      <c r="P350" s="140"/>
      <c r="Q350" s="140"/>
      <c r="R350" s="140"/>
      <c r="S350" s="140"/>
      <c r="T350" s="140"/>
      <c r="U350" s="140"/>
      <c r="V350" s="140"/>
      <c r="W350" s="140"/>
      <c r="X350" s="141"/>
      <c r="Y350" s="141"/>
      <c r="Z350" s="312"/>
      <c r="AA350" s="155"/>
      <c r="AB350" s="23"/>
      <c r="AC350" s="23"/>
      <c r="AD350" s="23"/>
      <c r="AE350" s="23"/>
      <c r="AF350" s="23"/>
      <c r="AG350" s="23"/>
      <c r="AH350" s="23"/>
      <c r="AI350" s="23"/>
      <c r="AJ350" s="141"/>
      <c r="AK350" s="141"/>
      <c r="AL350" s="141"/>
      <c r="AM350" s="141"/>
      <c r="AN350" s="141"/>
      <c r="AO350" s="141"/>
      <c r="AP350" s="141"/>
      <c r="AQ350" s="141"/>
      <c r="AR350" s="141"/>
      <c r="AS350" s="141"/>
      <c r="AT350" s="141"/>
      <c r="AU350" s="141"/>
      <c r="AV350" s="141"/>
      <c r="AW350" s="141"/>
      <c r="AX350" s="141"/>
      <c r="AY350" s="141"/>
      <c r="AZ350" s="312"/>
      <c r="BA350" s="155"/>
      <c r="BB350" s="309"/>
      <c r="BC350" s="23"/>
      <c r="BD350" s="23"/>
    </row>
    <row r="351" spans="2:56" ht="15.5">
      <c r="B351" s="141"/>
      <c r="C351" s="156"/>
      <c r="D351" s="302"/>
      <c r="E351" s="133"/>
      <c r="F351" s="155"/>
      <c r="G351" s="138"/>
      <c r="H351" s="8"/>
      <c r="I351" s="8"/>
      <c r="J351" s="139"/>
      <c r="K351" s="139"/>
      <c r="L351" s="139"/>
      <c r="M351" s="8"/>
      <c r="N351" s="140"/>
      <c r="O351" s="306"/>
      <c r="P351" s="140"/>
      <c r="Q351" s="140"/>
      <c r="R351" s="140"/>
      <c r="S351" s="140"/>
      <c r="T351" s="140"/>
      <c r="U351" s="140"/>
      <c r="V351" s="140"/>
      <c r="W351" s="140"/>
      <c r="X351" s="141"/>
      <c r="Y351" s="141"/>
      <c r="Z351" s="312"/>
      <c r="AA351" s="155"/>
      <c r="AB351" s="23"/>
      <c r="AC351" s="23"/>
      <c r="AD351" s="23"/>
      <c r="AE351" s="23"/>
      <c r="AF351" s="23"/>
      <c r="AG351" s="23"/>
      <c r="AH351" s="23"/>
      <c r="AI351" s="23"/>
      <c r="AJ351" s="141"/>
      <c r="AK351" s="141"/>
      <c r="AL351" s="141"/>
      <c r="AM351" s="141"/>
      <c r="AN351" s="141"/>
      <c r="AO351" s="141"/>
      <c r="AP351" s="141"/>
      <c r="AQ351" s="141"/>
      <c r="AR351" s="141"/>
      <c r="AS351" s="141"/>
      <c r="AT351" s="141"/>
      <c r="AU351" s="141"/>
      <c r="AV351" s="141"/>
      <c r="AW351" s="141"/>
      <c r="AX351" s="141"/>
      <c r="AY351" s="141"/>
      <c r="AZ351" s="312"/>
      <c r="BA351" s="155"/>
      <c r="BB351" s="309"/>
      <c r="BC351" s="23"/>
      <c r="BD351" s="23"/>
    </row>
    <row r="352" spans="2:56" ht="15.5">
      <c r="B352" s="141"/>
      <c r="C352" s="156"/>
      <c r="D352" s="302"/>
      <c r="E352" s="133"/>
      <c r="F352" s="155"/>
      <c r="G352" s="138"/>
      <c r="H352" s="8"/>
      <c r="I352" s="8"/>
      <c r="J352" s="139"/>
      <c r="K352" s="139"/>
      <c r="L352" s="139"/>
      <c r="M352" s="8"/>
      <c r="N352" s="140"/>
      <c r="O352" s="306"/>
      <c r="P352" s="140"/>
      <c r="Q352" s="140"/>
      <c r="R352" s="140"/>
      <c r="S352" s="140"/>
      <c r="T352" s="140"/>
      <c r="U352" s="140"/>
      <c r="V352" s="140"/>
      <c r="W352" s="140"/>
      <c r="X352" s="141"/>
      <c r="Y352" s="141"/>
      <c r="Z352" s="312"/>
      <c r="AA352" s="155"/>
      <c r="AB352" s="23"/>
      <c r="AC352" s="23"/>
      <c r="AD352" s="23"/>
      <c r="AE352" s="23"/>
      <c r="AF352" s="23"/>
      <c r="AG352" s="23"/>
      <c r="AH352" s="23"/>
      <c r="AI352" s="23"/>
      <c r="AJ352" s="141"/>
      <c r="AK352" s="141"/>
      <c r="AL352" s="141"/>
      <c r="AM352" s="141"/>
      <c r="AN352" s="141"/>
      <c r="AO352" s="141"/>
      <c r="AP352" s="141"/>
      <c r="AQ352" s="141"/>
      <c r="AR352" s="141"/>
      <c r="AS352" s="141"/>
      <c r="AT352" s="141"/>
      <c r="AU352" s="141"/>
      <c r="AV352" s="141"/>
      <c r="AW352" s="141"/>
      <c r="AX352" s="141"/>
      <c r="AY352" s="141"/>
      <c r="AZ352" s="312"/>
      <c r="BA352" s="155"/>
      <c r="BB352" s="309"/>
      <c r="BC352" s="23"/>
      <c r="BD352" s="23"/>
    </row>
    <row r="353" spans="2:56" ht="15.5">
      <c r="B353" s="141"/>
      <c r="C353" s="156"/>
      <c r="D353" s="302"/>
      <c r="E353" s="133"/>
      <c r="F353" s="155"/>
      <c r="G353" s="138"/>
      <c r="H353" s="8"/>
      <c r="I353" s="8"/>
      <c r="J353" s="139"/>
      <c r="K353" s="139"/>
      <c r="L353" s="139"/>
      <c r="M353" s="8"/>
      <c r="N353" s="140"/>
      <c r="O353" s="306"/>
      <c r="P353" s="140"/>
      <c r="Q353" s="140"/>
      <c r="R353" s="140"/>
      <c r="S353" s="140"/>
      <c r="T353" s="140"/>
      <c r="U353" s="140"/>
      <c r="V353" s="140"/>
      <c r="W353" s="140"/>
      <c r="X353" s="141"/>
      <c r="Y353" s="141"/>
      <c r="Z353" s="312"/>
      <c r="AA353" s="155"/>
      <c r="AB353" s="23"/>
      <c r="AC353" s="23"/>
      <c r="AD353" s="23"/>
      <c r="AE353" s="23"/>
      <c r="AF353" s="23"/>
      <c r="AG353" s="23"/>
      <c r="AH353" s="23"/>
      <c r="AI353" s="23"/>
      <c r="AJ353" s="141"/>
      <c r="AK353" s="141"/>
      <c r="AL353" s="141"/>
      <c r="AM353" s="141"/>
      <c r="AN353" s="141"/>
      <c r="AO353" s="141"/>
      <c r="AP353" s="141"/>
      <c r="AQ353" s="141"/>
      <c r="AR353" s="141"/>
      <c r="AS353" s="141"/>
      <c r="AT353" s="141"/>
      <c r="AU353" s="141"/>
      <c r="AV353" s="141"/>
      <c r="AW353" s="141"/>
      <c r="AX353" s="141"/>
      <c r="AY353" s="141"/>
      <c r="AZ353" s="312"/>
      <c r="BA353" s="155"/>
      <c r="BB353" s="309"/>
      <c r="BC353" s="23"/>
      <c r="BD353" s="23"/>
    </row>
    <row r="354" spans="2:56" ht="15.5">
      <c r="B354" s="141"/>
      <c r="C354" s="156"/>
      <c r="D354" s="302"/>
      <c r="E354" s="133"/>
      <c r="F354" s="155"/>
      <c r="G354" s="138"/>
      <c r="H354" s="8"/>
      <c r="I354" s="8"/>
      <c r="J354" s="139"/>
      <c r="K354" s="139"/>
      <c r="L354" s="139"/>
      <c r="M354" s="8"/>
      <c r="N354" s="140"/>
      <c r="O354" s="306"/>
      <c r="P354" s="140"/>
      <c r="Q354" s="140"/>
      <c r="R354" s="140"/>
      <c r="S354" s="140"/>
      <c r="T354" s="140"/>
      <c r="U354" s="140"/>
      <c r="V354" s="140"/>
      <c r="W354" s="140"/>
      <c r="X354" s="141"/>
      <c r="Y354" s="141"/>
      <c r="Z354" s="312"/>
      <c r="AA354" s="155"/>
      <c r="AB354" s="23"/>
      <c r="AC354" s="23"/>
      <c r="AD354" s="23"/>
      <c r="AE354" s="23"/>
      <c r="AF354" s="23"/>
      <c r="AG354" s="23"/>
      <c r="AH354" s="23"/>
      <c r="AI354" s="23"/>
      <c r="AJ354" s="141"/>
      <c r="AK354" s="141"/>
      <c r="AL354" s="141"/>
      <c r="AM354" s="141"/>
      <c r="AN354" s="141"/>
      <c r="AO354" s="141"/>
      <c r="AP354" s="141"/>
      <c r="AQ354" s="141"/>
      <c r="AR354" s="141"/>
      <c r="AS354" s="141"/>
      <c r="AT354" s="141"/>
      <c r="AU354" s="141"/>
      <c r="AV354" s="141"/>
      <c r="AW354" s="141"/>
      <c r="AX354" s="141"/>
      <c r="AY354" s="141"/>
      <c r="AZ354" s="312"/>
      <c r="BA354" s="155"/>
      <c r="BB354" s="309"/>
      <c r="BC354" s="23"/>
      <c r="BD354" s="23"/>
    </row>
    <row r="355" spans="2:56" ht="15.5">
      <c r="B355" s="141"/>
      <c r="C355" s="156"/>
      <c r="D355" s="302"/>
      <c r="E355" s="133"/>
      <c r="F355" s="155"/>
      <c r="G355" s="138"/>
      <c r="H355" s="8"/>
      <c r="I355" s="8"/>
      <c r="J355" s="139"/>
      <c r="K355" s="139"/>
      <c r="L355" s="139"/>
      <c r="M355" s="8"/>
      <c r="N355" s="140"/>
      <c r="O355" s="306"/>
      <c r="P355" s="140"/>
      <c r="Q355" s="140"/>
      <c r="R355" s="140"/>
      <c r="S355" s="140"/>
      <c r="T355" s="140"/>
      <c r="U355" s="140"/>
      <c r="V355" s="140"/>
      <c r="W355" s="140"/>
      <c r="X355" s="141"/>
      <c r="Y355" s="141"/>
      <c r="Z355" s="312"/>
      <c r="AA355" s="155"/>
      <c r="AB355" s="23"/>
      <c r="AC355" s="23"/>
      <c r="AD355" s="23"/>
      <c r="AE355" s="23"/>
      <c r="AF355" s="23"/>
      <c r="AG355" s="23"/>
      <c r="AH355" s="23"/>
      <c r="AI355" s="23"/>
      <c r="AJ355" s="141"/>
      <c r="AK355" s="141"/>
      <c r="AL355" s="141"/>
      <c r="AM355" s="141"/>
      <c r="AN355" s="141"/>
      <c r="AO355" s="141"/>
      <c r="AP355" s="141"/>
      <c r="AQ355" s="141"/>
      <c r="AR355" s="141"/>
      <c r="AS355" s="141"/>
      <c r="AT355" s="141"/>
      <c r="AU355" s="141"/>
      <c r="AV355" s="141"/>
      <c r="AW355" s="141"/>
      <c r="AX355" s="141"/>
      <c r="AY355" s="141"/>
      <c r="AZ355" s="312"/>
      <c r="BA355" s="155"/>
      <c r="BB355" s="309"/>
      <c r="BC355" s="23"/>
      <c r="BD355" s="23"/>
    </row>
    <row r="356" spans="2:56" ht="15.5">
      <c r="B356" s="141"/>
      <c r="C356" s="156"/>
      <c r="D356" s="302"/>
      <c r="E356" s="133"/>
      <c r="F356" s="155"/>
      <c r="G356" s="138"/>
      <c r="H356" s="8"/>
      <c r="I356" s="8"/>
      <c r="J356" s="139"/>
      <c r="K356" s="139"/>
      <c r="L356" s="139"/>
      <c r="M356" s="8"/>
      <c r="N356" s="140"/>
      <c r="O356" s="306"/>
      <c r="P356" s="140"/>
      <c r="Q356" s="140"/>
      <c r="R356" s="140"/>
      <c r="S356" s="140"/>
      <c r="T356" s="140"/>
      <c r="U356" s="140"/>
      <c r="V356" s="140"/>
      <c r="W356" s="140"/>
      <c r="X356" s="141"/>
      <c r="Y356" s="141"/>
      <c r="Z356" s="312"/>
      <c r="AA356" s="155"/>
      <c r="AB356" s="23"/>
      <c r="AC356" s="23"/>
      <c r="AD356" s="23"/>
      <c r="AE356" s="23"/>
      <c r="AF356" s="23"/>
      <c r="AG356" s="23"/>
      <c r="AH356" s="23"/>
      <c r="AI356" s="23"/>
      <c r="AJ356" s="141"/>
      <c r="AK356" s="141"/>
      <c r="AL356" s="141"/>
      <c r="AM356" s="141"/>
      <c r="AN356" s="141"/>
      <c r="AO356" s="141"/>
      <c r="AP356" s="141"/>
      <c r="AQ356" s="141"/>
      <c r="AR356" s="141"/>
      <c r="AS356" s="141"/>
      <c r="AT356" s="141"/>
      <c r="AU356" s="141"/>
      <c r="AV356" s="141"/>
      <c r="AW356" s="141"/>
      <c r="AX356" s="141"/>
      <c r="AY356" s="141"/>
      <c r="AZ356" s="312"/>
      <c r="BA356" s="155"/>
      <c r="BB356" s="309"/>
      <c r="BC356" s="23"/>
      <c r="BD356" s="23"/>
    </row>
    <row r="357" spans="2:56" ht="15.5">
      <c r="B357" s="141"/>
      <c r="C357" s="156"/>
      <c r="D357" s="302"/>
      <c r="E357" s="133"/>
      <c r="F357" s="155"/>
      <c r="G357" s="138"/>
      <c r="H357" s="8"/>
      <c r="I357" s="8"/>
      <c r="J357" s="139"/>
      <c r="K357" s="139"/>
      <c r="L357" s="139"/>
      <c r="M357" s="8"/>
      <c r="N357" s="140"/>
      <c r="O357" s="306"/>
      <c r="P357" s="140"/>
      <c r="Q357" s="140"/>
      <c r="R357" s="140"/>
      <c r="S357" s="140"/>
      <c r="T357" s="140"/>
      <c r="U357" s="140"/>
      <c r="V357" s="140"/>
      <c r="W357" s="140"/>
      <c r="X357" s="141"/>
      <c r="Y357" s="141"/>
      <c r="Z357" s="312"/>
      <c r="AA357" s="155"/>
      <c r="AB357" s="23"/>
      <c r="AC357" s="23"/>
      <c r="AD357" s="23"/>
      <c r="AE357" s="23"/>
      <c r="AF357" s="23"/>
      <c r="AG357" s="23"/>
      <c r="AH357" s="23"/>
      <c r="AI357" s="23"/>
      <c r="AJ357" s="141"/>
      <c r="AK357" s="141"/>
      <c r="AL357" s="141"/>
      <c r="AM357" s="141"/>
      <c r="AN357" s="141"/>
      <c r="AO357" s="141"/>
      <c r="AP357" s="141"/>
      <c r="AQ357" s="141"/>
      <c r="AR357" s="141"/>
      <c r="AS357" s="141"/>
      <c r="AT357" s="141"/>
      <c r="AU357" s="141"/>
      <c r="AV357" s="141"/>
      <c r="AW357" s="141"/>
      <c r="AX357" s="141"/>
      <c r="AY357" s="141"/>
      <c r="AZ357" s="312"/>
      <c r="BA357" s="155"/>
      <c r="BB357" s="309"/>
      <c r="BC357" s="23"/>
      <c r="BD357" s="23"/>
    </row>
    <row r="358" spans="2:56" ht="15.5">
      <c r="B358" s="141"/>
      <c r="C358" s="156"/>
      <c r="D358" s="302"/>
      <c r="E358" s="133"/>
      <c r="F358" s="155"/>
      <c r="G358" s="138"/>
      <c r="H358" s="8"/>
      <c r="I358" s="8"/>
      <c r="J358" s="139"/>
      <c r="K358" s="139"/>
      <c r="L358" s="139"/>
      <c r="M358" s="8"/>
      <c r="N358" s="140"/>
      <c r="O358" s="306"/>
      <c r="P358" s="140"/>
      <c r="Q358" s="140"/>
      <c r="R358" s="140"/>
      <c r="S358" s="140"/>
      <c r="T358" s="140"/>
      <c r="U358" s="140"/>
      <c r="V358" s="140"/>
      <c r="W358" s="140"/>
      <c r="X358" s="141"/>
      <c r="Y358" s="141"/>
      <c r="Z358" s="312"/>
      <c r="AA358" s="155"/>
      <c r="AB358" s="23"/>
      <c r="AC358" s="23"/>
      <c r="AD358" s="23"/>
      <c r="AE358" s="23"/>
      <c r="AF358" s="23"/>
      <c r="AG358" s="23"/>
      <c r="AH358" s="23"/>
      <c r="AI358" s="23"/>
      <c r="AJ358" s="141"/>
      <c r="AK358" s="141"/>
      <c r="AL358" s="141"/>
      <c r="AM358" s="141"/>
      <c r="AN358" s="141"/>
      <c r="AO358" s="141"/>
      <c r="AP358" s="141"/>
      <c r="AQ358" s="141"/>
      <c r="AR358" s="141"/>
      <c r="AS358" s="141"/>
      <c r="AT358" s="141"/>
      <c r="AU358" s="141"/>
      <c r="AV358" s="141"/>
      <c r="AW358" s="141"/>
      <c r="AX358" s="141"/>
      <c r="AY358" s="141"/>
      <c r="AZ358" s="312"/>
      <c r="BA358" s="155"/>
      <c r="BB358" s="309"/>
      <c r="BC358" s="23"/>
      <c r="BD358" s="23"/>
    </row>
    <row r="359" spans="2:56" ht="15.5">
      <c r="B359" s="141"/>
      <c r="C359" s="156"/>
      <c r="D359" s="302"/>
      <c r="E359" s="133"/>
      <c r="F359" s="155"/>
      <c r="G359" s="138"/>
      <c r="H359" s="8"/>
      <c r="I359" s="8"/>
      <c r="J359" s="139"/>
      <c r="K359" s="139"/>
      <c r="L359" s="139"/>
      <c r="M359" s="8"/>
      <c r="N359" s="140"/>
      <c r="O359" s="306"/>
      <c r="P359" s="140"/>
      <c r="Q359" s="140"/>
      <c r="R359" s="140"/>
      <c r="S359" s="140"/>
      <c r="T359" s="140"/>
      <c r="U359" s="140"/>
      <c r="V359" s="140"/>
      <c r="W359" s="140"/>
      <c r="X359" s="141"/>
      <c r="Y359" s="141"/>
      <c r="Z359" s="312"/>
      <c r="AA359" s="155"/>
      <c r="AB359" s="23"/>
      <c r="AC359" s="23"/>
      <c r="AD359" s="23"/>
      <c r="AE359" s="23"/>
      <c r="AF359" s="23"/>
      <c r="AG359" s="23"/>
      <c r="AH359" s="23"/>
      <c r="AI359" s="23"/>
      <c r="AJ359" s="141"/>
      <c r="AK359" s="141"/>
      <c r="AL359" s="141"/>
      <c r="AM359" s="141"/>
      <c r="AN359" s="141"/>
      <c r="AO359" s="141"/>
      <c r="AP359" s="141"/>
      <c r="AQ359" s="141"/>
      <c r="AR359" s="141"/>
      <c r="AS359" s="141"/>
      <c r="AT359" s="141"/>
      <c r="AU359" s="141"/>
      <c r="AV359" s="141"/>
      <c r="AW359" s="141"/>
      <c r="AX359" s="141"/>
      <c r="AY359" s="141"/>
      <c r="AZ359" s="312"/>
      <c r="BA359" s="155"/>
      <c r="BB359" s="309"/>
      <c r="BC359" s="23"/>
      <c r="BD359" s="23"/>
    </row>
    <row r="360" spans="2:56" ht="15.5">
      <c r="B360" s="141"/>
      <c r="C360" s="156"/>
      <c r="D360" s="302"/>
      <c r="E360" s="133"/>
      <c r="F360" s="155"/>
      <c r="G360" s="138"/>
      <c r="H360" s="8"/>
      <c r="I360" s="8"/>
      <c r="J360" s="139"/>
      <c r="K360" s="139"/>
      <c r="L360" s="139"/>
      <c r="M360" s="8"/>
      <c r="N360" s="140"/>
      <c r="O360" s="306"/>
      <c r="P360" s="140"/>
      <c r="Q360" s="140"/>
      <c r="R360" s="140"/>
      <c r="S360" s="140"/>
      <c r="T360" s="140"/>
      <c r="U360" s="140"/>
      <c r="V360" s="140"/>
      <c r="W360" s="140"/>
      <c r="X360" s="141"/>
      <c r="Y360" s="141"/>
      <c r="Z360" s="312"/>
      <c r="AA360" s="155"/>
      <c r="AB360" s="23"/>
      <c r="AC360" s="23"/>
      <c r="AD360" s="23"/>
      <c r="AE360" s="23"/>
      <c r="AF360" s="23"/>
      <c r="AG360" s="23"/>
      <c r="AH360" s="23"/>
      <c r="AI360" s="23"/>
      <c r="AJ360" s="141"/>
      <c r="AK360" s="141"/>
      <c r="AL360" s="141"/>
      <c r="AM360" s="141"/>
      <c r="AN360" s="141"/>
      <c r="AO360" s="141"/>
      <c r="AP360" s="141"/>
      <c r="AQ360" s="141"/>
      <c r="AR360" s="141"/>
      <c r="AS360" s="141"/>
      <c r="AT360" s="141"/>
      <c r="AU360" s="141"/>
      <c r="AV360" s="141"/>
      <c r="AW360" s="141"/>
      <c r="AX360" s="141"/>
      <c r="AY360" s="141"/>
      <c r="AZ360" s="312">
        <f t="shared" si="17"/>
        <v>0</v>
      </c>
      <c r="BA360" s="155">
        <f t="shared" si="17"/>
        <v>0</v>
      </c>
      <c r="BB360" s="309"/>
      <c r="BC360" s="23"/>
      <c r="BD360" s="23"/>
    </row>
    <row r="361" spans="2:56" ht="15.5">
      <c r="B361" s="141"/>
      <c r="C361" s="156"/>
      <c r="D361" s="302"/>
      <c r="E361" s="133"/>
      <c r="F361" s="155"/>
      <c r="G361" s="138"/>
      <c r="H361" s="8"/>
      <c r="I361" s="8"/>
      <c r="J361" s="139"/>
      <c r="K361" s="139"/>
      <c r="L361" s="139"/>
      <c r="M361" s="8"/>
      <c r="N361" s="140"/>
      <c r="O361" s="306"/>
      <c r="P361" s="140"/>
      <c r="Q361" s="140"/>
      <c r="R361" s="140"/>
      <c r="S361" s="140"/>
      <c r="T361" s="140"/>
      <c r="U361" s="140"/>
      <c r="V361" s="140"/>
      <c r="W361" s="140"/>
      <c r="X361" s="141"/>
      <c r="Y361" s="141"/>
      <c r="Z361" s="312"/>
      <c r="AA361" s="155"/>
      <c r="AB361" s="23"/>
      <c r="AC361" s="23"/>
      <c r="AD361" s="23"/>
      <c r="AE361" s="23"/>
      <c r="AF361" s="23"/>
      <c r="AG361" s="23"/>
      <c r="AH361" s="23"/>
      <c r="AI361" s="23"/>
      <c r="AJ361" s="141"/>
      <c r="AK361" s="141"/>
      <c r="AL361" s="141"/>
      <c r="AM361" s="141"/>
      <c r="AN361" s="141"/>
      <c r="AO361" s="141"/>
      <c r="AP361" s="141"/>
      <c r="AQ361" s="141"/>
      <c r="AR361" s="141"/>
      <c r="AS361" s="141"/>
      <c r="AT361" s="141"/>
      <c r="AU361" s="141"/>
      <c r="AV361" s="141"/>
      <c r="AW361" s="141"/>
      <c r="AX361" s="141"/>
      <c r="AY361" s="141"/>
      <c r="AZ361" s="312">
        <f t="shared" si="17"/>
        <v>0</v>
      </c>
      <c r="BA361" s="155">
        <f t="shared" si="17"/>
        <v>0</v>
      </c>
      <c r="BB361" s="309"/>
      <c r="BC361" s="23"/>
      <c r="BD361" s="23"/>
    </row>
    <row r="362" spans="2:56" ht="15.5">
      <c r="B362" s="141"/>
      <c r="C362" s="156"/>
      <c r="D362" s="302"/>
      <c r="E362" s="133"/>
      <c r="F362" s="155"/>
      <c r="G362" s="138"/>
      <c r="H362" s="8"/>
      <c r="I362" s="8"/>
      <c r="J362" s="139"/>
      <c r="K362" s="139"/>
      <c r="L362" s="139"/>
      <c r="M362" s="8"/>
      <c r="N362" s="140"/>
      <c r="O362" s="306"/>
      <c r="P362" s="140"/>
      <c r="Q362" s="140"/>
      <c r="R362" s="140"/>
      <c r="S362" s="140"/>
      <c r="T362" s="140"/>
      <c r="U362" s="140"/>
      <c r="V362" s="140"/>
      <c r="W362" s="140"/>
      <c r="X362" s="141"/>
      <c r="Y362" s="141"/>
      <c r="Z362" s="312"/>
      <c r="AA362" s="155"/>
      <c r="AB362" s="23"/>
      <c r="AC362" s="23"/>
      <c r="AD362" s="23"/>
      <c r="AE362" s="23"/>
      <c r="AF362" s="23"/>
      <c r="AG362" s="23"/>
      <c r="AH362" s="23"/>
      <c r="AI362" s="23"/>
      <c r="AJ362" s="141"/>
      <c r="AK362" s="141"/>
      <c r="AL362" s="141"/>
      <c r="AM362" s="141"/>
      <c r="AN362" s="141"/>
      <c r="AO362" s="141"/>
      <c r="AP362" s="141"/>
      <c r="AQ362" s="141"/>
      <c r="AR362" s="141"/>
      <c r="AS362" s="141"/>
      <c r="AT362" s="141"/>
      <c r="AU362" s="141"/>
      <c r="AV362" s="141"/>
      <c r="AW362" s="141"/>
      <c r="AX362" s="141"/>
      <c r="AY362" s="141"/>
      <c r="AZ362" s="312">
        <f t="shared" si="17"/>
        <v>0</v>
      </c>
      <c r="BA362" s="155">
        <f t="shared" si="17"/>
        <v>0</v>
      </c>
      <c r="BB362" s="309"/>
      <c r="BC362" s="23"/>
      <c r="BD362" s="23"/>
    </row>
    <row r="363" spans="2:56" ht="15.5">
      <c r="B363" s="141"/>
      <c r="C363" s="156"/>
      <c r="D363" s="302"/>
      <c r="E363" s="133"/>
      <c r="F363" s="155"/>
      <c r="G363" s="138"/>
      <c r="H363" s="8"/>
      <c r="I363" s="8"/>
      <c r="J363" s="139"/>
      <c r="K363" s="139"/>
      <c r="L363" s="139"/>
      <c r="M363" s="8"/>
      <c r="N363" s="140"/>
      <c r="O363" s="306"/>
      <c r="P363" s="140"/>
      <c r="Q363" s="140"/>
      <c r="R363" s="140"/>
      <c r="S363" s="140"/>
      <c r="T363" s="140"/>
      <c r="U363" s="140"/>
      <c r="V363" s="140"/>
      <c r="W363" s="140"/>
      <c r="X363" s="141"/>
      <c r="Y363" s="141"/>
      <c r="Z363" s="312"/>
      <c r="AA363" s="155"/>
      <c r="AB363" s="23"/>
      <c r="AC363" s="23"/>
      <c r="AD363" s="23"/>
      <c r="AE363" s="23"/>
      <c r="AF363" s="23"/>
      <c r="AG363" s="23"/>
      <c r="AH363" s="23"/>
      <c r="AI363" s="23"/>
      <c r="AJ363" s="141"/>
      <c r="AK363" s="141"/>
      <c r="AL363" s="141"/>
      <c r="AM363" s="141"/>
      <c r="AN363" s="141"/>
      <c r="AO363" s="141"/>
      <c r="AP363" s="141"/>
      <c r="AQ363" s="141"/>
      <c r="AR363" s="141"/>
      <c r="AS363" s="141"/>
      <c r="AT363" s="141"/>
      <c r="AU363" s="141"/>
      <c r="AV363" s="141"/>
      <c r="AW363" s="141"/>
      <c r="AX363" s="141"/>
      <c r="AY363" s="141"/>
      <c r="AZ363" s="312">
        <f t="shared" si="17"/>
        <v>0</v>
      </c>
      <c r="BA363" s="155">
        <f t="shared" si="17"/>
        <v>0</v>
      </c>
      <c r="BB363" s="309"/>
      <c r="BC363" s="23"/>
      <c r="BD363" s="23"/>
    </row>
  </sheetData>
  <autoFilter ref="B8:BD199" xr:uid="{04BA6792-7F28-4322-9043-9E3700F36B95}"/>
  <mergeCells count="25">
    <mergeCell ref="AZ5:BD5"/>
    <mergeCell ref="C6:C7"/>
    <mergeCell ref="D6:N6"/>
    <mergeCell ref="O6:W6"/>
    <mergeCell ref="X6:X7"/>
    <mergeCell ref="Y6:Y7"/>
    <mergeCell ref="AT6:AT7"/>
    <mergeCell ref="BB6:BB7"/>
    <mergeCell ref="BC6:BC7"/>
    <mergeCell ref="BD6:BD7"/>
    <mergeCell ref="AZ6:BA6"/>
    <mergeCell ref="B5:B7"/>
    <mergeCell ref="C5:N5"/>
    <mergeCell ref="O5:W5"/>
    <mergeCell ref="X5:AY5"/>
    <mergeCell ref="Z6:AA6"/>
    <mergeCell ref="AB6:AI6"/>
    <mergeCell ref="AJ6:AJ7"/>
    <mergeCell ref="AK6:AK7"/>
    <mergeCell ref="AL6:AS6"/>
    <mergeCell ref="AU6:AU7"/>
    <mergeCell ref="AV6:AV7"/>
    <mergeCell ref="AW6:AW7"/>
    <mergeCell ref="AX6:AX7"/>
    <mergeCell ref="AY6:AY7"/>
  </mergeCells>
  <conditionalFormatting sqref="G9:G1048576">
    <cfRule type="cellIs" dxfId="703" priority="13" operator="greaterThan">
      <formula>0.13</formula>
    </cfRule>
    <cfRule type="cellIs" dxfId="702" priority="14" operator="lessThan">
      <formula>0.131</formula>
    </cfRule>
  </conditionalFormatting>
  <conditionalFormatting sqref="H9:H1048576">
    <cfRule type="cellIs" dxfId="701" priority="15" operator="greaterThan">
      <formula>0.451</formula>
    </cfRule>
    <cfRule type="cellIs" dxfId="700" priority="16" operator="lessThan">
      <formula>0.451</formula>
    </cfRule>
  </conditionalFormatting>
  <conditionalFormatting sqref="I9:I189">
    <cfRule type="cellIs" dxfId="699" priority="2" operator="greaterThan">
      <formula>0.56</formula>
    </cfRule>
    <cfRule type="cellIs" dxfId="698" priority="1" operator="lessThan">
      <formula>0.561</formula>
    </cfRule>
  </conditionalFormatting>
  <conditionalFormatting sqref="J9:J92 J129:J1048576">
    <cfRule type="cellIs" dxfId="697" priority="43" operator="greaterThan">
      <formula>29.9</formula>
    </cfRule>
    <cfRule type="cellIs" dxfId="696" priority="42" operator="lessThan">
      <formula>30</formula>
    </cfRule>
  </conditionalFormatting>
  <conditionalFormatting sqref="J93:J113">
    <cfRule type="cellIs" dxfId="695" priority="33" operator="lessThan">
      <formula>30</formula>
    </cfRule>
    <cfRule type="cellIs" dxfId="694" priority="34" operator="greaterThan">
      <formula>29.9</formula>
    </cfRule>
  </conditionalFormatting>
  <conditionalFormatting sqref="J114:J120">
    <cfRule type="cellIs" dxfId="693" priority="25" operator="lessThan">
      <formula>30</formula>
    </cfRule>
    <cfRule type="cellIs" dxfId="692" priority="26" operator="greaterThan">
      <formula>29.9</formula>
    </cfRule>
  </conditionalFormatting>
  <conditionalFormatting sqref="J121:J128">
    <cfRule type="cellIs" dxfId="691" priority="11" operator="lessThan">
      <formula>30</formula>
    </cfRule>
    <cfRule type="cellIs" dxfId="690" priority="12" operator="greaterThan">
      <formula>29.9</formula>
    </cfRule>
  </conditionalFormatting>
  <conditionalFormatting sqref="J9:N52 J53:W54 J55:N55 J56:V56 J57:N57 J58:W60 J61:N90 J91:W92 J129:W1048576 G9:H1048576 P55:V55 P57:V57 P61:V76 O113:W128">
    <cfRule type="cellIs" dxfId="689" priority="35" operator="equal">
      <formula>0</formula>
    </cfRule>
  </conditionalFormatting>
  <conditionalFormatting sqref="J93:N113">
    <cfRule type="cellIs" dxfId="688" priority="27" operator="equal">
      <formula>0</formula>
    </cfRule>
  </conditionalFormatting>
  <conditionalFormatting sqref="J114:N114">
    <cfRule type="cellIs" dxfId="687" priority="17" operator="equal">
      <formula>0</formula>
    </cfRule>
  </conditionalFormatting>
  <conditionalFormatting sqref="J115:N120">
    <cfRule type="cellIs" dxfId="686" priority="19" operator="equal">
      <formula>0</formula>
    </cfRule>
  </conditionalFormatting>
  <conditionalFormatting sqref="J121:N128">
    <cfRule type="cellIs" dxfId="685" priority="3" operator="equal">
      <formula>0</formula>
    </cfRule>
  </conditionalFormatting>
  <conditionalFormatting sqref="L9:L92 L129:L1048576">
    <cfRule type="cellIs" dxfId="684" priority="41" operator="greaterThan">
      <formula>59.9</formula>
    </cfRule>
    <cfRule type="cellIs" dxfId="683" priority="40" operator="lessThan">
      <formula>60</formula>
    </cfRule>
  </conditionalFormatting>
  <conditionalFormatting sqref="L9:L192">
    <cfRule type="cellIs" dxfId="682" priority="18" operator="lessThan">
      <formula>65</formula>
    </cfRule>
  </conditionalFormatting>
  <conditionalFormatting sqref="L93:L113">
    <cfRule type="cellIs" dxfId="681" priority="31" operator="lessThan">
      <formula>60</formula>
    </cfRule>
    <cfRule type="cellIs" dxfId="680" priority="32" operator="greaterThan">
      <formula>59.9</formula>
    </cfRule>
  </conditionalFormatting>
  <conditionalFormatting sqref="L114:L120">
    <cfRule type="cellIs" dxfId="679" priority="24" operator="greaterThan">
      <formula>59.9</formula>
    </cfRule>
    <cfRule type="cellIs" dxfId="678" priority="23" operator="lessThan">
      <formula>60</formula>
    </cfRule>
  </conditionalFormatting>
  <conditionalFormatting sqref="L121:L128">
    <cfRule type="cellIs" dxfId="677" priority="10" operator="greaterThan">
      <formula>59.9</formula>
    </cfRule>
    <cfRule type="cellIs" dxfId="676" priority="9" operator="lessThan">
      <formula>60</formula>
    </cfRule>
  </conditionalFormatting>
  <conditionalFormatting sqref="M9:M92 M129:M1048576">
    <cfRule type="cellIs" dxfId="675" priority="39" operator="lessThan">
      <formula>0.25</formula>
    </cfRule>
  </conditionalFormatting>
  <conditionalFormatting sqref="M9:M1048576">
    <cfRule type="cellIs" dxfId="674" priority="7" operator="greaterThan">
      <formula>0.25</formula>
    </cfRule>
  </conditionalFormatting>
  <conditionalFormatting sqref="M93:M113">
    <cfRule type="cellIs" dxfId="673" priority="30" operator="lessThan">
      <formula>0.25</formula>
    </cfRule>
  </conditionalFormatting>
  <conditionalFormatting sqref="M114:M120">
    <cfRule type="cellIs" dxfId="672" priority="22" operator="lessThan">
      <formula>0.25</formula>
    </cfRule>
  </conditionalFormatting>
  <conditionalFormatting sqref="M121:M128">
    <cfRule type="cellIs" dxfId="671" priority="8" operator="lessThan">
      <formula>0.25</formula>
    </cfRule>
  </conditionalFormatting>
  <conditionalFormatting sqref="N9:N52 N53:W54 N55 P55:V55 N56:V56 N57 P57:V57 N58:W60 P61:V76 N61:N90 N91:W92 O113:W128 N129:W1048576">
    <cfRule type="cellIs" dxfId="670" priority="36" operator="greaterThan">
      <formula>83</formula>
    </cfRule>
    <cfRule type="cellIs" dxfId="669" priority="37" operator="lessThan">
      <formula>75</formula>
    </cfRule>
    <cfRule type="cellIs" dxfId="668" priority="38" operator="greaterThan">
      <formula>74.9</formula>
    </cfRule>
  </conditionalFormatting>
  <conditionalFormatting sqref="N93:N113">
    <cfRule type="cellIs" dxfId="667" priority="28" operator="lessThan">
      <formula>75</formula>
    </cfRule>
    <cfRule type="cellIs" dxfId="666" priority="29" operator="greaterThan">
      <formula>74.9</formula>
    </cfRule>
  </conditionalFormatting>
  <conditionalFormatting sqref="N93:N128">
    <cfRule type="cellIs" dxfId="665" priority="4" operator="greaterThan">
      <formula>83</formula>
    </cfRule>
  </conditionalFormatting>
  <conditionalFormatting sqref="N114:N120">
    <cfRule type="cellIs" dxfId="664" priority="20" operator="lessThan">
      <formula>75</formula>
    </cfRule>
    <cfRule type="cellIs" dxfId="663" priority="21" operator="greaterThan">
      <formula>74.9</formula>
    </cfRule>
  </conditionalFormatting>
  <conditionalFormatting sqref="N121:N128">
    <cfRule type="cellIs" dxfId="662" priority="5" operator="lessThan">
      <formula>75</formula>
    </cfRule>
    <cfRule type="cellIs" dxfId="661" priority="6" operator="greaterThan">
      <formula>74.9</formula>
    </cfRule>
  </conditionalFormatting>
  <conditionalFormatting sqref="P30:R30 V30:V33 P34:R44">
    <cfRule type="cellIs" dxfId="660" priority="50" operator="greaterThan">
      <formula>74.9</formula>
    </cfRule>
    <cfRule type="cellIs" dxfId="659" priority="47" operator="equal">
      <formula>0</formula>
    </cfRule>
    <cfRule type="cellIs" dxfId="658" priority="48" operator="greaterThan">
      <formula>83</formula>
    </cfRule>
    <cfRule type="cellIs" dxfId="657" priority="49" operator="lessThan">
      <formula>75</formula>
    </cfRule>
  </conditionalFormatting>
  <conditionalFormatting sqref="AJ9:AJ209 BC9:BC363">
    <cfRule type="cellIs" dxfId="656" priority="45" operator="equal">
      <formula>"Ok"</formula>
    </cfRule>
    <cfRule type="cellIs" dxfId="655" priority="46" operator="equal">
      <formula>"Reject"</formula>
    </cfRule>
    <cfRule type="cellIs" dxfId="654" priority="44" operator="equal">
      <formula>"Re-Test"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C3A2-E884-44A0-A54E-84A75AD53141}">
  <dimension ref="B2:AI43"/>
  <sheetViews>
    <sheetView tabSelected="1" workbookViewId="0">
      <pane xSplit="3" ySplit="3" topLeftCell="H20" activePane="bottomRight" state="frozen"/>
      <selection activeCell="AO135" sqref="AO135"/>
      <selection pane="topRight" activeCell="AO135" sqref="AO135"/>
      <selection pane="bottomLeft" activeCell="AO135" sqref="AO135"/>
      <selection pane="bottomRight" activeCell="L9" sqref="L9"/>
    </sheetView>
  </sheetViews>
  <sheetFormatPr defaultColWidth="8.7265625" defaultRowHeight="14.5"/>
  <cols>
    <col min="1" max="1" width="2.453125" style="50" customWidth="1"/>
    <col min="2" max="2" width="9.81640625" style="4" bestFit="1" customWidth="1"/>
    <col min="3" max="3" width="3.1796875" style="50" bestFit="1" customWidth="1"/>
    <col min="4" max="5" width="23.81640625" style="50" bestFit="1" customWidth="1"/>
    <col min="6" max="6" width="26.54296875" style="50" bestFit="1" customWidth="1"/>
    <col min="7" max="7" width="5.81640625" style="50" bestFit="1" customWidth="1"/>
    <col min="8" max="8" width="10.7265625" style="50" bestFit="1" customWidth="1"/>
    <col min="9" max="9" width="15.26953125" style="50" bestFit="1" customWidth="1"/>
    <col min="10" max="10" width="4.453125" style="50" bestFit="1" customWidth="1"/>
    <col min="11" max="11" width="7.81640625" style="1" customWidth="1"/>
    <col min="12" max="12" width="14.1796875" style="50" customWidth="1"/>
    <col min="13" max="13" width="5.54296875" style="50" bestFit="1" customWidth="1"/>
    <col min="14" max="14" width="8.453125" style="50" bestFit="1" customWidth="1"/>
    <col min="15" max="15" width="5" style="50" bestFit="1" customWidth="1"/>
    <col min="16" max="16" width="1.453125" style="50" bestFit="1" customWidth="1"/>
    <col min="17" max="17" width="5" style="50" bestFit="1" customWidth="1"/>
    <col min="18" max="18" width="4.81640625" style="50" bestFit="1" customWidth="1"/>
    <col min="19" max="19" width="1.453125" style="50" bestFit="1" customWidth="1"/>
    <col min="20" max="20" width="4.81640625" style="50" bestFit="1" customWidth="1"/>
    <col min="21" max="21" width="13.26953125" style="50" customWidth="1"/>
    <col min="22" max="22" width="3.54296875" style="50" bestFit="1" customWidth="1"/>
    <col min="23" max="23" width="15" style="50" customWidth="1"/>
    <col min="24" max="24" width="11.81640625" style="50" bestFit="1" customWidth="1"/>
    <col min="25" max="25" width="12.1796875" style="50" bestFit="1" customWidth="1"/>
    <col min="26" max="26" width="3.81640625" style="50" bestFit="1" customWidth="1"/>
    <col min="27" max="27" width="12.1796875" style="50" bestFit="1" customWidth="1"/>
    <col min="28" max="28" width="11.81640625" style="50" bestFit="1" customWidth="1"/>
    <col min="29" max="30" width="4.81640625" style="50" customWidth="1"/>
    <col min="31" max="31" width="8.54296875" style="50" customWidth="1"/>
    <col min="32" max="32" width="8.453125" style="50" customWidth="1"/>
    <col min="33" max="33" width="8.453125" style="50" bestFit="1" customWidth="1"/>
    <col min="34" max="34" width="7.1796875" style="50" bestFit="1" customWidth="1"/>
    <col min="35" max="35" width="36.7265625" style="438" bestFit="1" customWidth="1"/>
    <col min="36" max="16384" width="8.7265625" style="50"/>
  </cols>
  <sheetData>
    <row r="2" spans="2:35" ht="14.5" customHeight="1">
      <c r="B2" s="530" t="s">
        <v>626</v>
      </c>
      <c r="C2" s="530" t="s">
        <v>251</v>
      </c>
      <c r="D2" s="530" t="s">
        <v>627</v>
      </c>
      <c r="E2" s="530" t="s">
        <v>628</v>
      </c>
      <c r="F2" s="530" t="s">
        <v>479</v>
      </c>
      <c r="G2" s="530" t="s">
        <v>50</v>
      </c>
      <c r="H2" s="530" t="s">
        <v>473</v>
      </c>
      <c r="I2" s="534" t="s">
        <v>629</v>
      </c>
      <c r="J2" s="534" t="s">
        <v>630</v>
      </c>
      <c r="K2" s="534" t="s">
        <v>631</v>
      </c>
      <c r="L2" s="530" t="s">
        <v>632</v>
      </c>
      <c r="M2" s="532" t="s">
        <v>633</v>
      </c>
      <c r="N2" s="533"/>
      <c r="O2" s="542" t="s">
        <v>477</v>
      </c>
      <c r="P2" s="542"/>
      <c r="Q2" s="542"/>
      <c r="R2" s="542"/>
      <c r="S2" s="542"/>
      <c r="T2" s="532"/>
      <c r="U2" s="534" t="s">
        <v>634</v>
      </c>
      <c r="V2" s="535"/>
      <c r="W2" s="536"/>
      <c r="X2" s="530" t="s">
        <v>635</v>
      </c>
      <c r="Y2" s="534" t="s">
        <v>636</v>
      </c>
      <c r="Z2" s="535"/>
      <c r="AA2" s="536"/>
      <c r="AB2" s="530" t="s">
        <v>637</v>
      </c>
      <c r="AC2" s="530" t="s">
        <v>638</v>
      </c>
      <c r="AD2" s="530" t="s">
        <v>639</v>
      </c>
      <c r="AE2" s="530" t="s">
        <v>640</v>
      </c>
      <c r="AF2" s="530" t="s">
        <v>613</v>
      </c>
      <c r="AG2" s="532" t="s">
        <v>248</v>
      </c>
      <c r="AH2" s="533"/>
      <c r="AI2" s="530" t="s">
        <v>249</v>
      </c>
    </row>
    <row r="3" spans="2:35">
      <c r="B3" s="531"/>
      <c r="C3" s="531"/>
      <c r="D3" s="531"/>
      <c r="E3" s="531"/>
      <c r="F3" s="531"/>
      <c r="G3" s="531"/>
      <c r="H3" s="531"/>
      <c r="I3" s="537"/>
      <c r="J3" s="537"/>
      <c r="K3" s="537"/>
      <c r="L3" s="531"/>
      <c r="M3" s="411" t="s">
        <v>641</v>
      </c>
      <c r="N3" s="411" t="s">
        <v>442</v>
      </c>
      <c r="O3" s="540" t="s">
        <v>441</v>
      </c>
      <c r="P3" s="540"/>
      <c r="Q3" s="540"/>
      <c r="R3" s="540" t="s">
        <v>442</v>
      </c>
      <c r="S3" s="540"/>
      <c r="T3" s="541"/>
      <c r="U3" s="543"/>
      <c r="V3" s="544"/>
      <c r="W3" s="545"/>
      <c r="X3" s="531"/>
      <c r="Y3" s="537"/>
      <c r="Z3" s="538"/>
      <c r="AA3" s="539"/>
      <c r="AB3" s="531"/>
      <c r="AC3" s="531"/>
      <c r="AD3" s="531"/>
      <c r="AE3" s="531"/>
      <c r="AF3" s="531"/>
      <c r="AG3" s="410" t="s">
        <v>642</v>
      </c>
      <c r="AH3" s="410" t="s">
        <v>643</v>
      </c>
      <c r="AI3" s="531"/>
    </row>
    <row r="4" spans="2:35">
      <c r="B4" s="456" t="s">
        <v>644</v>
      </c>
      <c r="C4" s="412">
        <v>1</v>
      </c>
      <c r="D4" s="412"/>
      <c r="E4" s="412"/>
      <c r="F4" s="412"/>
      <c r="G4" s="412"/>
      <c r="H4" s="412"/>
      <c r="I4" s="412"/>
      <c r="J4" s="412"/>
      <c r="K4" s="413"/>
      <c r="L4" s="414"/>
      <c r="M4" s="415"/>
      <c r="N4" s="415"/>
      <c r="O4" s="416"/>
      <c r="P4" s="412"/>
      <c r="Q4" s="416"/>
      <c r="R4" s="417"/>
      <c r="S4" s="412"/>
      <c r="T4" s="417"/>
      <c r="U4" s="414">
        <v>46160</v>
      </c>
      <c r="V4" s="412" t="s">
        <v>645</v>
      </c>
      <c r="W4" s="414">
        <v>46163</v>
      </c>
      <c r="X4" s="414"/>
      <c r="Y4" s="414">
        <v>46160</v>
      </c>
      <c r="Z4" s="412" t="s">
        <v>645</v>
      </c>
      <c r="AA4" s="414">
        <v>46164</v>
      </c>
      <c r="AB4" s="414">
        <v>46221</v>
      </c>
      <c r="AC4" s="418"/>
      <c r="AD4" s="418">
        <v>1</v>
      </c>
      <c r="AE4" s="418">
        <v>1</v>
      </c>
      <c r="AF4" s="419" t="s">
        <v>222</v>
      </c>
      <c r="AG4" s="412" t="s">
        <v>646</v>
      </c>
      <c r="AH4" s="419" t="s">
        <v>222</v>
      </c>
      <c r="AI4" s="420" t="s">
        <v>647</v>
      </c>
    </row>
    <row r="5" spans="2:35">
      <c r="B5" s="456"/>
      <c r="C5" s="412">
        <v>2</v>
      </c>
      <c r="D5" s="412"/>
      <c r="E5" s="412"/>
      <c r="F5" s="412" t="s">
        <v>648</v>
      </c>
      <c r="G5" s="412" t="s">
        <v>65</v>
      </c>
      <c r="H5" s="412" t="s">
        <v>646</v>
      </c>
      <c r="I5" s="412" t="s">
        <v>649</v>
      </c>
      <c r="J5" s="412"/>
      <c r="K5" s="413">
        <v>3</v>
      </c>
      <c r="L5" s="414">
        <v>46227</v>
      </c>
      <c r="M5" s="418">
        <v>21</v>
      </c>
      <c r="N5" s="417">
        <v>168</v>
      </c>
      <c r="O5" s="416"/>
      <c r="P5" s="412"/>
      <c r="Q5" s="416"/>
      <c r="R5" s="417"/>
      <c r="S5" s="412"/>
      <c r="T5" s="417"/>
      <c r="U5" s="414"/>
      <c r="V5" s="412"/>
      <c r="W5" s="414">
        <v>46225</v>
      </c>
      <c r="X5" s="414">
        <v>46227</v>
      </c>
      <c r="Y5" s="414"/>
      <c r="Z5" s="412"/>
      <c r="AA5" s="414">
        <v>46226</v>
      </c>
      <c r="AB5" s="414">
        <v>46227</v>
      </c>
      <c r="AC5" s="418"/>
      <c r="AD5" s="418">
        <v>2</v>
      </c>
      <c r="AE5" s="418">
        <v>2</v>
      </c>
      <c r="AF5" s="419"/>
      <c r="AG5" s="412" t="s">
        <v>646</v>
      </c>
      <c r="AH5" s="419" t="s">
        <v>222</v>
      </c>
      <c r="AI5" s="420" t="s">
        <v>650</v>
      </c>
    </row>
    <row r="6" spans="2:35">
      <c r="B6" s="456"/>
      <c r="C6" s="412">
        <v>3</v>
      </c>
      <c r="D6" s="412" t="s">
        <v>651</v>
      </c>
      <c r="E6" s="412" t="s">
        <v>651</v>
      </c>
      <c r="F6" s="412" t="s">
        <v>652</v>
      </c>
      <c r="G6" s="412" t="s">
        <v>65</v>
      </c>
      <c r="H6" s="412" t="s">
        <v>653</v>
      </c>
      <c r="I6" s="412" t="s">
        <v>654</v>
      </c>
      <c r="J6" s="412">
        <v>20</v>
      </c>
      <c r="K6" s="413">
        <f>J6*1260</f>
        <v>25200</v>
      </c>
      <c r="L6" s="414">
        <v>46234</v>
      </c>
      <c r="M6" s="415"/>
      <c r="N6" s="415"/>
      <c r="O6" s="416">
        <v>1</v>
      </c>
      <c r="P6" s="412" t="s">
        <v>175</v>
      </c>
      <c r="Q6" s="416">
        <v>3</v>
      </c>
      <c r="R6" s="417">
        <v>1</v>
      </c>
      <c r="S6" s="412" t="s">
        <v>175</v>
      </c>
      <c r="T6" s="417">
        <f>R6+J6-1</f>
        <v>20</v>
      </c>
      <c r="U6" s="414">
        <v>46142</v>
      </c>
      <c r="V6" s="412" t="s">
        <v>645</v>
      </c>
      <c r="W6" s="414">
        <v>46160</v>
      </c>
      <c r="X6" s="414">
        <v>46234</v>
      </c>
      <c r="Y6" s="414">
        <v>46153</v>
      </c>
      <c r="Z6" s="412" t="s">
        <v>645</v>
      </c>
      <c r="AA6" s="414">
        <v>46154</v>
      </c>
      <c r="AB6" s="414">
        <v>46234</v>
      </c>
      <c r="AC6" s="418">
        <v>3</v>
      </c>
      <c r="AD6" s="418">
        <v>3</v>
      </c>
      <c r="AE6" s="418">
        <v>3</v>
      </c>
      <c r="AF6" s="419" t="s">
        <v>222</v>
      </c>
      <c r="AG6" s="412" t="s">
        <v>655</v>
      </c>
      <c r="AH6" s="419" t="s">
        <v>222</v>
      </c>
      <c r="AI6" s="420"/>
    </row>
    <row r="7" spans="2:35">
      <c r="B7" s="456"/>
      <c r="C7" s="412">
        <v>4</v>
      </c>
      <c r="D7" s="421" t="s">
        <v>656</v>
      </c>
      <c r="E7" s="421" t="s">
        <v>656</v>
      </c>
      <c r="F7" s="421" t="s">
        <v>652</v>
      </c>
      <c r="G7" s="421" t="s">
        <v>65</v>
      </c>
      <c r="H7" s="421" t="s">
        <v>657</v>
      </c>
      <c r="I7" s="421" t="s">
        <v>654</v>
      </c>
      <c r="J7" s="412">
        <v>16</v>
      </c>
      <c r="K7" s="413">
        <f>J7*1260</f>
        <v>20160</v>
      </c>
      <c r="L7" s="414">
        <v>46235</v>
      </c>
      <c r="M7" s="415"/>
      <c r="N7" s="415"/>
      <c r="O7" s="416">
        <v>3</v>
      </c>
      <c r="P7" s="412" t="s">
        <v>175</v>
      </c>
      <c r="Q7" s="416">
        <v>5</v>
      </c>
      <c r="R7" s="417">
        <v>21</v>
      </c>
      <c r="S7" s="412" t="s">
        <v>175</v>
      </c>
      <c r="T7" s="417">
        <f>R7+J7-1</f>
        <v>36</v>
      </c>
      <c r="U7" s="414">
        <v>46151</v>
      </c>
      <c r="V7" s="412" t="s">
        <v>645</v>
      </c>
      <c r="W7" s="414">
        <v>46164</v>
      </c>
      <c r="X7" s="414">
        <v>46235</v>
      </c>
      <c r="Y7" s="414">
        <v>46160</v>
      </c>
      <c r="Z7" s="412" t="s">
        <v>645</v>
      </c>
      <c r="AA7" s="414">
        <v>46253</v>
      </c>
      <c r="AB7" s="414">
        <v>46234</v>
      </c>
      <c r="AC7" s="418">
        <v>4</v>
      </c>
      <c r="AD7" s="418">
        <v>4</v>
      </c>
      <c r="AE7" s="418">
        <v>4</v>
      </c>
      <c r="AF7" s="419" t="s">
        <v>222</v>
      </c>
      <c r="AG7" s="412" t="s">
        <v>655</v>
      </c>
      <c r="AH7" s="419" t="s">
        <v>222</v>
      </c>
      <c r="AI7" s="420"/>
    </row>
    <row r="8" spans="2:35">
      <c r="B8" s="457" t="s">
        <v>658</v>
      </c>
      <c r="C8" s="422">
        <v>5</v>
      </c>
      <c r="D8" s="423" t="s">
        <v>659</v>
      </c>
      <c r="E8" s="423" t="s">
        <v>659</v>
      </c>
      <c r="F8" s="423" t="s">
        <v>652</v>
      </c>
      <c r="G8" s="423" t="s">
        <v>65</v>
      </c>
      <c r="H8" s="423" t="s">
        <v>657</v>
      </c>
      <c r="I8" s="423" t="s">
        <v>654</v>
      </c>
      <c r="J8" s="422">
        <v>16</v>
      </c>
      <c r="K8" s="424">
        <f>J8*1260</f>
        <v>20160</v>
      </c>
      <c r="L8" s="425">
        <v>46238</v>
      </c>
      <c r="M8" s="426"/>
      <c r="N8" s="426"/>
      <c r="O8" s="427">
        <v>5</v>
      </c>
      <c r="P8" s="422" t="s">
        <v>175</v>
      </c>
      <c r="Q8" s="427">
        <v>6</v>
      </c>
      <c r="R8" s="428">
        <v>37</v>
      </c>
      <c r="S8" s="422" t="s">
        <v>175</v>
      </c>
      <c r="T8" s="428">
        <f>R8+J8-1</f>
        <v>52</v>
      </c>
      <c r="U8" s="425">
        <v>46161</v>
      </c>
      <c r="V8" s="422" t="s">
        <v>645</v>
      </c>
      <c r="W8" s="425">
        <v>46179</v>
      </c>
      <c r="X8" s="425">
        <v>46238</v>
      </c>
      <c r="Y8" s="425">
        <v>46167</v>
      </c>
      <c r="Z8" s="422" t="s">
        <v>645</v>
      </c>
      <c r="AA8" s="425">
        <v>46168</v>
      </c>
      <c r="AB8" s="425">
        <v>46239</v>
      </c>
      <c r="AC8" s="429">
        <v>5</v>
      </c>
      <c r="AD8" s="429">
        <v>5</v>
      </c>
      <c r="AE8" s="429">
        <v>5</v>
      </c>
      <c r="AF8" s="430" t="s">
        <v>222</v>
      </c>
      <c r="AG8" s="422" t="s">
        <v>655</v>
      </c>
      <c r="AH8" s="430" t="s">
        <v>222</v>
      </c>
      <c r="AI8" s="431"/>
    </row>
    <row r="9" spans="2:35">
      <c r="B9" s="457"/>
      <c r="C9" s="422">
        <v>6</v>
      </c>
      <c r="D9" s="423" t="s">
        <v>660</v>
      </c>
      <c r="E9" s="423" t="s">
        <v>660</v>
      </c>
      <c r="F9" s="423" t="s">
        <v>652</v>
      </c>
      <c r="G9" s="423" t="s">
        <v>65</v>
      </c>
      <c r="H9" s="423" t="s">
        <v>657</v>
      </c>
      <c r="I9" s="423" t="s">
        <v>654</v>
      </c>
      <c r="J9" s="422">
        <v>16</v>
      </c>
      <c r="K9" s="424">
        <f>J9*1260</f>
        <v>20160</v>
      </c>
      <c r="L9" s="425">
        <v>46238</v>
      </c>
      <c r="M9" s="426"/>
      <c r="N9" s="426"/>
      <c r="O9" s="427">
        <v>7</v>
      </c>
      <c r="P9" s="422" t="s">
        <v>175</v>
      </c>
      <c r="Q9" s="427">
        <v>8</v>
      </c>
      <c r="R9" s="428">
        <v>53</v>
      </c>
      <c r="S9" s="422" t="s">
        <v>175</v>
      </c>
      <c r="T9" s="428">
        <f>R9+J9-1</f>
        <v>68</v>
      </c>
      <c r="U9" s="425">
        <v>46161</v>
      </c>
      <c r="V9" s="422" t="s">
        <v>645</v>
      </c>
      <c r="W9" s="425">
        <v>46177</v>
      </c>
      <c r="X9" s="425">
        <v>46238</v>
      </c>
      <c r="Y9" s="425">
        <v>46176</v>
      </c>
      <c r="Z9" s="422" t="s">
        <v>645</v>
      </c>
      <c r="AA9" s="425">
        <v>46177</v>
      </c>
      <c r="AB9" s="425">
        <v>46239</v>
      </c>
      <c r="AC9" s="429">
        <v>6</v>
      </c>
      <c r="AD9" s="429">
        <v>6</v>
      </c>
      <c r="AE9" s="429">
        <v>6</v>
      </c>
      <c r="AF9" s="430" t="s">
        <v>222</v>
      </c>
      <c r="AG9" s="422" t="s">
        <v>655</v>
      </c>
      <c r="AH9" s="430" t="s">
        <v>222</v>
      </c>
      <c r="AI9" s="431"/>
    </row>
    <row r="10" spans="2:35">
      <c r="B10" s="457"/>
      <c r="C10" s="422">
        <v>7</v>
      </c>
      <c r="D10" s="422"/>
      <c r="E10" s="422"/>
      <c r="F10" s="422" t="s">
        <v>648</v>
      </c>
      <c r="G10" s="422" t="s">
        <v>65</v>
      </c>
      <c r="H10" s="422" t="s">
        <v>646</v>
      </c>
      <c r="I10" s="422" t="s">
        <v>649</v>
      </c>
      <c r="J10" s="422"/>
      <c r="K10" s="424">
        <v>3</v>
      </c>
      <c r="L10" s="425">
        <v>46239</v>
      </c>
      <c r="M10" s="429">
        <v>21</v>
      </c>
      <c r="N10" s="428">
        <v>164</v>
      </c>
      <c r="O10" s="422"/>
      <c r="P10" s="422"/>
      <c r="Q10" s="422"/>
      <c r="R10" s="422"/>
      <c r="S10" s="422"/>
      <c r="T10" s="422"/>
      <c r="U10" s="422"/>
      <c r="V10" s="422"/>
      <c r="W10" s="425">
        <v>46216</v>
      </c>
      <c r="X10" s="425">
        <v>46239</v>
      </c>
      <c r="Y10" s="422"/>
      <c r="Z10" s="422"/>
      <c r="AA10" s="425">
        <v>46239</v>
      </c>
      <c r="AB10" s="425">
        <v>46239</v>
      </c>
      <c r="AC10" s="429"/>
      <c r="AD10" s="429">
        <v>7</v>
      </c>
      <c r="AE10" s="429">
        <v>7</v>
      </c>
      <c r="AF10" s="422"/>
      <c r="AG10" s="422" t="s">
        <v>646</v>
      </c>
      <c r="AH10" s="430" t="s">
        <v>222</v>
      </c>
      <c r="AI10" s="431" t="s">
        <v>661</v>
      </c>
    </row>
    <row r="11" spans="2:35">
      <c r="B11" s="457"/>
      <c r="C11" s="422">
        <v>8</v>
      </c>
      <c r="D11" s="422"/>
      <c r="E11" s="422"/>
      <c r="F11" s="422" t="s">
        <v>662</v>
      </c>
      <c r="G11" s="422" t="s">
        <v>65</v>
      </c>
      <c r="H11" s="422" t="s">
        <v>646</v>
      </c>
      <c r="I11" s="422" t="s">
        <v>663</v>
      </c>
      <c r="J11" s="422"/>
      <c r="K11" s="424">
        <v>5</v>
      </c>
      <c r="L11" s="425">
        <v>46241</v>
      </c>
      <c r="M11" s="429">
        <v>5</v>
      </c>
      <c r="N11" s="428">
        <v>173</v>
      </c>
      <c r="O11" s="422"/>
      <c r="P11" s="422"/>
      <c r="Q11" s="422"/>
      <c r="R11" s="422"/>
      <c r="S11" s="422"/>
      <c r="T11" s="422"/>
      <c r="U11" s="422"/>
      <c r="V11" s="422"/>
      <c r="W11" s="425">
        <v>46219</v>
      </c>
      <c r="X11" s="425">
        <v>46241</v>
      </c>
      <c r="Y11" s="422"/>
      <c r="Z11" s="422"/>
      <c r="AA11" s="425">
        <v>46241</v>
      </c>
      <c r="AB11" s="425">
        <v>46242</v>
      </c>
      <c r="AC11" s="429"/>
      <c r="AD11" s="429">
        <v>8</v>
      </c>
      <c r="AE11" s="429">
        <v>8</v>
      </c>
      <c r="AF11" s="422"/>
      <c r="AG11" s="422" t="s">
        <v>646</v>
      </c>
      <c r="AH11" s="430" t="s">
        <v>222</v>
      </c>
      <c r="AI11" s="431" t="s">
        <v>664</v>
      </c>
    </row>
    <row r="12" spans="2:35">
      <c r="B12" s="457"/>
      <c r="C12" s="422">
        <v>9</v>
      </c>
      <c r="D12" s="422" t="s">
        <v>665</v>
      </c>
      <c r="E12" s="422" t="s">
        <v>665</v>
      </c>
      <c r="F12" s="422" t="s">
        <v>652</v>
      </c>
      <c r="G12" s="422" t="s">
        <v>65</v>
      </c>
      <c r="H12" s="422" t="s">
        <v>657</v>
      </c>
      <c r="I12" s="422" t="s">
        <v>654</v>
      </c>
      <c r="J12" s="422">
        <v>16</v>
      </c>
      <c r="K12" s="424">
        <f>J12*1260</f>
        <v>20160</v>
      </c>
      <c r="L12" s="425">
        <v>46244</v>
      </c>
      <c r="M12" s="429"/>
      <c r="N12" s="428"/>
      <c r="O12" s="427">
        <v>9</v>
      </c>
      <c r="P12" s="422" t="s">
        <v>175</v>
      </c>
      <c r="Q12" s="427">
        <v>10</v>
      </c>
      <c r="R12" s="428">
        <v>69</v>
      </c>
      <c r="S12" s="422" t="s">
        <v>175</v>
      </c>
      <c r="T12" s="428">
        <f t="shared" ref="T12:T14" si="0">R12+J12-1</f>
        <v>84</v>
      </c>
      <c r="U12" s="425">
        <v>46157</v>
      </c>
      <c r="V12" s="422" t="s">
        <v>645</v>
      </c>
      <c r="W12" s="425">
        <v>46184</v>
      </c>
      <c r="X12" s="425">
        <v>46244</v>
      </c>
      <c r="Y12" s="425">
        <v>46181</v>
      </c>
      <c r="Z12" s="422" t="s">
        <v>645</v>
      </c>
      <c r="AA12" s="425">
        <v>46182</v>
      </c>
      <c r="AB12" s="425">
        <v>46245</v>
      </c>
      <c r="AC12" s="429">
        <v>9</v>
      </c>
      <c r="AD12" s="429">
        <v>9</v>
      </c>
      <c r="AE12" s="429">
        <v>9</v>
      </c>
      <c r="AF12" s="430" t="s">
        <v>222</v>
      </c>
      <c r="AG12" s="422" t="s">
        <v>655</v>
      </c>
      <c r="AH12" s="430" t="s">
        <v>222</v>
      </c>
      <c r="AI12" s="431"/>
    </row>
    <row r="13" spans="2:35">
      <c r="B13" s="457"/>
      <c r="C13" s="422">
        <v>10</v>
      </c>
      <c r="D13" s="422" t="s">
        <v>666</v>
      </c>
      <c r="E13" s="422" t="s">
        <v>666</v>
      </c>
      <c r="F13" s="422" t="s">
        <v>652</v>
      </c>
      <c r="G13" s="422" t="s">
        <v>65</v>
      </c>
      <c r="H13" s="422" t="s">
        <v>657</v>
      </c>
      <c r="I13" s="422" t="s">
        <v>654</v>
      </c>
      <c r="J13" s="422">
        <v>20</v>
      </c>
      <c r="K13" s="424">
        <f>J13*1260</f>
        <v>25200</v>
      </c>
      <c r="L13" s="425">
        <v>46244</v>
      </c>
      <c r="M13" s="429"/>
      <c r="N13" s="428"/>
      <c r="O13" s="427">
        <v>11</v>
      </c>
      <c r="P13" s="422" t="s">
        <v>175</v>
      </c>
      <c r="Q13" s="427">
        <v>12</v>
      </c>
      <c r="R13" s="428">
        <v>85</v>
      </c>
      <c r="S13" s="422" t="s">
        <v>175</v>
      </c>
      <c r="T13" s="428">
        <f t="shared" si="0"/>
        <v>104</v>
      </c>
      <c r="U13" s="425">
        <v>46153</v>
      </c>
      <c r="V13" s="422" t="s">
        <v>645</v>
      </c>
      <c r="W13" s="425">
        <v>46192</v>
      </c>
      <c r="X13" s="425">
        <v>46244</v>
      </c>
      <c r="Y13" s="425">
        <v>46184</v>
      </c>
      <c r="Z13" s="422" t="s">
        <v>645</v>
      </c>
      <c r="AA13" s="425">
        <v>46185</v>
      </c>
      <c r="AB13" s="425">
        <v>46245</v>
      </c>
      <c r="AC13" s="429">
        <v>10</v>
      </c>
      <c r="AD13" s="429">
        <v>10</v>
      </c>
      <c r="AE13" s="429">
        <v>10</v>
      </c>
      <c r="AF13" s="430" t="s">
        <v>222</v>
      </c>
      <c r="AG13" s="422" t="s">
        <v>655</v>
      </c>
      <c r="AH13" s="430" t="s">
        <v>222</v>
      </c>
      <c r="AI13" s="431"/>
    </row>
    <row r="14" spans="2:35">
      <c r="B14" s="457"/>
      <c r="C14" s="422">
        <v>11</v>
      </c>
      <c r="D14" s="423" t="s">
        <v>667</v>
      </c>
      <c r="E14" s="423" t="s">
        <v>667</v>
      </c>
      <c r="F14" s="423" t="s">
        <v>668</v>
      </c>
      <c r="G14" s="422" t="s">
        <v>65</v>
      </c>
      <c r="H14" s="422" t="s">
        <v>657</v>
      </c>
      <c r="I14" s="423" t="s">
        <v>669</v>
      </c>
      <c r="J14" s="422">
        <v>16</v>
      </c>
      <c r="K14" s="424">
        <f>J14*1260</f>
        <v>20160</v>
      </c>
      <c r="L14" s="425">
        <v>46248</v>
      </c>
      <c r="M14" s="429"/>
      <c r="N14" s="428"/>
      <c r="O14" s="427">
        <v>13</v>
      </c>
      <c r="P14" s="422" t="s">
        <v>175</v>
      </c>
      <c r="Q14" s="427">
        <v>14</v>
      </c>
      <c r="R14" s="428">
        <v>105</v>
      </c>
      <c r="S14" s="422"/>
      <c r="T14" s="428">
        <f t="shared" si="0"/>
        <v>120</v>
      </c>
      <c r="U14" s="425">
        <v>46182</v>
      </c>
      <c r="V14" s="422" t="s">
        <v>645</v>
      </c>
      <c r="W14" s="425">
        <v>46220</v>
      </c>
      <c r="X14" s="425">
        <v>46248</v>
      </c>
      <c r="Y14" s="432">
        <v>46189</v>
      </c>
      <c r="Z14" s="422" t="s">
        <v>645</v>
      </c>
      <c r="AA14" s="432">
        <v>46190</v>
      </c>
      <c r="AB14" s="425">
        <v>46248</v>
      </c>
      <c r="AC14" s="429">
        <v>11</v>
      </c>
      <c r="AD14" s="429">
        <v>11</v>
      </c>
      <c r="AE14" s="429">
        <v>11</v>
      </c>
      <c r="AF14" s="430" t="s">
        <v>222</v>
      </c>
      <c r="AG14" s="422" t="s">
        <v>655</v>
      </c>
      <c r="AH14" s="430" t="s">
        <v>222</v>
      </c>
      <c r="AI14" s="431"/>
    </row>
    <row r="15" spans="2:35">
      <c r="B15" s="457"/>
      <c r="C15" s="422">
        <v>12</v>
      </c>
      <c r="D15" s="422"/>
      <c r="E15" s="422"/>
      <c r="F15" s="422"/>
      <c r="G15" s="422" t="s">
        <v>65</v>
      </c>
      <c r="H15" s="422" t="s">
        <v>670</v>
      </c>
      <c r="I15" s="422"/>
      <c r="J15" s="422"/>
      <c r="K15" s="424"/>
      <c r="L15" s="422"/>
      <c r="M15" s="429"/>
      <c r="N15" s="428"/>
      <c r="O15" s="427"/>
      <c r="P15" s="422"/>
      <c r="Q15" s="427"/>
      <c r="R15" s="428"/>
      <c r="S15" s="422"/>
      <c r="T15" s="428"/>
      <c r="U15" s="422"/>
      <c r="V15" s="422"/>
      <c r="W15" s="432">
        <v>46219</v>
      </c>
      <c r="X15" s="432"/>
      <c r="Y15" s="432">
        <v>46219</v>
      </c>
      <c r="Z15" s="422" t="s">
        <v>645</v>
      </c>
      <c r="AA15" s="432">
        <v>46220</v>
      </c>
      <c r="AB15" s="425">
        <v>46252</v>
      </c>
      <c r="AC15" s="429"/>
      <c r="AD15" s="429">
        <v>12</v>
      </c>
      <c r="AE15" s="429">
        <v>12</v>
      </c>
      <c r="AF15" s="430" t="s">
        <v>222</v>
      </c>
      <c r="AG15" s="422" t="s">
        <v>655</v>
      </c>
      <c r="AH15" s="430" t="s">
        <v>222</v>
      </c>
      <c r="AI15" s="431" t="s">
        <v>671</v>
      </c>
    </row>
    <row r="16" spans="2:35">
      <c r="B16" s="457"/>
      <c r="C16" s="422">
        <v>13</v>
      </c>
      <c r="D16" s="422" t="s">
        <v>672</v>
      </c>
      <c r="E16" s="422" t="s">
        <v>672</v>
      </c>
      <c r="F16" s="422" t="s">
        <v>652</v>
      </c>
      <c r="G16" s="422" t="s">
        <v>65</v>
      </c>
      <c r="H16" s="422" t="s">
        <v>657</v>
      </c>
      <c r="I16" s="422" t="s">
        <v>673</v>
      </c>
      <c r="J16" s="422">
        <v>20</v>
      </c>
      <c r="K16" s="424">
        <f t="shared" ref="K16:K27" si="1">J16*1260</f>
        <v>25200</v>
      </c>
      <c r="L16" s="425">
        <v>46256</v>
      </c>
      <c r="M16" s="429"/>
      <c r="N16" s="428"/>
      <c r="O16" s="427">
        <v>15</v>
      </c>
      <c r="P16" s="422" t="s">
        <v>175</v>
      </c>
      <c r="Q16" s="427">
        <v>16</v>
      </c>
      <c r="R16" s="428">
        <v>121</v>
      </c>
      <c r="S16" s="422" t="s">
        <v>175</v>
      </c>
      <c r="T16" s="428">
        <v>140</v>
      </c>
      <c r="U16" s="425">
        <v>46164</v>
      </c>
      <c r="V16" s="422" t="s">
        <v>645</v>
      </c>
      <c r="W16" s="425">
        <v>46190</v>
      </c>
      <c r="X16" s="425">
        <v>46256</v>
      </c>
      <c r="Y16" s="432">
        <v>46188</v>
      </c>
      <c r="Z16" s="422" t="s">
        <v>645</v>
      </c>
      <c r="AA16" s="425">
        <v>46190</v>
      </c>
      <c r="AB16" s="425">
        <v>46256</v>
      </c>
      <c r="AC16" s="429">
        <v>13</v>
      </c>
      <c r="AD16" s="429">
        <v>13</v>
      </c>
      <c r="AE16" s="429">
        <v>13</v>
      </c>
      <c r="AF16" s="430" t="s">
        <v>222</v>
      </c>
      <c r="AG16" s="422" t="s">
        <v>655</v>
      </c>
      <c r="AH16" s="430" t="s">
        <v>222</v>
      </c>
      <c r="AI16" s="431"/>
    </row>
    <row r="17" spans="2:35">
      <c r="B17" s="457"/>
      <c r="C17" s="422">
        <v>14</v>
      </c>
      <c r="D17" s="422" t="s">
        <v>674</v>
      </c>
      <c r="E17" s="422" t="s">
        <v>674</v>
      </c>
      <c r="F17" s="422" t="s">
        <v>652</v>
      </c>
      <c r="G17" s="422" t="s">
        <v>65</v>
      </c>
      <c r="H17" s="422" t="s">
        <v>657</v>
      </c>
      <c r="I17" s="422" t="s">
        <v>675</v>
      </c>
      <c r="J17" s="422">
        <v>19</v>
      </c>
      <c r="K17" s="424">
        <f t="shared" si="1"/>
        <v>23940</v>
      </c>
      <c r="L17" s="425">
        <v>46262</v>
      </c>
      <c r="M17" s="429"/>
      <c r="N17" s="428"/>
      <c r="O17" s="427">
        <v>17</v>
      </c>
      <c r="P17" s="422" t="s">
        <v>175</v>
      </c>
      <c r="Q17" s="427">
        <v>18</v>
      </c>
      <c r="R17" s="428">
        <v>141</v>
      </c>
      <c r="S17" s="422" t="s">
        <v>175</v>
      </c>
      <c r="T17" s="428">
        <v>159</v>
      </c>
      <c r="U17" s="425">
        <v>46184</v>
      </c>
      <c r="V17" s="422" t="s">
        <v>645</v>
      </c>
      <c r="W17" s="425">
        <v>46220</v>
      </c>
      <c r="X17" s="425">
        <v>46262</v>
      </c>
      <c r="Y17" s="425">
        <v>46191</v>
      </c>
      <c r="Z17" s="422" t="s">
        <v>645</v>
      </c>
      <c r="AA17" s="425">
        <v>46192</v>
      </c>
      <c r="AB17" s="425">
        <v>46265</v>
      </c>
      <c r="AC17" s="429">
        <v>14</v>
      </c>
      <c r="AD17" s="429">
        <v>14</v>
      </c>
      <c r="AE17" s="429">
        <v>14</v>
      </c>
      <c r="AF17" s="430" t="s">
        <v>222</v>
      </c>
      <c r="AG17" s="422" t="s">
        <v>655</v>
      </c>
      <c r="AH17" s="430" t="s">
        <v>222</v>
      </c>
      <c r="AI17" s="431"/>
    </row>
    <row r="18" spans="2:35">
      <c r="B18" s="458" t="s">
        <v>676</v>
      </c>
      <c r="C18" s="459">
        <v>15</v>
      </c>
      <c r="D18" s="459" t="s">
        <v>677</v>
      </c>
      <c r="E18" s="459" t="s">
        <v>677</v>
      </c>
      <c r="F18" s="459" t="s">
        <v>652</v>
      </c>
      <c r="G18" s="459" t="s">
        <v>65</v>
      </c>
      <c r="H18" s="459" t="s">
        <v>657</v>
      </c>
      <c r="I18" s="459" t="s">
        <v>675</v>
      </c>
      <c r="J18" s="459">
        <v>16</v>
      </c>
      <c r="K18" s="460">
        <f t="shared" si="1"/>
        <v>20160</v>
      </c>
      <c r="L18" s="461">
        <v>46266</v>
      </c>
      <c r="M18" s="462"/>
      <c r="N18" s="463"/>
      <c r="O18" s="464">
        <v>19</v>
      </c>
      <c r="P18" s="459" t="s">
        <v>175</v>
      </c>
      <c r="Q18" s="464">
        <v>20</v>
      </c>
      <c r="R18" s="463">
        <v>160</v>
      </c>
      <c r="S18" s="459" t="s">
        <v>175</v>
      </c>
      <c r="T18" s="463">
        <v>175</v>
      </c>
      <c r="U18" s="461">
        <v>46153</v>
      </c>
      <c r="V18" s="459" t="s">
        <v>645</v>
      </c>
      <c r="W18" s="461">
        <v>46219</v>
      </c>
      <c r="X18" s="461">
        <v>46266</v>
      </c>
      <c r="Y18" s="461">
        <v>46214</v>
      </c>
      <c r="Z18" s="459" t="s">
        <v>645</v>
      </c>
      <c r="AA18" s="461">
        <v>46216</v>
      </c>
      <c r="AB18" s="461">
        <v>46267</v>
      </c>
      <c r="AC18" s="462">
        <v>15</v>
      </c>
      <c r="AD18" s="462">
        <v>15</v>
      </c>
      <c r="AE18" s="462">
        <v>15</v>
      </c>
      <c r="AF18" s="465" t="s">
        <v>222</v>
      </c>
      <c r="AG18" s="459" t="s">
        <v>655</v>
      </c>
      <c r="AH18" s="465" t="s">
        <v>222</v>
      </c>
      <c r="AI18" s="466"/>
    </row>
    <row r="19" spans="2:35" s="108" customFormat="1">
      <c r="B19" s="467" t="s">
        <v>679</v>
      </c>
      <c r="C19" s="468">
        <v>16</v>
      </c>
      <c r="D19" s="468" t="s">
        <v>680</v>
      </c>
      <c r="E19" s="468" t="s">
        <v>680</v>
      </c>
      <c r="F19" s="468" t="s">
        <v>681</v>
      </c>
      <c r="G19" s="468" t="s">
        <v>65</v>
      </c>
      <c r="H19" s="468" t="s">
        <v>653</v>
      </c>
      <c r="I19" s="468" t="s">
        <v>682</v>
      </c>
      <c r="J19" s="468">
        <v>16</v>
      </c>
      <c r="K19" s="469">
        <f t="shared" si="1"/>
        <v>20160</v>
      </c>
      <c r="L19" s="470">
        <v>46276</v>
      </c>
      <c r="M19" s="471"/>
      <c r="N19" s="472"/>
      <c r="O19" s="473">
        <v>21</v>
      </c>
      <c r="P19" s="468" t="s">
        <v>175</v>
      </c>
      <c r="Q19" s="473">
        <v>22</v>
      </c>
      <c r="R19" s="472">
        <v>176</v>
      </c>
      <c r="S19" s="468" t="s">
        <v>175</v>
      </c>
      <c r="T19" s="472">
        <v>191</v>
      </c>
      <c r="U19" s="470">
        <v>46220</v>
      </c>
      <c r="V19" s="468" t="s">
        <v>645</v>
      </c>
      <c r="W19" s="470">
        <v>46235</v>
      </c>
      <c r="X19" s="470">
        <v>46276</v>
      </c>
      <c r="Y19" s="470">
        <v>46220</v>
      </c>
      <c r="Z19" s="468" t="s">
        <v>645</v>
      </c>
      <c r="AA19" s="470">
        <v>46227</v>
      </c>
      <c r="AB19" s="470">
        <v>46274</v>
      </c>
      <c r="AC19" s="471">
        <v>16</v>
      </c>
      <c r="AD19" s="471">
        <v>16</v>
      </c>
      <c r="AE19" s="471">
        <v>16</v>
      </c>
      <c r="AF19" s="474" t="s">
        <v>222</v>
      </c>
      <c r="AG19" s="468" t="s">
        <v>655</v>
      </c>
      <c r="AH19" s="474" t="s">
        <v>222</v>
      </c>
      <c r="AI19" s="475"/>
    </row>
    <row r="20" spans="2:35">
      <c r="B20" s="458"/>
      <c r="C20" s="459">
        <v>17</v>
      </c>
      <c r="D20" s="459" t="s">
        <v>683</v>
      </c>
      <c r="E20" s="459" t="s">
        <v>683</v>
      </c>
      <c r="F20" s="459" t="s">
        <v>652</v>
      </c>
      <c r="G20" s="459" t="s">
        <v>65</v>
      </c>
      <c r="H20" s="459" t="s">
        <v>657</v>
      </c>
      <c r="I20" s="459" t="s">
        <v>663</v>
      </c>
      <c r="J20" s="459">
        <v>20</v>
      </c>
      <c r="K20" s="460">
        <f t="shared" si="1"/>
        <v>25200</v>
      </c>
      <c r="L20" s="461">
        <v>46282</v>
      </c>
      <c r="M20" s="462"/>
      <c r="N20" s="463"/>
      <c r="O20" s="464">
        <v>23</v>
      </c>
      <c r="P20" s="459" t="s">
        <v>175</v>
      </c>
      <c r="Q20" s="464">
        <v>24</v>
      </c>
      <c r="R20" s="463">
        <v>192</v>
      </c>
      <c r="S20" s="459" t="s">
        <v>175</v>
      </c>
      <c r="T20" s="463">
        <v>211</v>
      </c>
      <c r="U20" s="461">
        <v>46155</v>
      </c>
      <c r="V20" s="459" t="s">
        <v>645</v>
      </c>
      <c r="W20" s="461">
        <v>46273</v>
      </c>
      <c r="X20" s="461">
        <v>46282</v>
      </c>
      <c r="Y20" s="461">
        <v>46225</v>
      </c>
      <c r="Z20" s="459" t="s">
        <v>645</v>
      </c>
      <c r="AA20" s="461">
        <v>46273</v>
      </c>
      <c r="AB20" s="461">
        <v>46283</v>
      </c>
      <c r="AC20" s="462">
        <v>17</v>
      </c>
      <c r="AD20" s="462">
        <v>17</v>
      </c>
      <c r="AE20" s="462">
        <v>17</v>
      </c>
      <c r="AF20" s="465" t="s">
        <v>222</v>
      </c>
      <c r="AG20" s="459" t="s">
        <v>655</v>
      </c>
      <c r="AH20" s="465" t="s">
        <v>222</v>
      </c>
      <c r="AI20" s="466"/>
    </row>
    <row r="21" spans="2:35">
      <c r="B21" s="458"/>
      <c r="C21" s="459">
        <v>18</v>
      </c>
      <c r="D21" s="459"/>
      <c r="E21" s="459"/>
      <c r="F21" s="459"/>
      <c r="G21" s="459" t="s">
        <v>65</v>
      </c>
      <c r="H21" s="459" t="s">
        <v>646</v>
      </c>
      <c r="I21" s="459" t="s">
        <v>663</v>
      </c>
      <c r="J21" s="459"/>
      <c r="K21" s="460">
        <v>2</v>
      </c>
      <c r="L21" s="461">
        <v>46287</v>
      </c>
      <c r="M21" s="462">
        <v>26</v>
      </c>
      <c r="N21" s="463">
        <v>206</v>
      </c>
      <c r="O21" s="464"/>
      <c r="P21" s="459"/>
      <c r="Q21" s="464"/>
      <c r="R21" s="463"/>
      <c r="S21" s="459"/>
      <c r="T21" s="463"/>
      <c r="U21" s="459"/>
      <c r="V21" s="459"/>
      <c r="W21" s="461">
        <v>46227</v>
      </c>
      <c r="X21" s="461">
        <v>46287</v>
      </c>
      <c r="Y21" s="459"/>
      <c r="Z21" s="459"/>
      <c r="AA21" s="461">
        <v>46286</v>
      </c>
      <c r="AB21" s="461">
        <v>46287</v>
      </c>
      <c r="AC21" s="462"/>
      <c r="AD21" s="462">
        <v>18</v>
      </c>
      <c r="AE21" s="462">
        <v>18</v>
      </c>
      <c r="AF21" s="465" t="s">
        <v>222</v>
      </c>
      <c r="AG21" s="459" t="s">
        <v>646</v>
      </c>
      <c r="AH21" s="465" t="s">
        <v>222</v>
      </c>
      <c r="AI21" s="466"/>
    </row>
    <row r="22" spans="2:35">
      <c r="B22" s="458"/>
      <c r="C22" s="459">
        <v>19</v>
      </c>
      <c r="D22" s="459" t="s">
        <v>684</v>
      </c>
      <c r="E22" s="459" t="s">
        <v>684</v>
      </c>
      <c r="F22" s="459" t="s">
        <v>652</v>
      </c>
      <c r="G22" s="459" t="s">
        <v>65</v>
      </c>
      <c r="H22" s="459" t="s">
        <v>657</v>
      </c>
      <c r="I22" s="459" t="s">
        <v>663</v>
      </c>
      <c r="J22" s="459">
        <v>20</v>
      </c>
      <c r="K22" s="460">
        <f t="shared" si="1"/>
        <v>25200</v>
      </c>
      <c r="L22" s="461">
        <v>46287</v>
      </c>
      <c r="M22" s="462"/>
      <c r="N22" s="463"/>
      <c r="O22" s="464">
        <v>25</v>
      </c>
      <c r="P22" s="459" t="s">
        <v>175</v>
      </c>
      <c r="Q22" s="464">
        <v>26</v>
      </c>
      <c r="R22" s="463">
        <v>212</v>
      </c>
      <c r="S22" s="459" t="s">
        <v>175</v>
      </c>
      <c r="T22" s="463">
        <v>231</v>
      </c>
      <c r="U22" s="461">
        <v>46167</v>
      </c>
      <c r="V22" s="459" t="s">
        <v>645</v>
      </c>
      <c r="W22" s="461">
        <v>46275</v>
      </c>
      <c r="X22" s="461">
        <v>46287</v>
      </c>
      <c r="Y22" s="461">
        <v>46226</v>
      </c>
      <c r="Z22" s="459" t="s">
        <v>645</v>
      </c>
      <c r="AA22" s="461">
        <v>46275</v>
      </c>
      <c r="AB22" s="461">
        <v>46288</v>
      </c>
      <c r="AC22" s="462">
        <v>19</v>
      </c>
      <c r="AD22" s="462">
        <v>19</v>
      </c>
      <c r="AE22" s="462">
        <v>19</v>
      </c>
      <c r="AF22" s="465" t="s">
        <v>222</v>
      </c>
      <c r="AG22" s="459" t="s">
        <v>655</v>
      </c>
      <c r="AH22" s="465" t="s">
        <v>222</v>
      </c>
      <c r="AI22" s="466"/>
    </row>
    <row r="23" spans="2:35">
      <c r="B23" s="458"/>
      <c r="C23" s="459">
        <v>20</v>
      </c>
      <c r="D23" s="459" t="s">
        <v>685</v>
      </c>
      <c r="E23" s="459" t="s">
        <v>685</v>
      </c>
      <c r="F23" s="459" t="s">
        <v>652</v>
      </c>
      <c r="G23" s="459" t="s">
        <v>65</v>
      </c>
      <c r="H23" s="459" t="s">
        <v>657</v>
      </c>
      <c r="I23" s="459" t="s">
        <v>663</v>
      </c>
      <c r="J23" s="459">
        <v>20</v>
      </c>
      <c r="K23" s="460">
        <f t="shared" si="1"/>
        <v>25200</v>
      </c>
      <c r="L23" s="461">
        <v>46288</v>
      </c>
      <c r="M23" s="462"/>
      <c r="N23" s="463"/>
      <c r="O23" s="464">
        <v>27</v>
      </c>
      <c r="P23" s="459" t="s">
        <v>175</v>
      </c>
      <c r="Q23" s="464">
        <v>28</v>
      </c>
      <c r="R23" s="463">
        <v>232</v>
      </c>
      <c r="S23" s="459" t="s">
        <v>175</v>
      </c>
      <c r="T23" s="463">
        <v>251</v>
      </c>
      <c r="U23" s="461">
        <v>46157</v>
      </c>
      <c r="V23" s="459" t="s">
        <v>645</v>
      </c>
      <c r="W23" s="461">
        <v>46279</v>
      </c>
      <c r="X23" s="461">
        <v>46288</v>
      </c>
      <c r="Y23" s="461">
        <v>46225</v>
      </c>
      <c r="Z23" s="459" t="s">
        <v>645</v>
      </c>
      <c r="AA23" s="461">
        <v>46279</v>
      </c>
      <c r="AB23" s="461">
        <v>46293</v>
      </c>
      <c r="AC23" s="462">
        <v>20</v>
      </c>
      <c r="AD23" s="462">
        <v>20</v>
      </c>
      <c r="AE23" s="462">
        <v>20</v>
      </c>
      <c r="AF23" s="465" t="s">
        <v>222</v>
      </c>
      <c r="AG23" s="459" t="s">
        <v>655</v>
      </c>
      <c r="AH23" s="465" t="s">
        <v>222</v>
      </c>
      <c r="AI23" s="466"/>
    </row>
    <row r="24" spans="2:35">
      <c r="B24" s="458"/>
      <c r="C24" s="459">
        <v>21</v>
      </c>
      <c r="D24" s="459" t="s">
        <v>686</v>
      </c>
      <c r="E24" s="459" t="s">
        <v>686</v>
      </c>
      <c r="F24" s="459" t="s">
        <v>652</v>
      </c>
      <c r="G24" s="459" t="s">
        <v>65</v>
      </c>
      <c r="H24" s="459" t="s">
        <v>657</v>
      </c>
      <c r="I24" s="459" t="s">
        <v>663</v>
      </c>
      <c r="J24" s="459">
        <v>16</v>
      </c>
      <c r="K24" s="460">
        <f t="shared" si="1"/>
        <v>20160</v>
      </c>
      <c r="L24" s="461">
        <v>46289</v>
      </c>
      <c r="M24" s="462"/>
      <c r="N24" s="463"/>
      <c r="O24" s="464">
        <v>29</v>
      </c>
      <c r="P24" s="459" t="s">
        <v>175</v>
      </c>
      <c r="Q24" s="464">
        <v>30</v>
      </c>
      <c r="R24" s="463">
        <v>252</v>
      </c>
      <c r="S24" s="459" t="s">
        <v>175</v>
      </c>
      <c r="T24" s="463">
        <v>267</v>
      </c>
      <c r="U24" s="461">
        <v>46276</v>
      </c>
      <c r="V24" s="459" t="s">
        <v>645</v>
      </c>
      <c r="W24" s="461">
        <v>46281</v>
      </c>
      <c r="X24" s="461">
        <v>46289</v>
      </c>
      <c r="Y24" s="461">
        <v>46276</v>
      </c>
      <c r="Z24" s="459" t="s">
        <v>645</v>
      </c>
      <c r="AA24" s="461">
        <v>46281</v>
      </c>
      <c r="AB24" s="461">
        <v>46293</v>
      </c>
      <c r="AC24" s="462">
        <v>21</v>
      </c>
      <c r="AD24" s="462">
        <v>21</v>
      </c>
      <c r="AE24" s="462">
        <v>21</v>
      </c>
      <c r="AF24" s="465" t="s">
        <v>222</v>
      </c>
      <c r="AG24" s="459" t="s">
        <v>655</v>
      </c>
      <c r="AH24" s="465" t="s">
        <v>222</v>
      </c>
      <c r="AI24" s="466"/>
    </row>
    <row r="25" spans="2:35">
      <c r="B25" s="458"/>
      <c r="C25" s="459">
        <v>22</v>
      </c>
      <c r="D25" s="459" t="s">
        <v>687</v>
      </c>
      <c r="E25" s="459" t="s">
        <v>687</v>
      </c>
      <c r="F25" s="459" t="s">
        <v>652</v>
      </c>
      <c r="G25" s="459" t="s">
        <v>65</v>
      </c>
      <c r="H25" s="459" t="s">
        <v>657</v>
      </c>
      <c r="I25" s="459" t="s">
        <v>663</v>
      </c>
      <c r="J25" s="459">
        <v>20</v>
      </c>
      <c r="K25" s="460">
        <f t="shared" si="1"/>
        <v>25200</v>
      </c>
      <c r="L25" s="461">
        <v>46290</v>
      </c>
      <c r="M25" s="462"/>
      <c r="N25" s="463"/>
      <c r="O25" s="464">
        <v>31</v>
      </c>
      <c r="P25" s="459" t="s">
        <v>175</v>
      </c>
      <c r="Q25" s="464">
        <v>32</v>
      </c>
      <c r="R25" s="463">
        <v>268</v>
      </c>
      <c r="S25" s="459" t="s">
        <v>175</v>
      </c>
      <c r="T25" s="463">
        <v>287</v>
      </c>
      <c r="U25" s="461">
        <v>46281</v>
      </c>
      <c r="V25" s="459" t="s">
        <v>645</v>
      </c>
      <c r="W25" s="461">
        <v>46283</v>
      </c>
      <c r="X25" s="461">
        <v>46290</v>
      </c>
      <c r="Y25" s="461">
        <v>46281</v>
      </c>
      <c r="Z25" s="459" t="s">
        <v>645</v>
      </c>
      <c r="AA25" s="461">
        <v>46283</v>
      </c>
      <c r="AB25" s="461">
        <v>46295</v>
      </c>
      <c r="AC25" s="462">
        <v>22</v>
      </c>
      <c r="AD25" s="462">
        <v>22</v>
      </c>
      <c r="AE25" s="462">
        <v>22</v>
      </c>
      <c r="AF25" s="465" t="s">
        <v>222</v>
      </c>
      <c r="AG25" s="459" t="s">
        <v>655</v>
      </c>
      <c r="AH25" s="465" t="s">
        <v>222</v>
      </c>
      <c r="AI25" s="466"/>
    </row>
    <row r="26" spans="2:35">
      <c r="B26" s="157" t="s">
        <v>756</v>
      </c>
      <c r="C26" s="38">
        <v>23</v>
      </c>
      <c r="D26" s="38" t="s">
        <v>754</v>
      </c>
      <c r="E26" s="38" t="s">
        <v>754</v>
      </c>
      <c r="F26" s="38" t="s">
        <v>668</v>
      </c>
      <c r="G26" s="38" t="s">
        <v>65</v>
      </c>
      <c r="H26" s="38" t="s">
        <v>657</v>
      </c>
      <c r="I26" s="38" t="s">
        <v>663</v>
      </c>
      <c r="J26" s="38">
        <v>16</v>
      </c>
      <c r="K26" s="433">
        <f t="shared" si="1"/>
        <v>20160</v>
      </c>
      <c r="L26" s="152">
        <v>46307</v>
      </c>
      <c r="M26" s="148"/>
      <c r="N26" s="434"/>
      <c r="O26" s="435">
        <v>33</v>
      </c>
      <c r="P26" s="38" t="s">
        <v>175</v>
      </c>
      <c r="Q26" s="435">
        <v>34</v>
      </c>
      <c r="R26" s="434">
        <v>288</v>
      </c>
      <c r="S26" s="38" t="s">
        <v>175</v>
      </c>
      <c r="T26" s="434">
        <v>303</v>
      </c>
      <c r="U26" s="38"/>
      <c r="V26" s="38"/>
      <c r="W26" s="152"/>
      <c r="X26" s="152">
        <v>46307</v>
      </c>
      <c r="Y26" s="38"/>
      <c r="Z26" s="38"/>
      <c r="AA26" s="38"/>
      <c r="AB26" s="152"/>
      <c r="AC26" s="148"/>
      <c r="AD26" s="148"/>
      <c r="AE26" s="148"/>
      <c r="AF26" s="436"/>
      <c r="AG26" s="38"/>
      <c r="AH26" s="436"/>
      <c r="AI26" s="437"/>
    </row>
    <row r="27" spans="2:35">
      <c r="B27" s="157"/>
      <c r="C27" s="38">
        <v>24</v>
      </c>
      <c r="D27" s="38" t="s">
        <v>755</v>
      </c>
      <c r="E27" s="38" t="s">
        <v>755</v>
      </c>
      <c r="F27" s="38" t="s">
        <v>652</v>
      </c>
      <c r="G27" s="38" t="s">
        <v>65</v>
      </c>
      <c r="H27" s="38" t="s">
        <v>657</v>
      </c>
      <c r="I27" s="38" t="s">
        <v>663</v>
      </c>
      <c r="J27" s="38">
        <v>16</v>
      </c>
      <c r="K27" s="433">
        <f t="shared" si="1"/>
        <v>20160</v>
      </c>
      <c r="L27" s="152">
        <v>46308</v>
      </c>
      <c r="M27" s="148"/>
      <c r="N27" s="434"/>
      <c r="O27" s="435">
        <v>35</v>
      </c>
      <c r="P27" s="38" t="s">
        <v>175</v>
      </c>
      <c r="Q27" s="435">
        <v>36</v>
      </c>
      <c r="R27" s="434">
        <v>304</v>
      </c>
      <c r="S27" s="38" t="s">
        <v>175</v>
      </c>
      <c r="T27" s="434">
        <v>319</v>
      </c>
      <c r="U27" s="38"/>
      <c r="V27" s="38"/>
      <c r="W27" s="152"/>
      <c r="X27" s="152">
        <v>46308</v>
      </c>
      <c r="Y27" s="38"/>
      <c r="Z27" s="38"/>
      <c r="AA27" s="38"/>
      <c r="AB27" s="152"/>
      <c r="AC27" s="148"/>
      <c r="AD27" s="148"/>
      <c r="AE27" s="148"/>
      <c r="AF27" s="436"/>
      <c r="AG27" s="38"/>
      <c r="AH27" s="436"/>
      <c r="AI27" s="437"/>
    </row>
    <row r="28" spans="2:35">
      <c r="B28" s="157"/>
      <c r="C28" s="38"/>
      <c r="D28" s="38"/>
      <c r="E28" s="38"/>
      <c r="F28" s="38"/>
      <c r="G28" s="38"/>
      <c r="H28" s="38"/>
      <c r="I28" s="38"/>
      <c r="J28" s="38"/>
      <c r="K28" s="433"/>
      <c r="L28" s="152"/>
      <c r="M28" s="148"/>
      <c r="N28" s="434"/>
      <c r="O28" s="435"/>
      <c r="P28" s="38"/>
      <c r="Q28" s="435"/>
      <c r="R28" s="434"/>
      <c r="S28" s="38"/>
      <c r="T28" s="434"/>
      <c r="U28" s="38"/>
      <c r="V28" s="38"/>
      <c r="W28" s="152"/>
      <c r="X28" s="152"/>
      <c r="Y28" s="38"/>
      <c r="Z28" s="38"/>
      <c r="AA28" s="38"/>
      <c r="AB28" s="152"/>
      <c r="AC28" s="148"/>
      <c r="AD28" s="148"/>
      <c r="AE28" s="148"/>
      <c r="AF28" s="436"/>
      <c r="AG28" s="38"/>
      <c r="AH28" s="436"/>
      <c r="AI28" s="437"/>
    </row>
    <row r="29" spans="2:35">
      <c r="B29" s="157"/>
      <c r="C29" s="38"/>
      <c r="D29" s="38"/>
      <c r="E29" s="38"/>
      <c r="F29" s="38"/>
      <c r="G29" s="38"/>
      <c r="H29" s="38"/>
      <c r="I29" s="38"/>
      <c r="J29" s="38"/>
      <c r="K29" s="433"/>
      <c r="L29" s="152"/>
      <c r="M29" s="148"/>
      <c r="N29" s="434"/>
      <c r="O29" s="435"/>
      <c r="P29" s="38"/>
      <c r="Q29" s="435"/>
      <c r="R29" s="434"/>
      <c r="S29" s="38"/>
      <c r="T29" s="434"/>
      <c r="U29" s="38"/>
      <c r="V29" s="38"/>
      <c r="W29" s="152"/>
      <c r="X29" s="152"/>
      <c r="Y29" s="38"/>
      <c r="Z29" s="38"/>
      <c r="AA29" s="38"/>
      <c r="AB29" s="152"/>
      <c r="AC29" s="148"/>
      <c r="AD29" s="148"/>
      <c r="AE29" s="148"/>
      <c r="AF29" s="436"/>
      <c r="AG29" s="38"/>
      <c r="AH29" s="436"/>
      <c r="AI29" s="437"/>
    </row>
    <row r="30" spans="2:35">
      <c r="B30" s="157"/>
      <c r="C30" s="38"/>
      <c r="D30" s="38"/>
      <c r="E30" s="38"/>
      <c r="F30" s="38"/>
      <c r="G30" s="38"/>
      <c r="H30" s="38"/>
      <c r="I30" s="38"/>
      <c r="J30" s="38"/>
      <c r="K30" s="433"/>
      <c r="L30" s="152"/>
      <c r="M30" s="148"/>
      <c r="N30" s="434"/>
      <c r="O30" s="435"/>
      <c r="P30" s="38"/>
      <c r="Q30" s="435"/>
      <c r="R30" s="434"/>
      <c r="S30" s="38"/>
      <c r="T30" s="434"/>
      <c r="U30" s="38"/>
      <c r="V30" s="38"/>
      <c r="W30" s="152"/>
      <c r="X30" s="152"/>
      <c r="Y30" s="38"/>
      <c r="Z30" s="38"/>
      <c r="AA30" s="38"/>
      <c r="AB30" s="152"/>
      <c r="AC30" s="148"/>
      <c r="AD30" s="148"/>
      <c r="AE30" s="148"/>
      <c r="AF30" s="436"/>
      <c r="AG30" s="38"/>
      <c r="AH30" s="436"/>
      <c r="AI30" s="437"/>
    </row>
    <row r="31" spans="2:35">
      <c r="B31" s="157"/>
      <c r="C31" s="38"/>
      <c r="D31" s="38"/>
      <c r="E31" s="38"/>
      <c r="F31" s="38"/>
      <c r="G31" s="38"/>
      <c r="H31" s="38"/>
      <c r="I31" s="38"/>
      <c r="J31" s="38"/>
      <c r="K31" s="433"/>
      <c r="L31" s="152"/>
      <c r="M31" s="148"/>
      <c r="N31" s="434"/>
      <c r="O31" s="435"/>
      <c r="P31" s="38"/>
      <c r="Q31" s="435"/>
      <c r="R31" s="434"/>
      <c r="S31" s="38"/>
      <c r="T31" s="434"/>
      <c r="U31" s="38"/>
      <c r="V31" s="38"/>
      <c r="W31" s="152"/>
      <c r="X31" s="152"/>
      <c r="Y31" s="38"/>
      <c r="Z31" s="38"/>
      <c r="AA31" s="38"/>
      <c r="AB31" s="152"/>
      <c r="AC31" s="148"/>
      <c r="AD31" s="148"/>
      <c r="AE31" s="148"/>
      <c r="AF31" s="436"/>
      <c r="AG31" s="38"/>
      <c r="AH31" s="436"/>
      <c r="AI31" s="437"/>
    </row>
    <row r="32" spans="2:35">
      <c r="B32" s="157"/>
      <c r="C32" s="38"/>
      <c r="D32" s="38"/>
      <c r="E32" s="38"/>
      <c r="F32" s="38"/>
      <c r="G32" s="38"/>
      <c r="H32" s="38"/>
      <c r="I32" s="38"/>
      <c r="J32" s="38"/>
      <c r="K32" s="433"/>
      <c r="L32" s="152"/>
      <c r="M32" s="148"/>
      <c r="N32" s="434"/>
      <c r="O32" s="435"/>
      <c r="P32" s="38"/>
      <c r="Q32" s="435"/>
      <c r="R32" s="434"/>
      <c r="S32" s="38"/>
      <c r="T32" s="434"/>
      <c r="U32" s="38"/>
      <c r="V32" s="38"/>
      <c r="W32" s="152"/>
      <c r="X32" s="152"/>
      <c r="Y32" s="38"/>
      <c r="Z32" s="38"/>
      <c r="AA32" s="38"/>
      <c r="AB32" s="152"/>
      <c r="AC32" s="148"/>
      <c r="AD32" s="148"/>
      <c r="AE32" s="148"/>
      <c r="AF32" s="436"/>
      <c r="AG32" s="38"/>
      <c r="AH32" s="436"/>
      <c r="AI32" s="437"/>
    </row>
    <row r="33" spans="2:35">
      <c r="B33" s="157"/>
      <c r="C33" s="38"/>
      <c r="D33" s="38"/>
      <c r="E33" s="38"/>
      <c r="F33" s="38"/>
      <c r="G33" s="38"/>
      <c r="H33" s="38"/>
      <c r="I33" s="38"/>
      <c r="J33" s="38"/>
      <c r="K33" s="433"/>
      <c r="L33" s="152"/>
      <c r="M33" s="148"/>
      <c r="N33" s="434"/>
      <c r="O33" s="435"/>
      <c r="P33" s="38"/>
      <c r="Q33" s="435"/>
      <c r="R33" s="434"/>
      <c r="S33" s="38"/>
      <c r="T33" s="434"/>
      <c r="U33" s="38"/>
      <c r="V33" s="38"/>
      <c r="W33" s="152"/>
      <c r="X33" s="152"/>
      <c r="Y33" s="38"/>
      <c r="Z33" s="38"/>
      <c r="AA33" s="38"/>
      <c r="AB33" s="152"/>
      <c r="AC33" s="148"/>
      <c r="AD33" s="148"/>
      <c r="AE33" s="148"/>
      <c r="AF33" s="436"/>
      <c r="AG33" s="38"/>
      <c r="AH33" s="436"/>
      <c r="AI33" s="437"/>
    </row>
    <row r="34" spans="2:35">
      <c r="B34" s="157"/>
      <c r="C34" s="38"/>
      <c r="D34" s="38"/>
      <c r="E34" s="38"/>
      <c r="F34" s="38"/>
      <c r="G34" s="38"/>
      <c r="H34" s="38"/>
      <c r="I34" s="38"/>
      <c r="J34" s="38"/>
      <c r="K34" s="433"/>
      <c r="L34" s="152"/>
      <c r="M34" s="148"/>
      <c r="N34" s="434"/>
      <c r="O34" s="435"/>
      <c r="P34" s="38"/>
      <c r="Q34" s="435"/>
      <c r="R34" s="434"/>
      <c r="S34" s="38"/>
      <c r="T34" s="434"/>
      <c r="U34" s="38"/>
      <c r="V34" s="38"/>
      <c r="W34" s="152"/>
      <c r="X34" s="152"/>
      <c r="Y34" s="38"/>
      <c r="Z34" s="38"/>
      <c r="AA34" s="38"/>
      <c r="AB34" s="152"/>
      <c r="AC34" s="148"/>
      <c r="AD34" s="148"/>
      <c r="AE34" s="148"/>
      <c r="AF34" s="436"/>
      <c r="AG34" s="38"/>
      <c r="AH34" s="436"/>
      <c r="AI34" s="437"/>
    </row>
    <row r="35" spans="2:35">
      <c r="B35" s="157"/>
      <c r="C35" s="38"/>
      <c r="D35" s="38"/>
      <c r="E35" s="38"/>
      <c r="F35" s="38"/>
      <c r="G35" s="38"/>
      <c r="H35" s="38"/>
      <c r="I35" s="38"/>
      <c r="J35" s="38"/>
      <c r="K35" s="433"/>
      <c r="L35" s="152"/>
      <c r="M35" s="148"/>
      <c r="N35" s="434"/>
      <c r="O35" s="435"/>
      <c r="P35" s="38"/>
      <c r="Q35" s="435"/>
      <c r="R35" s="434"/>
      <c r="S35" s="38"/>
      <c r="T35" s="434"/>
      <c r="U35" s="38"/>
      <c r="V35" s="38"/>
      <c r="W35" s="152"/>
      <c r="X35" s="152"/>
      <c r="Y35" s="38"/>
      <c r="Z35" s="38"/>
      <c r="AA35" s="38"/>
      <c r="AB35" s="152"/>
      <c r="AC35" s="148"/>
      <c r="AD35" s="148"/>
      <c r="AE35" s="148"/>
      <c r="AF35" s="436"/>
      <c r="AG35" s="38"/>
      <c r="AH35" s="436"/>
      <c r="AI35" s="437"/>
    </row>
    <row r="36" spans="2:35">
      <c r="B36" s="157"/>
      <c r="C36" s="38"/>
      <c r="D36" s="38"/>
      <c r="E36" s="38"/>
      <c r="F36" s="38"/>
      <c r="G36" s="38"/>
      <c r="H36" s="38"/>
      <c r="I36" s="38"/>
      <c r="J36" s="38"/>
      <c r="K36" s="433"/>
      <c r="L36" s="152"/>
      <c r="M36" s="148"/>
      <c r="N36" s="434"/>
      <c r="O36" s="435"/>
      <c r="P36" s="38"/>
      <c r="Q36" s="435"/>
      <c r="R36" s="434"/>
      <c r="S36" s="38"/>
      <c r="T36" s="434"/>
      <c r="U36" s="38"/>
      <c r="V36" s="38"/>
      <c r="W36" s="152"/>
      <c r="X36" s="152"/>
      <c r="Y36" s="38"/>
      <c r="Z36" s="38"/>
      <c r="AA36" s="38"/>
      <c r="AB36" s="152"/>
      <c r="AC36" s="148"/>
      <c r="AD36" s="148"/>
      <c r="AE36" s="148"/>
      <c r="AF36" s="436"/>
      <c r="AG36" s="38"/>
      <c r="AH36" s="436"/>
      <c r="AI36" s="437"/>
    </row>
    <row r="37" spans="2:35">
      <c r="B37" s="157"/>
      <c r="C37" s="38"/>
      <c r="D37" s="38"/>
      <c r="E37" s="38"/>
      <c r="F37" s="38"/>
      <c r="G37" s="38"/>
      <c r="H37" s="38"/>
      <c r="I37" s="38"/>
      <c r="J37" s="38"/>
      <c r="K37" s="433"/>
      <c r="L37" s="152"/>
      <c r="M37" s="148"/>
      <c r="N37" s="434"/>
      <c r="O37" s="435"/>
      <c r="P37" s="38"/>
      <c r="Q37" s="435"/>
      <c r="R37" s="434"/>
      <c r="S37" s="38"/>
      <c r="T37" s="434"/>
      <c r="U37" s="38"/>
      <c r="V37" s="38"/>
      <c r="W37" s="152"/>
      <c r="X37" s="152"/>
      <c r="Y37" s="38"/>
      <c r="Z37" s="38"/>
      <c r="AA37" s="38"/>
      <c r="AB37" s="152"/>
      <c r="AC37" s="148"/>
      <c r="AD37" s="148"/>
      <c r="AE37" s="148"/>
      <c r="AF37" s="436"/>
      <c r="AG37" s="38"/>
      <c r="AH37" s="436"/>
      <c r="AI37" s="437"/>
    </row>
    <row r="38" spans="2:35">
      <c r="B38" s="157"/>
      <c r="C38" s="38"/>
      <c r="D38" s="38"/>
      <c r="E38" s="38"/>
      <c r="F38" s="38"/>
      <c r="G38" s="38"/>
      <c r="H38" s="38"/>
      <c r="I38" s="38"/>
      <c r="J38" s="38"/>
      <c r="K38" s="433"/>
      <c r="L38" s="152"/>
      <c r="M38" s="148"/>
      <c r="N38" s="434"/>
      <c r="O38" s="435"/>
      <c r="P38" s="38"/>
      <c r="Q38" s="435"/>
      <c r="R38" s="434"/>
      <c r="S38" s="38"/>
      <c r="T38" s="434"/>
      <c r="U38" s="38"/>
      <c r="V38" s="38"/>
      <c r="W38" s="152"/>
      <c r="X38" s="152"/>
      <c r="Y38" s="38"/>
      <c r="Z38" s="38"/>
      <c r="AA38" s="38"/>
      <c r="AB38" s="152"/>
      <c r="AC38" s="148"/>
      <c r="AD38" s="148"/>
      <c r="AE38" s="148"/>
      <c r="AF38" s="436"/>
      <c r="AG38" s="38"/>
      <c r="AH38" s="436"/>
      <c r="AI38" s="437"/>
    </row>
    <row r="39" spans="2:35">
      <c r="B39" s="157"/>
      <c r="C39" s="38"/>
      <c r="D39" s="38"/>
      <c r="E39" s="38"/>
      <c r="F39" s="38"/>
      <c r="G39" s="38"/>
      <c r="H39" s="38"/>
      <c r="I39" s="38"/>
      <c r="J39" s="38"/>
      <c r="K39" s="433"/>
      <c r="L39" s="152"/>
      <c r="M39" s="148"/>
      <c r="N39" s="434"/>
      <c r="O39" s="435"/>
      <c r="P39" s="38"/>
      <c r="Q39" s="435"/>
      <c r="R39" s="434"/>
      <c r="S39" s="38"/>
      <c r="T39" s="434"/>
      <c r="U39" s="38"/>
      <c r="V39" s="38"/>
      <c r="W39" s="152"/>
      <c r="X39" s="152"/>
      <c r="Y39" s="38"/>
      <c r="Z39" s="38"/>
      <c r="AA39" s="38"/>
      <c r="AB39" s="152"/>
      <c r="AC39" s="148"/>
      <c r="AD39" s="148"/>
      <c r="AE39" s="148"/>
      <c r="AF39" s="436"/>
      <c r="AG39" s="38"/>
      <c r="AH39" s="436"/>
      <c r="AI39" s="437"/>
    </row>
    <row r="40" spans="2:35">
      <c r="B40" s="157"/>
      <c r="C40" s="38"/>
      <c r="D40" s="38"/>
      <c r="E40" s="38"/>
      <c r="F40" s="38"/>
      <c r="G40" s="38"/>
      <c r="H40" s="38"/>
      <c r="I40" s="38"/>
      <c r="J40" s="38"/>
      <c r="K40" s="433"/>
      <c r="L40" s="152"/>
      <c r="M40" s="148"/>
      <c r="N40" s="434"/>
      <c r="O40" s="435"/>
      <c r="P40" s="38"/>
      <c r="Q40" s="435"/>
      <c r="R40" s="434"/>
      <c r="S40" s="38"/>
      <c r="T40" s="434"/>
      <c r="U40" s="38"/>
      <c r="V40" s="38"/>
      <c r="W40" s="152"/>
      <c r="X40" s="152"/>
      <c r="Y40" s="38"/>
      <c r="Z40" s="38"/>
      <c r="AA40" s="38"/>
      <c r="AB40" s="152"/>
      <c r="AC40" s="148"/>
      <c r="AD40" s="148"/>
      <c r="AE40" s="148"/>
      <c r="AF40" s="436"/>
      <c r="AG40" s="38"/>
      <c r="AH40" s="436"/>
      <c r="AI40" s="437"/>
    </row>
    <row r="41" spans="2:35">
      <c r="B41" s="157"/>
      <c r="C41" s="38"/>
      <c r="D41" s="38"/>
      <c r="E41" s="38"/>
      <c r="F41" s="38"/>
      <c r="G41" s="38"/>
      <c r="H41" s="38"/>
      <c r="I41" s="38"/>
      <c r="J41" s="38"/>
      <c r="K41" s="433"/>
      <c r="L41" s="152"/>
      <c r="M41" s="148"/>
      <c r="N41" s="434"/>
      <c r="O41" s="435"/>
      <c r="P41" s="38"/>
      <c r="Q41" s="435"/>
      <c r="R41" s="434"/>
      <c r="S41" s="38"/>
      <c r="T41" s="434"/>
      <c r="U41" s="38"/>
      <c r="V41" s="38"/>
      <c r="W41" s="152"/>
      <c r="X41" s="152"/>
      <c r="Y41" s="38"/>
      <c r="Z41" s="38"/>
      <c r="AA41" s="38"/>
      <c r="AB41" s="152"/>
      <c r="AC41" s="148"/>
      <c r="AD41" s="148"/>
      <c r="AE41" s="148"/>
      <c r="AF41" s="436"/>
      <c r="AG41" s="38"/>
      <c r="AH41" s="436"/>
      <c r="AI41" s="437"/>
    </row>
    <row r="42" spans="2:35">
      <c r="B42" s="157"/>
      <c r="C42" s="38"/>
      <c r="D42" s="38"/>
      <c r="E42" s="38"/>
      <c r="F42" s="38"/>
      <c r="G42" s="38"/>
      <c r="H42" s="38"/>
      <c r="I42" s="38"/>
      <c r="J42" s="38"/>
      <c r="K42" s="433"/>
      <c r="L42" s="152"/>
      <c r="M42" s="148"/>
      <c r="N42" s="434"/>
      <c r="O42" s="435"/>
      <c r="P42" s="38"/>
      <c r="Q42" s="435"/>
      <c r="R42" s="434"/>
      <c r="S42" s="38"/>
      <c r="T42" s="434"/>
      <c r="U42" s="38"/>
      <c r="V42" s="38"/>
      <c r="W42" s="152"/>
      <c r="X42" s="152"/>
      <c r="Y42" s="38"/>
      <c r="Z42" s="38"/>
      <c r="AA42" s="38"/>
      <c r="AB42" s="152"/>
      <c r="AC42" s="148"/>
      <c r="AD42" s="148"/>
      <c r="AE42" s="148"/>
      <c r="AF42" s="436"/>
      <c r="AG42" s="38"/>
      <c r="AH42" s="436"/>
      <c r="AI42" s="437"/>
    </row>
    <row r="43" spans="2:35">
      <c r="B43" s="157"/>
      <c r="C43" s="38"/>
      <c r="D43" s="38"/>
      <c r="E43" s="38"/>
      <c r="F43" s="38"/>
      <c r="G43" s="38"/>
      <c r="H43" s="38"/>
      <c r="I43" s="38"/>
      <c r="J43" s="38"/>
      <c r="K43" s="5"/>
      <c r="L43" s="38"/>
      <c r="M43" s="148"/>
      <c r="N43" s="434"/>
      <c r="O43" s="38"/>
      <c r="P43" s="38"/>
      <c r="Q43" s="38"/>
      <c r="R43" s="38"/>
      <c r="S43" s="38"/>
      <c r="T43" s="38"/>
      <c r="U43" s="38"/>
      <c r="V43" s="38"/>
      <c r="W43" s="38"/>
      <c r="X43" s="152"/>
      <c r="Y43" s="38"/>
      <c r="Z43" s="38"/>
      <c r="AA43" s="38"/>
      <c r="AB43" s="152"/>
      <c r="AC43" s="148"/>
      <c r="AD43" s="148"/>
      <c r="AE43" s="148"/>
      <c r="AF43" s="38"/>
      <c r="AG43" s="38"/>
      <c r="AH43" s="436"/>
      <c r="AI43" s="437"/>
    </row>
  </sheetData>
  <mergeCells count="25">
    <mergeCell ref="G2:G3"/>
    <mergeCell ref="B2:B3"/>
    <mergeCell ref="C2:C3"/>
    <mergeCell ref="D2:D3"/>
    <mergeCell ref="E2:E3"/>
    <mergeCell ref="F2:F3"/>
    <mergeCell ref="Y2:AA3"/>
    <mergeCell ref="AB2:AB3"/>
    <mergeCell ref="AC2:AC3"/>
    <mergeCell ref="H2:H3"/>
    <mergeCell ref="I2:I3"/>
    <mergeCell ref="J2:J3"/>
    <mergeCell ref="K2:K3"/>
    <mergeCell ref="L2:L3"/>
    <mergeCell ref="M2:N2"/>
    <mergeCell ref="O3:Q3"/>
    <mergeCell ref="R3:T3"/>
    <mergeCell ref="O2:T2"/>
    <mergeCell ref="U2:W3"/>
    <mergeCell ref="X2:X3"/>
    <mergeCell ref="AD2:AD3"/>
    <mergeCell ref="AE2:AE3"/>
    <mergeCell ref="AF2:AF3"/>
    <mergeCell ref="AG2:AH2"/>
    <mergeCell ref="AI2:AI3"/>
  </mergeCells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Std</vt:lpstr>
      <vt:lpstr>Sum</vt:lpstr>
      <vt:lpstr>RM</vt:lpstr>
      <vt:lpstr>Wet</vt:lpstr>
      <vt:lpstr>Ampaian</vt:lpstr>
      <vt:lpstr>Dry</vt:lpstr>
      <vt:lpstr>Ctt_No. Reject</vt:lpstr>
      <vt:lpstr>No. Reject</vt:lpstr>
      <vt:lpstr>Lab</vt:lpstr>
      <vt:lpstr>FG</vt:lpstr>
      <vt:lpstr>Export</vt:lpstr>
      <vt:lpstr>Dry!Print_Area</vt:lpstr>
      <vt:lpstr>Wet!Print_Area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 Fadhilla Said</dc:creator>
  <cp:lastModifiedBy>Harris Fadhilla Said</cp:lastModifiedBy>
  <dcterms:created xsi:type="dcterms:W3CDTF">2026-10-13T08:07:46Z</dcterms:created>
  <dcterms:modified xsi:type="dcterms:W3CDTF">2026-10-20T03:49:34Z</dcterms:modified>
</cp:coreProperties>
</file>